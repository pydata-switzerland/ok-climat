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Data\climat\rating_climatique\Etape2\"/>
    </mc:Choice>
  </mc:AlternateContent>
  <xr:revisionPtr revIDLastSave="0" documentId="13_ncr:1_{C62521A7-3BE8-4CD2-A522-2BE66FDDC8C2}" xr6:coauthVersionLast="47" xr6:coauthVersionMax="47" xr10:uidLastSave="{00000000-0000-0000-0000-000000000000}"/>
  <bookViews>
    <workbookView xWindow="-120" yWindow="-120" windowWidth="29040" windowHeight="17520" xr2:uid="{795CFB4F-ABEB-400A-AF71-6D7E62DFB7C5}"/>
  </bookViews>
  <sheets>
    <sheet name="subventions" sheetId="11" r:id="rId1"/>
    <sheet name="keywords" sheetId="7" r:id="rId2"/>
    <sheet name="subv_type" sheetId="4" r:id="rId3"/>
    <sheet name="subv_contrib" sheetId="5" r:id="rId4"/>
    <sheet name="cantons" sheetId="1" r:id="rId5"/>
    <sheet name="municipalities" sheetId="2" r:id="rId6"/>
    <sheet name="indicators" sheetId="12" r:id="rId7"/>
    <sheet name="PV KT" sheetId="13" r:id="rId8"/>
  </sheets>
  <definedNames>
    <definedName name="_xlnm._FilterDatabase" localSheetId="4" hidden="1">cantons!$A$1:$D$27</definedName>
    <definedName name="_xlnm._FilterDatabase" localSheetId="5" hidden="1">municipalities!$A$1:$C$1</definedName>
    <definedName name="_xlnm._FilterDatabase" localSheetId="3" hidden="1">subv_contrib!$A$1:$E$620</definedName>
    <definedName name="_xlnm._FilterDatabase" localSheetId="2" hidden="1">subv_type!$A$1:$F$1001</definedName>
    <definedName name="_xlnm._FilterDatabase" localSheetId="0" hidden="1">subventions!$A$1:$H$2942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20" i="13" l="1"/>
  <c r="R20" i="13"/>
  <c r="M20" i="13"/>
  <c r="K20" i="13"/>
  <c r="F20" i="13"/>
  <c r="AC17" i="13"/>
  <c r="AB17" i="13"/>
  <c r="AA17" i="13"/>
  <c r="Z17" i="13"/>
  <c r="Y17" i="13"/>
  <c r="X17" i="13"/>
  <c r="V17" i="13"/>
  <c r="U17" i="13"/>
  <c r="R17" i="13"/>
  <c r="Q17" i="13"/>
  <c r="P17" i="13"/>
  <c r="O17" i="13"/>
  <c r="N17" i="13"/>
  <c r="M17" i="13"/>
  <c r="L17" i="13"/>
  <c r="K17" i="13"/>
  <c r="J17" i="13"/>
  <c r="I17" i="13"/>
  <c r="H17" i="13"/>
  <c r="G17" i="13"/>
  <c r="F17" i="13"/>
  <c r="E17" i="13"/>
  <c r="D17" i="13"/>
  <c r="AE17" i="13" s="1"/>
  <c r="U4" i="13"/>
  <c r="T4" i="13"/>
  <c r="R4" i="13"/>
  <c r="X20" i="13" s="1"/>
  <c r="O4" i="13"/>
  <c r="AE20" i="13" l="1"/>
  <c r="AH17" i="13"/>
  <c r="AF17" i="13" s="1"/>
</calcChain>
</file>

<file path=xl/sharedStrings.xml><?xml version="1.0" encoding="utf-8"?>
<sst xmlns="http://schemas.openxmlformats.org/spreadsheetml/2006/main" count="46176" uniqueCount="7312">
  <si>
    <t>kt_abrev</t>
  </si>
  <si>
    <t>name_de</t>
  </si>
  <si>
    <t>name_fr</t>
  </si>
  <si>
    <t>ZH</t>
  </si>
  <si>
    <t>Zürich</t>
  </si>
  <si>
    <t>Zurich</t>
  </si>
  <si>
    <t>BE</t>
  </si>
  <si>
    <t>Bern</t>
  </si>
  <si>
    <t>Berne</t>
  </si>
  <si>
    <t>LU</t>
  </si>
  <si>
    <t>Luzern</t>
  </si>
  <si>
    <t>Lucerne</t>
  </si>
  <si>
    <t>UR</t>
  </si>
  <si>
    <t>Uri</t>
  </si>
  <si>
    <t>SZ</t>
  </si>
  <si>
    <t>Schwyz</t>
  </si>
  <si>
    <t>OW</t>
  </si>
  <si>
    <t>Obwalden</t>
  </si>
  <si>
    <t>Obwald</t>
  </si>
  <si>
    <t>NW</t>
  </si>
  <si>
    <t>Nidwalden</t>
  </si>
  <si>
    <t>Nidwald</t>
  </si>
  <si>
    <t>GL</t>
  </si>
  <si>
    <t>Glarus</t>
  </si>
  <si>
    <t>Glaris</t>
  </si>
  <si>
    <t>ZG</t>
  </si>
  <si>
    <t>Zug</t>
  </si>
  <si>
    <t>Zoug</t>
  </si>
  <si>
    <t>FR</t>
  </si>
  <si>
    <t>Freiburg</t>
  </si>
  <si>
    <t>Fribourg</t>
  </si>
  <si>
    <t>SO</t>
  </si>
  <si>
    <t>Solothurn</t>
  </si>
  <si>
    <t>Soleure</t>
  </si>
  <si>
    <t>BS</t>
  </si>
  <si>
    <t>Basel-Stadt</t>
  </si>
  <si>
    <t>Bâle-Ville</t>
  </si>
  <si>
    <t>BL</t>
  </si>
  <si>
    <t>Basel-Landschaft</t>
  </si>
  <si>
    <t>Bâle-Campagne</t>
  </si>
  <si>
    <t>SH</t>
  </si>
  <si>
    <t>Schaffhausen</t>
  </si>
  <si>
    <t>Schaffhouse</t>
  </si>
  <si>
    <t>AR</t>
  </si>
  <si>
    <t>Appenzell A.Rh.</t>
  </si>
  <si>
    <t>Appenzell Rh.-Ext.</t>
  </si>
  <si>
    <t>AI</t>
  </si>
  <si>
    <t>Appenzell I.Rh.</t>
  </si>
  <si>
    <t>Appenzell Rh.-Int.</t>
  </si>
  <si>
    <t>SG</t>
  </si>
  <si>
    <t>St. Gallen</t>
  </si>
  <si>
    <t>Saint-Gall</t>
  </si>
  <si>
    <t>GR</t>
  </si>
  <si>
    <t>Graubünden</t>
  </si>
  <si>
    <t>Grisons</t>
  </si>
  <si>
    <t>AG</t>
  </si>
  <si>
    <t>Aargau</t>
  </si>
  <si>
    <t>Argovie</t>
  </si>
  <si>
    <t>TG</t>
  </si>
  <si>
    <t>Thurgau</t>
  </si>
  <si>
    <t>Thurgovie</t>
  </si>
  <si>
    <t>TI</t>
  </si>
  <si>
    <t>Tessin</t>
  </si>
  <si>
    <t>VD</t>
  </si>
  <si>
    <t>Waadt</t>
  </si>
  <si>
    <t>Vaud</t>
  </si>
  <si>
    <t>VS</t>
  </si>
  <si>
    <t>Wallis</t>
  </si>
  <si>
    <t>Valais</t>
  </si>
  <si>
    <t>NE</t>
  </si>
  <si>
    <t>Neuenburg</t>
  </si>
  <si>
    <t>Neuchâtel</t>
  </si>
  <si>
    <t>GE</t>
  </si>
  <si>
    <t>Genf</t>
  </si>
  <si>
    <t>Genève</t>
  </si>
  <si>
    <t>JU</t>
  </si>
  <si>
    <t>Jura</t>
  </si>
  <si>
    <t>Aeugst am Albis</t>
  </si>
  <si>
    <t>Affoltern am Albis</t>
  </si>
  <si>
    <t>Bonstetten</t>
  </si>
  <si>
    <t>Hausen am Albis</t>
  </si>
  <si>
    <t>Hedingen</t>
  </si>
  <si>
    <t>Kappel am Albis</t>
  </si>
  <si>
    <t>Knonau</t>
  </si>
  <si>
    <t>Maschwanden</t>
  </si>
  <si>
    <t>Mettmenstetten</t>
  </si>
  <si>
    <t>Obfelden</t>
  </si>
  <si>
    <t>Ottenbach</t>
  </si>
  <si>
    <t>Rifferswil</t>
  </si>
  <si>
    <t>Stallikon</t>
  </si>
  <si>
    <t>Wettswil am Albis</t>
  </si>
  <si>
    <t>Benken (ZH)</t>
  </si>
  <si>
    <t>Berg am Irchel</t>
  </si>
  <si>
    <t>Buch am Irchel</t>
  </si>
  <si>
    <t>Dachsen</t>
  </si>
  <si>
    <t>Dorf</t>
  </si>
  <si>
    <t>Feuerthalen</t>
  </si>
  <si>
    <t>Flaach</t>
  </si>
  <si>
    <t>Flurlingen</t>
  </si>
  <si>
    <t>Andelfingen</t>
  </si>
  <si>
    <t>Henggart</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</si>
  <si>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</si>
  <si>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</si>
  <si>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</si>
  <si>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</si>
  <si>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</si>
  <si>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</si>
  <si>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</si>
  <si>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</si>
  <si>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</si>
  <si>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</si>
  <si>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</si>
  <si>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</si>
  <si>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</si>
  <si>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</si>
  <si>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</si>
  <si>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</si>
  <si>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</si>
  <si>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</si>
  <si>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</si>
  <si>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</si>
  <si>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</si>
  <si>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</si>
  <si>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</si>
  <si>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</si>
  <si>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</si>
  <si>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</si>
  <si>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</si>
  <si>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</si>
  <si>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</si>
  <si>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</si>
  <si>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</si>
  <si>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</si>
  <si>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</si>
  <si>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</si>
  <si>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</si>
  <si>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</si>
  <si>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</si>
  <si>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</si>
  <si>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</si>
  <si>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</si>
  <si>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</si>
  <si>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</si>
  <si>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</si>
  <si>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</si>
  <si>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</si>
  <si>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</si>
  <si>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</si>
  <si>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</si>
  <si>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</si>
  <si>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</si>
  <si>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</si>
  <si>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</si>
  <si>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</si>
  <si>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</si>
  <si>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</si>
  <si>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</si>
  <si>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</si>
  <si>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</si>
  <si>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</si>
  <si>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</si>
  <si>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</si>
  <si>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</si>
  <si>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</si>
  <si>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</si>
  <si>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Wetzikon</t>
  </si>
  <si>
    <t>Adliswil</t>
  </si>
  <si>
    <t>Horgen</t>
  </si>
  <si>
    <t>Kilchberg (ZH)</t>
  </si>
  <si>
    <t>Langnau am Albis</t>
  </si>
  <si>
    <t>Oberrieden</t>
  </si>
  <si>
    <t>Richterswil</t>
  </si>
  <si>
    <t>Rüschlikon</t>
  </si>
  <si>
    <t>Thalwil</t>
  </si>
  <si>
    <t>Wädenswil</t>
  </si>
  <si>
    <t>Erlenbach (ZH)</t>
  </si>
  <si>
    <t>Herrliberg</t>
  </si>
  <si>
    <t>Hombrechtikon</t>
  </si>
  <si>
    <t>Küsnacht (ZH)</t>
  </si>
  <si>
    <t>Männedorf</t>
  </si>
  <si>
    <t>Meilen</t>
  </si>
  <si>
    <t>Oetwil am See</t>
  </si>
  <si>
    <t>Stäfa</t>
  </si>
  <si>
    <t>Uetikon am See</t>
  </si>
  <si>
    <t>Zumikon</t>
  </si>
  <si>
    <t>Zollikon</t>
  </si>
  <si>
    <t>Bauma</t>
  </si>
  <si>
    <t>Fehraltorf</t>
  </si>
  <si>
    <t>Hittnau</t>
  </si>
  <si>
    <t>Illnau-Effretikon</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</si>
  <si>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</si>
  <si>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</si>
  <si>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</si>
  <si>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</si>
  <si>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</si>
  <si>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</si>
  <si>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</si>
  <si>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</si>
  <si>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</si>
  <si>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</si>
  <si>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</si>
  <si>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</si>
  <si>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</si>
  <si>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</si>
  <si>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</si>
  <si>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</si>
  <si>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</si>
  <si>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Brütten</t>
  </si>
  <si>
    <t>Dägerlen</t>
  </si>
  <si>
    <t>Dättlikon</t>
  </si>
  <si>
    <t>Dinhard</t>
  </si>
  <si>
    <t>Elgg</t>
  </si>
  <si>
    <t>Ellikon an der Thur</t>
  </si>
  <si>
    <t>Elsau</t>
  </si>
  <si>
    <t>Hagenbuch</t>
  </si>
  <si>
    <t>Hettlingen</t>
  </si>
  <si>
    <t>Neftenbach</t>
  </si>
  <si>
    <t>Pfungen</t>
  </si>
  <si>
    <t>Rickenbach (ZH)</t>
  </si>
  <si>
    <t>Schlatt (ZH)</t>
  </si>
  <si>
    <t>Seuzach</t>
  </si>
  <si>
    <t>Turbenthal</t>
  </si>
  <si>
    <t>Wiesendangen</t>
  </si>
  <si>
    <t>Winterthur</t>
  </si>
  <si>
    <t>Zell (ZH)</t>
  </si>
  <si>
    <t>Aesch (ZH)</t>
  </si>
  <si>
    <t>Birmensdorf (ZH)</t>
  </si>
  <si>
    <t>Dietikon</t>
  </si>
  <si>
    <t>Geroldswil</t>
  </si>
  <si>
    <t>Oberengstringen</t>
  </si>
  <si>
    <t>Oetwil an der Limmat</t>
  </si>
  <si>
    <t>Schlieren</t>
  </si>
  <si>
    <t>Uitikon</t>
  </si>
  <si>
    <t>Unterengstringen</t>
  </si>
  <si>
    <t>Urdorf</t>
  </si>
  <si>
    <t>Weiningen (ZH)</t>
  </si>
  <si>
    <t>Stammheim</t>
  </si>
  <si>
    <t>Aarberg</t>
  </si>
  <si>
    <t>Bargen (BE)</t>
  </si>
  <si>
    <t>Grossaffoltern</t>
  </si>
  <si>
    <t>Kallnach</t>
  </si>
  <si>
    <t>Kappelen</t>
  </si>
  <si>
    <t>Lyss</t>
  </si>
  <si>
    <t>Meikirch</t>
  </si>
  <si>
    <t>Radelfingen</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</si>
  <si>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</si>
  <si>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</si>
  <si>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</si>
  <si>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</si>
  <si>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</si>
  <si>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</si>
  <si>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</si>
  <si>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</si>
  <si>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</si>
  <si>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</si>
  <si>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</si>
  <si>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</si>
  <si>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</si>
  <si>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</si>
  <si>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</si>
  <si>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</si>
  <si>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</si>
  <si>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</si>
  <si>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</si>
  <si>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</si>
  <si>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</si>
  <si>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</si>
  <si>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</si>
  <si>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Bolligen</t>
  </si>
  <si>
    <t>Bremgarten bei Bern</t>
  </si>
  <si>
    <t>Kirchlindach</t>
  </si>
  <si>
    <t>Köniz</t>
  </si>
  <si>
    <t>Muri bei Bern</t>
  </si>
  <si>
    <t>Oberbalm</t>
  </si>
  <si>
    <t>Stettlen</t>
  </si>
  <si>
    <t>Vechigen</t>
  </si>
  <si>
    <t>Wohlen bei Bern</t>
  </si>
  <si>
    <t>Zollikofen</t>
  </si>
  <si>
    <t>Ittigen</t>
  </si>
  <si>
    <t>Ostermundigen</t>
  </si>
  <si>
    <t>Biel/Bienne</t>
  </si>
  <si>
    <t>Evilard</t>
  </si>
  <si>
    <t>Arch</t>
  </si>
  <si>
    <t>Büetigen</t>
  </si>
  <si>
    <t>Büren an der Aare</t>
  </si>
  <si>
    <t>Diessbach bei Büren</t>
  </si>
  <si>
    <t>Dotzigen</t>
  </si>
  <si>
    <t>Lengnau (BE)</t>
  </si>
  <si>
    <t>Leuzigen</t>
  </si>
  <si>
    <t>Meienried</t>
  </si>
  <si>
    <t>Meinisberg</t>
  </si>
  <si>
    <t>Oberwil bei Büren</t>
  </si>
  <si>
    <t>Pieterlen</t>
  </si>
  <si>
    <t>Rüti bei Büren</t>
  </si>
  <si>
    <t>Wengi</t>
  </si>
  <si>
    <t>Aefligen</t>
  </si>
  <si>
    <t>Alchenstorf</t>
  </si>
  <si>
    <t>Bäriswil</t>
  </si>
  <si>
    <t>Burgdorf</t>
  </si>
  <si>
    <t>Ersigen</t>
  </si>
  <si>
    <t>Hasle bei Burgdorf</t>
  </si>
  <si>
    <t>Heimiswil</t>
  </si>
  <si>
    <t>Hellsau</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</si>
  <si>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</si>
  <si>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</si>
  <si>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</si>
  <si>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</si>
  <si>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</si>
  <si>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</si>
  <si>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</si>
  <si>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</si>
  <si>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</si>
  <si>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</si>
  <si>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</si>
  <si>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</si>
  <si>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</si>
  <si>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</si>
  <si>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</si>
  <si>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</si>
  <si>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</si>
  <si>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</si>
  <si>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</si>
  <si>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</si>
  <si>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</si>
  <si>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</si>
  <si>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Saint-Imier</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</si>
  <si>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</si>
  <si>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</si>
  <si>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</si>
  <si>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</si>
  <si>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</si>
  <si>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</si>
  <si>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</si>
  <si>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</si>
  <si>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</si>
  <si>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</si>
  <si>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</si>
  <si>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</si>
  <si>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</si>
  <si>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</si>
  <si>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</si>
  <si>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</si>
  <si>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</si>
  <si>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</si>
  <si>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</si>
  <si>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Deisswil bei Münchenbuchsee</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</si>
  <si>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</si>
  <si>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</si>
  <si>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</si>
  <si>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</si>
  <si>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</si>
  <si>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</si>
  <si>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</si>
  <si>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</si>
  <si>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</si>
  <si>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</si>
  <si>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</si>
  <si>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</si>
  <si>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</si>
  <si>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</si>
  <si>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</si>
  <si>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</si>
  <si>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</si>
  <si>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</si>
  <si>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</si>
  <si>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</si>
  <si>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</si>
  <si>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</si>
  <si>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</si>
  <si>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</si>
  <si>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</si>
  <si>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</si>
  <si>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</si>
  <si>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</si>
  <si>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</si>
  <si>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</si>
  <si>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</si>
  <si>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</si>
  <si>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</si>
  <si>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</si>
  <si>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</si>
  <si>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</si>
  <si>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</si>
  <si>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</si>
  <si>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</si>
  <si>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</si>
  <si>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</si>
  <si>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</si>
  <si>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</si>
  <si>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</si>
  <si>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</si>
  <si>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</si>
  <si>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</si>
  <si>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</si>
  <si>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</si>
  <si>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</si>
  <si>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</si>
  <si>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</si>
  <si>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</si>
  <si>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</si>
  <si>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</si>
  <si>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</si>
  <si>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</si>
  <si>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</si>
  <si>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</si>
  <si>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</si>
  <si>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</si>
  <si>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</si>
  <si>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</si>
  <si>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</si>
  <si>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</si>
  <si>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</si>
  <si>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</si>
  <si>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</si>
  <si>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</si>
  <si>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</si>
  <si>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</si>
  <si>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</si>
  <si>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</si>
  <si>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</si>
  <si>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</si>
  <si>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</si>
  <si>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</si>
  <si>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</si>
  <si>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</si>
  <si>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</si>
  <si>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</si>
  <si>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</si>
  <si>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</si>
  <si>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</si>
  <si>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</si>
  <si>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</si>
  <si>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</si>
  <si>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</si>
  <si>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</si>
  <si>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</si>
  <si>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</si>
  <si>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</si>
  <si>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</si>
  <si>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</si>
  <si>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</si>
  <si>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</si>
  <si>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</si>
  <si>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La Neuveville</t>
  </si>
  <si>
    <t>Nods</t>
  </si>
  <si>
    <t>Plateau de Diesse</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</si>
  <si>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</si>
  <si>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</si>
  <si>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</si>
  <si>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</si>
  <si>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</si>
  <si>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</si>
  <si>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</si>
  <si>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</si>
  <si>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</si>
  <si>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</si>
  <si>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</si>
  <si>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</si>
  <si>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</si>
  <si>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</si>
  <si>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</si>
  <si>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</si>
  <si>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</si>
  <si>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</si>
  <si>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</si>
  <si>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</si>
  <si>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</si>
  <si>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</si>
  <si>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</si>
  <si>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</si>
  <si>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</si>
  <si>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</si>
  <si>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</si>
  <si>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</si>
  <si>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</si>
  <si>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</si>
  <si>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</si>
  <si>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</si>
  <si>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</si>
  <si>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</si>
  <si>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</si>
  <si>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</si>
  <si>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</si>
  <si>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</si>
  <si>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</si>
  <si>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</si>
  <si>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</si>
  <si>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</si>
  <si>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</si>
  <si>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</si>
  <si>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</si>
  <si>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</si>
  <si>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</si>
  <si>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</si>
  <si>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</si>
  <si>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</si>
  <si>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</si>
  <si>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</si>
  <si>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</si>
  <si>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</si>
  <si>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</si>
  <si>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Niedermuhlern</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</si>
  <si>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</si>
  <si>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</si>
  <si>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</si>
  <si>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</si>
  <si>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</si>
  <si>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</si>
  <si>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</si>
  <si>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</si>
  <si>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</si>
  <si>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</si>
  <si>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</si>
  <si>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</si>
  <si>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</si>
  <si>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</si>
  <si>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</si>
  <si>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</si>
  <si>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</si>
  <si>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</si>
  <si>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</si>
  <si>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</si>
  <si>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</si>
  <si>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</si>
  <si>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</si>
  <si>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</si>
  <si>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</si>
  <si>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</si>
  <si>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</si>
  <si>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</si>
  <si>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</si>
  <si>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</si>
  <si>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</si>
  <si>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</si>
  <si>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</si>
  <si>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</si>
  <si>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</si>
  <si>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</si>
  <si>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</si>
  <si>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</si>
  <si>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</si>
  <si>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</si>
  <si>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</si>
  <si>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</si>
  <si>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</si>
  <si>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</si>
  <si>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</si>
  <si>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</si>
  <si>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</si>
  <si>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</si>
  <si>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</si>
  <si>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</si>
  <si>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</si>
  <si>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</si>
  <si>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</si>
  <si>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</si>
  <si>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</si>
  <si>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</si>
  <si>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</si>
  <si>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</si>
  <si>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</si>
  <si>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</si>
  <si>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</si>
  <si>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</si>
  <si>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</si>
  <si>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</si>
  <si>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</si>
  <si>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Walliswil bei Niederbipp</t>
  </si>
  <si>
    <t>Walliswil bei Wangen</t>
  </si>
  <si>
    <t>Wangen an der Aare</t>
  </si>
  <si>
    <t>Wiedlisbach</t>
  </si>
  <si>
    <t>Doppleschwand</t>
  </si>
  <si>
    <t>Entlebuch</t>
  </si>
  <si>
    <t>Flühli</t>
  </si>
  <si>
    <t>Hasle (LU)</t>
  </si>
  <si>
    <t>Romoos</t>
  </si>
  <si>
    <t>Schüpfheim</t>
  </si>
  <si>
    <t>Werthenstein</t>
  </si>
  <si>
    <t>Escholzmatt-Marbach</t>
  </si>
  <si>
    <t>Aesch (LU)</t>
  </si>
  <si>
    <t>Ballwil</t>
  </si>
  <si>
    <t>Emmen</t>
  </si>
  <si>
    <t>Ermensee</t>
  </si>
  <si>
    <t>Eschenbach (LU)</t>
  </si>
  <si>
    <t>Hitzkirch</t>
  </si>
  <si>
    <t>Hochdorf</t>
  </si>
  <si>
    <t>Hohenrain</t>
  </si>
  <si>
    <t>Inwil</t>
  </si>
  <si>
    <t>Rain</t>
  </si>
  <si>
    <t>Römerswil</t>
  </si>
  <si>
    <t>Rothenburg</t>
  </si>
  <si>
    <t>Schongau</t>
  </si>
  <si>
    <t>Adligenswil</t>
  </si>
  <si>
    <t>Buchrain</t>
  </si>
  <si>
    <t>Dierikon</t>
  </si>
  <si>
    <t>Ebikon</t>
  </si>
  <si>
    <t>Gisikon</t>
  </si>
  <si>
    <t>Greppen</t>
  </si>
  <si>
    <t>Horw</t>
  </si>
  <si>
    <t>Kriens</t>
  </si>
  <si>
    <t>Malters</t>
  </si>
  <si>
    <t>Meggen</t>
  </si>
  <si>
    <t>Meierskappel</t>
  </si>
  <si>
    <t>Root</t>
  </si>
  <si>
    <t>Schwarzenberg</t>
  </si>
  <si>
    <t>Udligenswil</t>
  </si>
  <si>
    <t>Vitznau</t>
  </si>
  <si>
    <t>Weggis</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</si>
  <si>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</si>
  <si>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</si>
  <si>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</si>
  <si>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</si>
  <si>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</si>
  <si>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</si>
  <si>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</si>
  <si>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</si>
  <si>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</si>
  <si>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</si>
  <si>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</si>
  <si>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</si>
  <si>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</si>
  <si>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</si>
  <si>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</si>
  <si>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</si>
  <si>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</si>
  <si>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Sursee</t>
  </si>
  <si>
    <t>Triengen</t>
  </si>
  <si>
    <t>Wolhusen</t>
  </si>
  <si>
    <t>Alberswil</t>
  </si>
  <si>
    <t>Altbüron</t>
  </si>
  <si>
    <t>Altishofen</t>
  </si>
  <si>
    <t>Dagmersellen</t>
  </si>
  <si>
    <t>Egolzwil</t>
  </si>
  <si>
    <t>Ettiswil</t>
  </si>
  <si>
    <t>Fischbach</t>
  </si>
  <si>
    <t>Grossdietwil</t>
  </si>
  <si>
    <t>Hergiswil bei Willisau</t>
  </si>
  <si>
    <t>Luthern</t>
  </si>
  <si>
    <t>Menznau</t>
  </si>
  <si>
    <t>Nebikon</t>
  </si>
  <si>
    <t>Pfaffnau</t>
  </si>
  <si>
    <t>Reiden</t>
  </si>
  <si>
    <t>Roggliswil</t>
  </si>
  <si>
    <t>Schötz</t>
  </si>
  <si>
    <t>Ufhusen</t>
  </si>
  <si>
    <t>Wauwil</t>
  </si>
  <si>
    <t>Wikon</t>
  </si>
  <si>
    <t>Zell (LU)</t>
  </si>
  <si>
    <t>Willisau</t>
  </si>
  <si>
    <t>Altdorf (UR)</t>
  </si>
  <si>
    <t>Andermatt</t>
  </si>
  <si>
    <t>Attinghausen</t>
  </si>
  <si>
    <t>Bürglen (UR)</t>
  </si>
  <si>
    <t>Erstfeld</t>
  </si>
  <si>
    <t>Flüelen</t>
  </si>
  <si>
    <t>Göschenen</t>
  </si>
  <si>
    <t>Gurtnellen</t>
  </si>
  <si>
    <t>Hospental</t>
  </si>
  <si>
    <t>Isenthal</t>
  </si>
  <si>
    <t>Realp</t>
  </si>
  <si>
    <t>Schattdorf</t>
  </si>
  <si>
    <t>Seedorf (UR)</t>
  </si>
  <si>
    <t>Seelisberg</t>
  </si>
  <si>
    <t>Silenen</t>
  </si>
  <si>
    <t>Sisikon</t>
  </si>
  <si>
    <t>Spiringen</t>
  </si>
  <si>
    <t>Unterschächen</t>
  </si>
  <si>
    <t>Wassen</t>
  </si>
  <si>
    <t>Einsiedeln</t>
  </si>
  <si>
    <t>Gersau</t>
  </si>
  <si>
    <t>Feusisberg</t>
  </si>
  <si>
    <t>Freienbach</t>
  </si>
  <si>
    <t>Wollerau</t>
  </si>
  <si>
    <t>Küssnacht (SZ)</t>
  </si>
  <si>
    <t>Altendorf</t>
  </si>
  <si>
    <t>Galgenen</t>
  </si>
  <si>
    <t>Innerthal</t>
  </si>
  <si>
    <t>Lachen</t>
  </si>
  <si>
    <t>Reichenburg</t>
  </si>
  <si>
    <t>Schübelbach</t>
  </si>
  <si>
    <t>Tuggen</t>
  </si>
  <si>
    <t>Vorderthal</t>
  </si>
  <si>
    <t>Wangen (SZ)</t>
  </si>
  <si>
    <t>Alpthal</t>
  </si>
  <si>
    <t>Arth</t>
  </si>
  <si>
    <t>Illgau</t>
  </si>
  <si>
    <t>Ingenbohl</t>
  </si>
  <si>
    <t>Lauerz</t>
  </si>
  <si>
    <t>Morschach</t>
  </si>
  <si>
    <t>Muotathal</t>
  </si>
  <si>
    <t>Oberiberg</t>
  </si>
  <si>
    <t>Riemenstalden</t>
  </si>
  <si>
    <t>Rothenthurm</t>
  </si>
  <si>
    <t>Sattel</t>
  </si>
  <si>
    <t>Steinen</t>
  </si>
  <si>
    <t>Steinerberg</t>
  </si>
  <si>
    <t>Unteriberg</t>
  </si>
  <si>
    <t>Alpnach</t>
  </si>
  <si>
    <t>Engelberg</t>
  </si>
  <si>
    <t>Giswil</t>
  </si>
  <si>
    <t>Kerns</t>
  </si>
  <si>
    <t>Lungern</t>
  </si>
  <si>
    <t>Sachseln</t>
  </si>
  <si>
    <t>Sarnen</t>
  </si>
  <si>
    <t>Beckenried</t>
  </si>
  <si>
    <t>Buochs</t>
  </si>
  <si>
    <t>Dallenwil</t>
  </si>
  <si>
    <t>Emmetten</t>
  </si>
  <si>
    <t>Ennetbürgen</t>
  </si>
  <si>
    <t>Ennetmoos</t>
  </si>
  <si>
    <t>Hergiswil (NW)</t>
  </si>
  <si>
    <t>Oberdorf (NW)</t>
  </si>
  <si>
    <t>Stans</t>
  </si>
  <si>
    <t>Stansstad</t>
  </si>
  <si>
    <t>Wolfenschiessen</t>
  </si>
  <si>
    <t>Glarus Nord</t>
  </si>
  <si>
    <t>Glarus Süd</t>
  </si>
  <si>
    <t>Baar</t>
  </si>
  <si>
    <t>Cham</t>
  </si>
  <si>
    <t>Hünenberg</t>
  </si>
  <si>
    <t>Menzingen</t>
  </si>
  <si>
    <t>Neuheim</t>
  </si>
  <si>
    <t>Oberägeri</t>
  </si>
  <si>
    <t>Risch</t>
  </si>
  <si>
    <t>Steinhausen</t>
  </si>
  <si>
    <t>Unterägeri</t>
  </si>
  <si>
    <t>Walchwil</t>
  </si>
  <si>
    <t>Châtillon (FR)</t>
  </si>
  <si>
    <t>Cugy (FR)</t>
  </si>
  <si>
    <t>Fétigny</t>
  </si>
  <si>
    <t>Gletterens</t>
  </si>
  <si>
    <t>Lully (FR)</t>
  </si>
  <si>
    <t>Ménières</t>
  </si>
  <si>
    <t>Montagny (FR)</t>
  </si>
  <si>
    <t>Nuvilly</t>
  </si>
  <si>
    <t>Prévondavaux</t>
  </si>
  <si>
    <t>Saint-Aubin (FR)</t>
  </si>
  <si>
    <t>Sévaz</t>
  </si>
  <si>
    <t>Surpierre</t>
  </si>
  <si>
    <t>Vallon</t>
  </si>
  <si>
    <t>Les Montets</t>
  </si>
  <si>
    <t>Delley-Portalban</t>
  </si>
  <si>
    <t>Belmont-Broye</t>
  </si>
  <si>
    <t>Estavayer</t>
  </si>
  <si>
    <t>Cheyres-Châbles</t>
  </si>
  <si>
    <t>Billens-Hennens</t>
  </si>
  <si>
    <t>Le Châtelard</t>
  </si>
  <si>
    <t>Châtonnaye</t>
  </si>
  <si>
    <t>Grangettes</t>
  </si>
  <si>
    <t>Massonnens</t>
  </si>
  <si>
    <t>Mézières (FR)</t>
  </si>
  <si>
    <t>Romont (FR)</t>
  </si>
  <si>
    <t>Rue</t>
  </si>
  <si>
    <t>Siviriez</t>
  </si>
  <si>
    <t>Ursy</t>
  </si>
  <si>
    <t>Vuisternens-devant-Romont</t>
  </si>
  <si>
    <t>Villorsonnens</t>
  </si>
  <si>
    <t>Torny</t>
  </si>
  <si>
    <t>Villaz</t>
  </si>
  <si>
    <t>Haut-Intyamon</t>
  </si>
  <si>
    <t>Pont-en-Ogoz</t>
  </si>
  <si>
    <t>Botterens</t>
  </si>
  <si>
    <t>Broc</t>
  </si>
  <si>
    <t>Bulle</t>
  </si>
  <si>
    <t>Châtel-sur-Montsalvens</t>
  </si>
  <si>
    <t>Corbières</t>
  </si>
  <si>
    <t>Crésuz</t>
  </si>
  <si>
    <t>Echarlens</t>
  </si>
  <si>
    <t>Grandvillard</t>
  </si>
  <si>
    <t>Gruyères</t>
  </si>
  <si>
    <t>Hauteville</t>
  </si>
  <si>
    <t>Jaun</t>
  </si>
  <si>
    <t>Marsens</t>
  </si>
  <si>
    <t>Morlon</t>
  </si>
  <si>
    <t>Le Pâquier (FR)</t>
  </si>
  <si>
    <t>Pont-la-Ville</t>
  </si>
  <si>
    <t>Riaz</t>
  </si>
  <si>
    <t>La Roche</t>
  </si>
  <si>
    <t>Sâles</t>
  </si>
  <si>
    <t>Sorens</t>
  </si>
  <si>
    <t>Vaulruz</t>
  </si>
  <si>
    <t>Vuadens</t>
  </si>
  <si>
    <t>Bas-Intyamon</t>
  </si>
  <si>
    <t>Val-de-Charmey</t>
  </si>
  <si>
    <t>Autigny</t>
  </si>
  <si>
    <t>Avry</t>
  </si>
  <si>
    <t>Belfaux</t>
  </si>
  <si>
    <t>Chénens</t>
  </si>
  <si>
    <t>Corminboeuf</t>
  </si>
  <si>
    <t>Cottens (FR)</t>
  </si>
  <si>
    <t>Ferpicloz</t>
  </si>
  <si>
    <t>Givisiez</t>
  </si>
  <si>
    <t>Granges-Paccot</t>
  </si>
  <si>
    <t>Marly</t>
  </si>
  <si>
    <t>Matran</t>
  </si>
  <si>
    <t>Neyruz (FR)</t>
  </si>
  <si>
    <t>Pierrafortscha</t>
  </si>
  <si>
    <t>Le Mouret</t>
  </si>
  <si>
    <t>Treyvaux</t>
  </si>
  <si>
    <t>Villars-sur-Glâne</t>
  </si>
  <si>
    <t>Villarsel-sur-Marly</t>
  </si>
  <si>
    <t>Hauterive (FR)</t>
  </si>
  <si>
    <t>La Brillaz</t>
  </si>
  <si>
    <t>La Sonnaz</t>
  </si>
  <si>
    <t>Gibloux</t>
  </si>
  <si>
    <t>Prez</t>
  </si>
  <si>
    <t>Bois-d'Amont</t>
  </si>
  <si>
    <t>Grolley-Ponthaux</t>
  </si>
  <si>
    <t>Courgevaux</t>
  </si>
  <si>
    <t>Courtepin</t>
  </si>
  <si>
    <t>Cressier (FR)</t>
  </si>
  <si>
    <t>Fräschels</t>
  </si>
  <si>
    <t>Greng</t>
  </si>
  <si>
    <t>Gurmels</t>
  </si>
  <si>
    <t>Kerzers</t>
  </si>
  <si>
    <t>Kleinbösingen</t>
  </si>
  <si>
    <t>Meyriez</t>
  </si>
  <si>
    <t>Misery-Courtion</t>
  </si>
  <si>
    <t>Muntelier</t>
  </si>
  <si>
    <t>Murten</t>
  </si>
  <si>
    <t>Ried bei Kerzers</t>
  </si>
  <si>
    <t>Ulmiz</t>
  </si>
  <si>
    <t>Mont-Vully</t>
  </si>
  <si>
    <t>Brünisried</t>
  </si>
  <si>
    <t>Düdingen</t>
  </si>
  <si>
    <t>Giffers</t>
  </si>
  <si>
    <t>Bösingen</t>
  </si>
  <si>
    <t>Heitenried</t>
  </si>
  <si>
    <t>Plaffeien</t>
  </si>
  <si>
    <t>Plasselb</t>
  </si>
  <si>
    <t>Rechthalten</t>
  </si>
  <si>
    <t>St. Silvester</t>
  </si>
  <si>
    <t>St. Ursen</t>
  </si>
  <si>
    <t>Schmitten (FR)</t>
  </si>
  <si>
    <t>Tafers</t>
  </si>
  <si>
    <t>Tentlingen</t>
  </si>
  <si>
    <t>Ueberstorf</t>
  </si>
  <si>
    <t>Wünnewil-Flamatt</t>
  </si>
  <si>
    <t>Attalens</t>
  </si>
  <si>
    <t>Bossonnens</t>
  </si>
  <si>
    <t>Châtel-Saint-Denis</t>
  </si>
  <si>
    <t>Granges (Veveyse)</t>
  </si>
  <si>
    <t>Remaufens</t>
  </si>
  <si>
    <t>Saint-Martin (FR)</t>
  </si>
  <si>
    <t>Semsales</t>
  </si>
  <si>
    <t>Le Flon</t>
  </si>
  <si>
    <t>La Verrerie</t>
  </si>
  <si>
    <t>Egerkingen</t>
  </si>
  <si>
    <t>Härkingen</t>
  </si>
  <si>
    <t>Kestenholz</t>
  </si>
  <si>
    <t>Neuendorf</t>
  </si>
  <si>
    <t>Niederbuchsiten</t>
  </si>
  <si>
    <t>Oberbuchsiten</t>
  </si>
  <si>
    <t>Oensingen</t>
  </si>
  <si>
    <t>Wolfwil</t>
  </si>
  <si>
    <t>Aedermannsdorf</t>
  </si>
  <si>
    <t>Balsthal</t>
  </si>
  <si>
    <t>Herbetswil</t>
  </si>
  <si>
    <t>Holderbank (SO)</t>
  </si>
  <si>
    <t>Laupersdorf</t>
  </si>
  <si>
    <t>Matzendorf</t>
  </si>
  <si>
    <t>Mümliswil-Ramiswil</t>
  </si>
  <si>
    <t>Welschenrohr-Gänsbrunnen</t>
  </si>
  <si>
    <t>Biezwil</t>
  </si>
  <si>
    <t>Lüterkofen-Ichertswil</t>
  </si>
  <si>
    <t>Messen</t>
  </si>
  <si>
    <t>Schnottwil</t>
  </si>
  <si>
    <t>Unterramsern</t>
  </si>
  <si>
    <t>Lüsslingen-Nennigkofen</t>
  </si>
  <si>
    <t>Buchegg</t>
  </si>
  <si>
    <t>Bättwil</t>
  </si>
  <si>
    <t>Büren (SO)</t>
  </si>
  <si>
    <t>Dornach</t>
  </si>
  <si>
    <t>Gempen</t>
  </si>
  <si>
    <t>Hochwald</t>
  </si>
  <si>
    <t>Hofstetten-Flüh</t>
  </si>
  <si>
    <t>Metzerlen-Mariastein</t>
  </si>
  <si>
    <t>Nuglar-St. Pantaleon</t>
  </si>
  <si>
    <t>Rodersdorf</t>
  </si>
  <si>
    <t>Seewen</t>
  </si>
  <si>
    <t>Witterswil</t>
  </si>
  <si>
    <t>Hauenstein-Ifenthal</t>
  </si>
  <si>
    <t>Kienberg</t>
  </si>
  <si>
    <t>Lostorf</t>
  </si>
  <si>
    <t>name_mun</t>
  </si>
  <si>
    <t>kanton</t>
  </si>
  <si>
    <t>la_id</t>
  </si>
  <si>
    <t>subv_id</t>
  </si>
  <si>
    <t>contributor_id</t>
  </si>
  <si>
    <t>language</t>
  </si>
  <si>
    <t>subv_name</t>
  </si>
  <si>
    <t>subv_desc</t>
  </si>
  <si>
    <t>site_url</t>
  </si>
  <si>
    <t>type_subv</t>
  </si>
  <si>
    <t>de</t>
  </si>
  <si>
    <t>Energieberatung</t>
  </si>
  <si>
    <t>Die städtische Energieberatung bietet kostenlose oder stark vergünstigte Beratungsangebote. Diese umfassen den Heizungsersatz, die Gebäudesanierung sowie Solaranlagen und reichen von der Erstberatung bis hin zur Umsetzungsbegleitung.</t>
  </si>
  <si>
    <t>https://www.stadt-zuerich.ch/energieberatung</t>
  </si>
  <si>
    <t>fr</t>
  </si>
  <si>
    <t>Installations de biomasse</t>
  </si>
  <si>
    <t>Différents instruments de soutien sont disponibles pour les installations de biomasse : Prime de marché flottante, contribution d'investissement ou contribution aux coûts d’exploitation allouée.</t>
  </si>
  <si>
    <t>https://pronovo.ch/fr/subventions/autres-technologies/biomasse/</t>
  </si>
  <si>
    <t>Wärmenetze</t>
  </si>
  <si>
    <t>Gefördert werden der Auf- und Ausbau – auch die Verdichtung – von Wärmenetzen zur Nutzung von Wärme aus der Verbrennung von Holz, aus Gewässern (Grund- oder Oberflächengewässer), aus Abwasser und dem Erdreich sowie aus Abwärme industrieller Prozesse, einschliesslich Kehrichtverbrennungsanlagen, von Dienstleistungsbauten und aus der Stromproduktion unterschiedlichster Art (z.B. Biogasanlagen).&lt;br /&gt;&lt;br /&gt;&lt;strong&gt;Förderbeitrag:&lt;/strong&gt;&lt;br /&gt;- Der Beitrag an den Neubau oder die Erweiterung eines Wärmenetzes beträgt 150 Fr. je MWh. &lt;br /&gt;- Der Beitrag an den Neubau oder die Erweiterung einer Heizzentrale beträgt 130 Fr. je MWh.</t>
  </si>
  <si>
    <t>https://www.energieagentur-sg.ch/waermenetze</t>
  </si>
  <si>
    <t>Installations photovoltaïques</t>
  </si>
  <si>
    <t>Les nouvelles installations photovoltaïques sont subventionnées dans toute la Suisse par le biais de la rétribution unique:&lt;br /&gt;&lt;strong&gt;-&lt;/strong&gt; &lt;strong&gt;PRU – rétribution unique pour les petites installations photovoltaïques:&lt;/strong&gt; installations d’une puissance de moins de 100 kWc. Le soutien s’élève au maximum à 30 % des coûts de référence, et à environ 10 % de plus pour les installations intégrées.&lt;br /&gt;&lt;strong&gt;-&lt;/strong&gt; &lt;strong&gt;GRU – rétribution unique pour les grandes installations photovoltaïques:&lt;/strong&gt; Installations d’une puissance supérieure à 100 kW. Maximum 30 % des coûts de référence ; pour les installations intégrées, un taux plus élevé est accordé pour la partie inférieure à 100 kW.&lt;br /&gt;&lt;strong&gt;-&lt;/strong&gt; &lt;strong&gt;RUE – rétribution unique élevée pour les installations photovoltaïques:&lt;/strong&gt; Pour les installations sans consommation propre d’une puissance inférieure à 150 kW. La subvention couvre jusqu’à 60 % des coûts de référence. A partir d’une puissance d’installation de 150 kW, la RUE est attribuée par vente aux enchères.</t>
  </si>
  <si>
    <t>https://pronovo.ch/fr/subventions/retribution-unique-ru/</t>
  </si>
  <si>
    <t>Gesamtmodernisierung Minergie-Eco</t>
  </si>
  <si>
    <t>Gesamtmodernisierung eines Gebäudes nach Minergie-Eco-Standard. &lt;br /&gt;&lt;br /&gt;&lt;strong&gt;Förderbeiträge:&lt;br /&gt;&lt;/strong&gt;&lt;br /&gt;Minergie-Eco (mit oder ohne Zusatz Minergie-A): &lt;br /&gt;- EFH: 110 Fr. pro m&lt;sup&gt;2&lt;/sup&gt; EBF&lt;br /&gt;- MFH: 70 Fr. pro m&lt;sup&gt;2&lt;/sup&gt; EBF&lt;br /&gt;- übrige Gebäude: 50 Fr. pro m&lt;sup&gt;2&lt;/sup&gt; EBF&lt;br /&gt;&lt;br /&gt;Minergie-P Eco (mit oder ohne Zusatz Minergie-A) &lt;br /&gt;- EFH: 165 Fr. pro m&lt;sup&gt;2&lt;/sup&gt; EBF&lt;br /&gt;- MFH: 100 Fr. pro m&lt;sup&gt;2 &lt;/sup&gt;EBF&lt;br /&gt;- übrige Gebäude: 80 Fr. pro m&lt;sup&gt;2 &lt;/sup&gt;EBF&lt;br /&gt;&lt;br /&gt;&lt;em&gt;EBF = Energiebezugsfläche&lt;/em&gt;</t>
  </si>
  <si>
    <t>https://energiefoerderung.zh.ch/internet/microsites/energie/de/home.html</t>
  </si>
  <si>
    <t>Stromcheck (nur Mehrfamilienhäuser)</t>
  </si>
  <si>
    <t>Der EKZ-Stromcheck im Wert von 400 Franken ist für Kundinnen und Kunden von EKZ vergünstigt und kostet 200 Franken.</t>
  </si>
  <si>
    <t>https://www.ekz.ch/de/geschaeftskunden/angebote/foerderprogramme/foerderprogramm-mehrfamilienhaueser.html</t>
  </si>
  <si>
    <t>Sonnenkollektoren</t>
  </si>
  <si>
    <t>Pauschale Förderbeiträge an Sonnenkollektoren zur Warmwassererzeugung oder Heizungsunterstützung.</t>
  </si>
  <si>
    <t>https://www.dietikon.ch/energieberatungufoerderung/4011</t>
  </si>
  <si>
    <t>Photovoltaikanlagen</t>
  </si>
  <si>
    <t>Die Stadt Dietikon unterstützt bei Neubauten sowie bei  Bestandesbauten die über die gesetzlichen Anforderungen hinausgehende installierte Leistung mit einem Förderbeitrag.</t>
  </si>
  <si>
    <t>PV</t>
  </si>
  <si>
    <t>Gefördert werden Sonnenkollektoren &amp;gt;3 m&lt;sup&gt;2&lt;/sup&gt; bei bestehenden Gebäuden mit einem Beitrag von 2000.- Fr. plus 250.- Fr./m&lt;sup&gt;2&lt;/sup&gt; Absorberfläche.</t>
  </si>
  <si>
    <t>https://www.horgen.ch/ueber-horgen/politik/energiestadt-horgen/foerderprogramm.html/525</t>
  </si>
  <si>
    <t>Gefördert werden Fassaden-Photovoltaikanlagen bei bestehenden Gebäuden und dachintegrierte Photovoltaikanlagen in Kernzonen oder bei denkmalgeschützten Bauten von 2 kW bis 99.9 kW Leistung.</t>
  </si>
  <si>
    <t>Thermische Solaranlagen</t>
  </si>
  <si>
    <t>Zusätzlich 30 % des Förderbeitrags des Kt. ZH, maximal 10'000 Fr.</t>
  </si>
  <si>
    <t>https://www.ilef.ch/foerderprogrammenergie</t>
  </si>
  <si>
    <t>Pellet-/Holzfeuerung</t>
  </si>
  <si>
    <t>Pellets-/Holzheizungen, bei Heizungsersatz Öl/Gas/Elektro:&lt;br /&gt;- Stückholz-/Pelletfeuerung mit Tagesbehälter: 3000 Fr. pro Anlage&lt;br /&gt;- Automatische Holzfeuerung bis 70 kW: 3000 Fr. pro Anlage; plus 50.–/kW&lt;br /&gt;- Automatische Holzfeuerung &amp;gt; 70 kW: 10'000 Fr. pro Anlage</t>
  </si>
  <si>
    <t>GEAK/GEAK Plus</t>
  </si>
  <si>
    <t>Ein GEAK wird mit 200.- Fr., ein GEAK Plus mit 500.- Fr. gefördert.</t>
  </si>
  <si>
    <t>http://www.meilen.ch/de/politik/energiestadtmeilen/foerderbeitraege/</t>
  </si>
  <si>
    <t>Minergie-P/Minergie-A</t>
  </si>
  <si>
    <t>Bauen und sanieren nach Minergie-Standard wird mit Förderbeiträgen ab 4000 Fr. pro Baugesuch unterstützt.</t>
  </si>
  <si>
    <t>Thermische Solaranlage</t>
  </si>
  <si>
    <t>Gefördert wird die Installation thermischer Solaranlagen für Warmwassererwärmung und/oder Heizungsunterstützung. Die Beiträge werden aufgrund der installierten Kollektorfläche und der Erstellungskosten berechnet. Thermische Solaranlagen zur Beheizung von Schwimmbädern werden nicht unterstützt.</t>
  </si>
  <si>
    <t>https://www.infra-z.ch</t>
  </si>
  <si>
    <t>Wärmepumpe</t>
  </si>
  <si>
    <t>Unterstützungsbeiträge werden differenziert ausgerichtet, abhängig vom Anlagentyp und von der Heizleistung.</t>
  </si>
  <si>
    <t>http://www.ewmag.ch/strom/oekologiefonds/</t>
  </si>
  <si>
    <t>Photovoltaik</t>
  </si>
  <si>
    <t>Bei Neubauten werden PV-Anlagen als Stand der Technik angesehen und werden nicht gefördert. Nur die Erstellung von PV-Anlagen auf bestehenden Gebäuden wird finanziell unterstützt.</t>
  </si>
  <si>
    <t>https://www.infra-z.ch/</t>
  </si>
  <si>
    <t>Gefördert werden. Thermische Solaranlagen zur Warmwasseraufbereitung (ausgenommen Solaranlagen zur Schwimmbadbeheizung).</t>
  </si>
  <si>
    <t>https://www.nuerensdorf.ch/verwaltung/verwaltungsstellen/abteilung-bau-und-liegenschaften.html/18</t>
  </si>
  <si>
    <t>Gefördert werden Solaranlagen zur Stromproduktion.</t>
  </si>
  <si>
    <t>Der Förderbeitrag beträgt maximal 10% der Investitionskosten, jedoch nicht mehr als 10’000 Fr. Beträge unter 300 Fr. werden nicht ausbezahlt.&lt;br /&gt;Sonnenkollektoranlagen werden mit 1000 Fr. pro Anlage gefördert.</t>
  </si>
  <si>
    <t>https://energieopfikon.ch/nachhaltigkeit-1</t>
  </si>
  <si>
    <t>Der Förderbeitrag beträgt maximal 10% der Investitionskosten, jedoch nicht mehr als 10’000 Fr. Beträge unter 300 Fr. werden nicht ausbezahlt. &lt;br /&gt;Neue Wärmepumpenanlagen und Anlagen als Ersatz von Ölheizungen bis max. 25 kW Heizleistung werden mit 300 Fr. pro kW gefördert.</t>
  </si>
  <si>
    <t>Der Förderbeitrag beträgt maximal 10% der Investitionskosten, jedoch nicht mehr als 10’000 Fr. Beträge unter 300 Fr. werden nicht ausbezahlt.&lt;br /&gt;Photovoltaikanlagen werden mit 200 Fr. pro kW gefördert.</t>
  </si>
  <si>
    <t>Detailberatung GEAK Plus, Gebäudeanalyse BFE</t>
  </si>
  <si>
    <t>Mit dem GEAK Plus erhalten Liegenschaftsbesitzer eine Analyse des energetischen Zustands und der Effizienz ihres Gebäudes. Der Zustand wird auf der Energieetikette in den Klassen A (sehr effizient) bis G (wenig effizient) angezeigt.&lt;br /&gt;&lt;br /&gt;&lt;strong&gt;Förderbeitrag:&lt;/strong&gt;&lt;br /&gt;- Einfamilienhäuser: 1000 Fr.&lt;br /&gt;- Mehrfamilienhäuser und Nichtwohnbauten: 1500 Fr.&lt;br /&gt;- Gebäudeanalysen nach Pflichtenheft BFE (wenn GEAK Plus nicht möglich): 1500 Fr.&lt;br /&gt;- Kundenbeteiligung: gemäss Offerte Energieberatende beziehungsweise GEAK-Experten</t>
  </si>
  <si>
    <t>https://www.ag.ch/de/verwaltung/bvu/energie/energieberatungaargau/beratungsangebote-vor-ort</t>
  </si>
  <si>
    <t>Gesamtmodernisierung mit Minergie-Zertifikat</t>
  </si>
  <si>
    <t>Für Modernisierungen von Liegenschaften, die eine Zertifizierung nach Minergie, Minergie-A oder Minergie-P-Standard aufweisen, kann beim Gebäudeprogramm des Kantons Aargau eine Förderung beantragt werden. &lt;br /&gt;&lt;br /&gt;&lt;strong&gt;Förderbeitrag&lt;/strong&gt;&lt;br /&gt;- Je nach Standard und Gebäudekategorie zwischen 40 und 155 Fr. pro m&lt;sup&gt;2&lt;/sup&gt;</t>
  </si>
  <si>
    <t>https://www.ag.ch/de/verwaltung/bvu/energie/foerderung/foerderung-von-massnahmen</t>
  </si>
  <si>
    <t>Vor-Ort-Beratungen für Wohngebäude und Gewerbebauten im Zusammenhang mit Sanierungen oder Beratung bei Modernisierungen in Form einer Baubegleitung oder Umsetzungscoaching (bis 1000 Fr. pro Objekt).</t>
  </si>
  <si>
    <t>https://www.baden.ch/de/leben-wohnen/energie-mobilitaet/energie/beratung.html/721</t>
  </si>
  <si>
    <t>Solaranlagen</t>
  </si>
  <si>
    <t>Der Kanton Basel-Stadt unterstützt die Installation von thermischen Solaranlagen mit Förderbeiträgen. &lt;br /&gt;&lt;br /&gt;&lt;strong&gt;Förderbeitrag:&lt;/strong&gt;&lt;br /&gt;- Grundbeitrag pro Neuanlage: 2400 Fr.&lt;br /&gt;- Leistungsabhängiger Zusatzbeitrag: 1000 Fr. pro kW</t>
  </si>
  <si>
    <t>https://www.bs.ch/wsu/aue/abteilung-energie/foerderbeitraege-energie/solaranlagen</t>
  </si>
  <si>
    <t>Holzheizungen</t>
  </si>
  <si>
    <t>Automatische Holzheizungen, die als Hauptheizung eingesetzt werden und eine Öl-, Gas- oder Elektroheizung ersetzen, sind förderbeitragsberechtigt. Hierbei sind die Anforderungen, Nebenbedingungen und Dimensionierungsgrundlagen gemäss Energieverordnung zu beachten resp. einzuhalten.&lt;br /&gt;&lt;br /&gt;&lt;strong&gt;Förderbeitrag ausserhalb Fernwärmegebiet:&lt;/strong&gt;&lt;br /&gt;- Dezentrale Einzelpelletfeuerung: 1000 Fr.&lt;br /&gt;- Neuanlagen bis 70 kW: 10 000 Fr. + 200 Fr. pro kW&lt;sub&gt;th&lt;/sub&gt;&lt;br /&gt;- Neuanlagen ab 70 kW bis 500 kW: 15 000 Fr. + 130 Fr. pro kW&lt;sub&gt;th&lt;br /&gt;&lt;br /&gt;&lt;/sub&gt;&lt;strong&gt;Förderbeitrag innerhalb Fernwärmegebiet:&lt;/strong&gt;&lt;br /&gt;- Dezentrale Einzelpelletfeuerung: 500 Fr.&lt;br /&gt;- Neuanlagen bis 70 kW: 5000 Fr. + 100 Fr. pro kWth&lt;br /&gt;- Neuanlagen ab 70 kW bis 500 kW: kein Beitrag</t>
  </si>
  <si>
    <t>https://www.bs.ch/wsu/aue/abteilung-energie/foerderbeitraege-energie/holzheizungen</t>
  </si>
  <si>
    <t>Wärmepumpen</t>
  </si>
  <si>
    <t>Luft/Wasser-, Sole/Wasser- und Wasser/Wasser-Wärmepumpen, die als Hauptheizung eingesetzt werden und eine Öl-, Gas- oder Elektroheizung ersetzen, sind förderbeitragsberechtigt. Hierbei sind die Anforderungen, Nebenbedingungen und Dimensionierungsgrundlagen gemäss Energieverordnung zu beachten resp. einzuhalten.&lt;br /&gt;&lt;br /&gt;&lt;strong&gt;Förderbeitrag für Luft-Wasser-Wärmepumpen&lt;/strong&gt;&lt;br /&gt;- Beitragssatz ausserhalb Fernwärmegebiet: 8000 Fr. + 250 Fr. pro kW&lt;sub&gt;th&lt;/sub&gt;&lt;br /&gt;- Beitragssatz bis 70 kW&lt;sub&gt;th &lt;/sub&gt;innerhalb Fernwärmegebiet: 4000 Fr. + 125 Fr. pro kW&lt;sub&gt;th&lt;br /&gt;&lt;/sub&gt;- Beitragssatz ab 70 kW&lt;sub&gt;th &lt;/sub&gt;innerhalb Fernwärmegebiet: keine Beiträge&lt;br /&gt;&lt;br /&gt;&lt;strong&gt;Förderbeitrag für Sole-Wasser- oder Wasser-Wasser-Wärmepumpen (Erdsonden-Wärmepumpen)&lt;/strong&gt;&lt;br /&gt;- Beitragssatz bis 10 kW&lt;sub&gt;th &lt;/sub&gt;ausserhalb Fernwärmegebiet: maximal 30 000 Fr.&lt;br /&gt;- Beitragssatz ab 10 kW&lt;sub&gt;th&lt;/sub&gt; ausserhalb Fernwärmegebiet: 25 500 + 450 Fr. pro kW&lt;sub&gt;th&lt;/sub&gt;&lt;br /&gt;- Beitragssatz bis 10 kW&lt;sub&gt;th&lt;/sub&gt; innerhalb Fernwärmegebiet: maximal 15 000 Fr.&lt;br /&gt;- Beitragssatz ab 11 bis 70 kW&lt;sub&gt;th&lt;/sub&gt; innerhalb Fernwärmegebiet: 12 500 Fr. + 225 Fr. pro kW&lt;sub&gt;th&lt;/sub&gt;&lt;br /&gt;- Beitragssatz ab 70 kW&lt;sub&gt;th&lt;/sub&gt; innerhalb Fernwärmegebiet: keine Beiträge</t>
  </si>
  <si>
    <t>https://www.bs.ch/wsu/aue/abteilung-energie/foerderbeitraege-energie/waermepumpen</t>
  </si>
  <si>
    <t>GEAK Plus</t>
  </si>
  <si>
    <t>Mit dem GEAK Plus werden Schwachstellen an Gebäudehülle und Haustechnik aufgedeckt. Zudem enthält der Bericht verschiedene Varianten, die aufzeigen, mit welchen Massnahmen wie viel Energie eingespart werden kann. Wird mindestens eine der mehreren vorgeschlagenen Massnahmen aus dem Bericht umgesetzt, gibt es Förderbeiträge für die förderbeitragsberechtigte Massnahme selbst und für den GEAK Plus.&lt;br /&gt;&lt;br /&gt;&lt;strong&gt;Förderbeitrag:&lt;/strong&gt;&lt;br /&gt;- Einfamilienhaus: 1000 Fr.&lt;br /&gt;- MFH, Verwaltung, Schule: 1500 Fr.</t>
  </si>
  <si>
    <t>https://www.bs.ch/wsu/aue/abteilung-energie/foerderbeitraege-energie/geak-plus</t>
  </si>
  <si>
    <t>Neubau/Ersatzneubau Minergie-P oder Minergie-A</t>
  </si>
  <si>
    <t>Das Gebäude wird mit dem Standard Minergie-P zertifiziert oder mit dem Standard Minergie-A mit Nachweis Einhaltung der Minergie-P-Primäranforderung (nach SIA 380/1:2009).&lt;br /&gt;&lt;br /&gt;&lt;strong&gt;Förderbeitrag:&lt;/strong&gt;&lt;br /&gt;- EFH: 80 Fr. pro m&lt;sup&gt;2&lt;/sup&gt; + 20 Prozent Energieprämie&lt;br /&gt;- MFH: 60 Fr. pro m&lt;sup&gt;2&lt;/sup&gt; + 20 Prozent Energieprämie&lt;br /&gt;- Nicht-Wohnbauten: 40 Fr. pro m&lt;sup&gt;2&lt;/sup&gt; + 20 Prozent Energieprämie&lt;br /&gt;- Zusatzbeitrag Eco: 5 Fr. pro m&lt;sup&gt;2&lt;/sup&gt;</t>
  </si>
  <si>
    <t>https://www.energiepaket-bl.ch/foerdermassnahmen/neubau/neubau-ersatzneubau-minergie-p-oder-minergie-a-mit-primaeranforderung-minergie-p</t>
  </si>
  <si>
    <t>Remplacement chauffage électrique, mazout ou gaz par un chauffage au bois</t>
  </si>
  <si>
    <t>Le remplacement d'un chauffage électrique, au mazout ou au gaz par un chauffage au bois est encouragé.&lt;br /&gt;&lt;strong&gt;&lt;br /&gt;Contribution financière:&lt;br /&gt;&lt;/strong&gt;- Nouveau chauffage ≤ 15 kW: 6000 fr.&lt;br /&gt;- Nouveau chauffage &amp;gt; 15 ≤ 70 kW: 800 fr. + 350 fr./kW&lt;br /&gt;- Nouveau chauffage &amp;gt; 70 ≤ 500 kW: 360 fr./kW&lt;br /&gt;- Nouveau chauffage &amp;gt; 500 kW: 80 000 fr. + 200 fr./kW&lt;br /&gt;&lt;br /&gt;- Contribution supplémentaire pour la première installation d'un système de distribution de chaleur: SRE &amp;lt; 250 m&lt;sup&gt;2&lt;/sup&gt;: 15 000 fr. / SRE ≥ 250 m&lt;sup&gt;2&lt;/sup&gt;: 60 fr./m&lt;sup&gt;2&lt;/sup&gt; SRE</t>
  </si>
  <si>
    <t>https://www.weu.be.ch/fr/start/themen/energie/foerderprogramm-energie/foerderbeitraege-bedingungen/anlagen.html</t>
  </si>
  <si>
    <t>Installations solaires thermiques</t>
  </si>
  <si>
    <t>Les nouvelles installations et l'extension des installations existantes peuvent bénéficier de contributions (pas pour les nouvelles constructions).&lt;br /&gt;&lt;br /&gt;&lt;strong&gt;Contribution financière:&lt;/strong&gt;&lt;br /&gt;- 2400 fr. + 1000 fr. par kW&lt;sub&gt;th&lt;/sub&gt;</t>
  </si>
  <si>
    <t>https://www.vol.be.ch/vol/fr/index/energie/energie/foerderprogramm_energie/anlagen.html</t>
  </si>
  <si>
    <t>Neubau/Ersatzneubau Minergie-P</t>
  </si>
  <si>
    <t>Gefördert werden Neubauten und Ersatzneubauten, die eine Zertifizierung nach Minergie-P für die entsprechende Gebäudekategorie erlangen.&lt;br /&gt;&lt;br /&gt;&lt;strong&gt;Förderbeitrag:&lt;/strong&gt;&lt;br /&gt;- Einfamilienhaus nach Minergie-P: 75 Fr. pro m&lt;sup&gt;2&lt;/sup&gt; EBF&lt;br /&gt;- Mehrfamilienhaus nach Minergie-P: 40 Fr. pro m&lt;sup&gt;2&lt;/sup&gt; EBF&lt;br /&gt;- Nicht‐Wohnbau nach Minergie-P: 30 Fr. pro m&lt;sup&gt;2&lt;/sup&gt; EBF</t>
  </si>
  <si>
    <t>https://energie.so.ch/foerderung/foerdermassnahmen</t>
  </si>
  <si>
    <t>Gefördert werden thermische Solaranlagen auf/an/bei bestehenden Gebäuden, welche eine Leistung bei Neuanlagen oder Anlagenerweiterungen (zusätzlich) von mindestens 2 kW&lt;sub&gt;th&lt;/sub&gt; aufweisen.&lt;br /&gt;&lt;br /&gt;&lt;strong&gt;Förderbeitrag:&lt;/strong&gt;&lt;br /&gt;- bis 70 kW&lt;sub&gt;th&lt;/sub&gt; 1800 Fr. + 750 Fr.n pro kWth&lt;br /&gt;- über 70 kW&lt;sub&gt;th&lt;/sub&gt; 3600 Fr. + 1500 Fr. pro kWth</t>
  </si>
  <si>
    <t>Sole/Wasser- oder Wasser/Wasser-Wärmepumpe</t>
  </si>
  <si>
    <t>Gefördert werden ausschliesslich Sole/Wasser- oder Wasser/Wasser-Wärmepumpen, die in bestehenden Gebäuden eine Öl-, Erdgas- oder Elektroheizung ersetzen.&lt;br /&gt;&lt;br /&gt;&lt;strong&gt;Förderbeitrag:&lt;/strong&gt;&lt;br /&gt;- bis 70 kW&lt;sub&gt;th&lt;/sub&gt;: 6000 Fr. + 450 Fr. pro kW&lt;sub&gt;th&lt;/sub&gt;&lt;br /&gt;- über 70 kW&lt;sub&gt;th&lt;/sub&gt; bis 500 kW&lt;sub&gt;th&lt;/sub&gt;: 12’000 Fr. + 450 Fr. pro kW&lt;sub&gt;th&lt;/sub&gt;&lt;br /&gt;- über 500 kW&lt;sub&gt;th&lt;/sub&gt;: 87’000 Fr. + 250 Fr. pro kW&lt;sub&gt;th&lt;/sub&gt;</t>
  </si>
  <si>
    <t>Stückholz- oder Pelletfeuerung</t>
  </si>
  <si>
    <t>Gefördert wird der Einbau einer Stückholz- oder Pelletfeuerung mit Tagesbehälter, die in einem bestehenden Gebäude eine Öl-, Gas- oder Elektroheizung ersetzt.&lt;br /&gt;&lt;br /&gt;&lt;strong&gt;Förderbeitrag:&lt;/strong&gt;&lt;br /&gt;- 3000 Fr. pro Anlage</t>
  </si>
  <si>
    <t>Energieberatung vor Ort</t>
  </si>
  <si>
    <t>Die Gemeinde übernimmt 500 Fr. der Gesamtkosten von 600 Fr.</t>
  </si>
  <si>
    <t>https://www.horw.ch/dienstleistungen/7311</t>
  </si>
  <si>
    <t>Die Stadt Luzern unterstützt die Realisierung einer thermischen Solaranlage. Pflicht für die Förderung ist eine aktive Anlagenüberwachung (Monitoring).&lt;br /&gt;Die Förderbeiträge der Stadt Luzern werden zusätzlich zu den Förderbeiträgen des Kantons Luzern ausbezahlt.</t>
  </si>
  <si>
    <t>https://www.stadtluzern.ch/dienstleistungeninformation/6259</t>
  </si>
  <si>
    <t>&lt;p class="text"&gt;Der Kanton Luzern fördert Solarkollektoranlagen. Förderberechtigt sind Neuanlagen oder Anlagenerweiterungen. Die Bezugsgrösse für die Berechnung des Förderbeitrags ist die thermische Nennleistung der Kollektoranlage.&lt;/p&gt;_x000D_
&lt;strong&gt;Förderbeitrag:&lt;/strong&gt;&lt;br /&gt;- 4000 Fr. + 1000 Fr. pro kW Nennleistung</t>
  </si>
  <si>
    <t>https://uwe.lu.ch/themen/energie/foerderprogramme/solarthermische_anlagen</t>
  </si>
  <si>
    <t>Neubau Minergie-P</t>
  </si>
  <si>
    <t>Förderberechtigt sind Neubauten, welche nach Minergie-P-Standard zertifiziert werden. Da der Kanton die Minergie-Zertifizierungsstelle und das Förderprogramm Energie Uri betreibt, muss für die Förderung von Neubauten nach Minergie-P kein Fördergesuch gestellt werden. Das Gesuch wird vom Amt für Energie beim Einreichen des Antrags für die Minergie-P-Zertifizierung automatisch eröffnet.&lt;br /&gt;&lt;br /&gt;&lt;strong&gt;Förderbeitrag:&lt;/strong&gt;&lt;br /&gt;- Einfamilienhaus, Beitrag pro m&lt;sup&gt;2&lt;/sup&gt; Energiebezugsfläche: 100 Fr.&lt;br /&gt;- Mehrfamilienhaus, Beitrag pro m&lt;sup&gt;2&lt;/sup&gt; Energiebezugsfläche: 40 Fr.&lt;br /&gt;- Übrige Gebäudekategorien, Beitrag pro m&lt;sup&gt;2&lt;/sup&gt; Energiebezugsfläche: 30 Fr.&lt;br /&gt;- Zusatzbeitrag Eco: 10 Fr. pro m&lt;sup&gt;2&lt;/sup&gt; Energiebezugsfläche</t>
  </si>
  <si>
    <t>https://www.ur.ch/dienstleistungen/7594</t>
  </si>
  <si>
    <t>Zertifizierung nach Minergie oder Minergie-A</t>
  </si>
  <si>
    <t>Förderberechtigt sind Neubauten, welche nach Minergie oder Minergie-A zertifiziert werden. Da der Kanton die Minergie-Zertifizierungsstelle und das Förderprogramm Energie Uri betreibt, muss für die Förderung von Neubauten nach Minergie oder Minergie-A kein Fördergesuch gestellt werden. Das Ge-such wird vom Amt für Energie beim Einreichen des Antrags für die Minergie-Zertifizierung automatisch eröffnet.&lt;br /&gt;&lt;br /&gt;&lt;strong&gt;Förderbeitrag:&lt;/strong&gt;&lt;br /&gt;- Pauschal 10 000 Fr.</t>
  </si>
  <si>
    <t>Sanierungsberatung Gebäudehülle</t>
  </si>
  <si>
    <t>Die Sanierungsberatung Gebäudehülle Uri ist ein vom Förderprogramm Energie Uri Fördergeld unterstützter Beratungsbericht, welcher von einer Energieexpertin / einem Energieexperten durchgeführt wird. Das Angebot gilt für Wohnbauten im Kanton Uri und umfasst die Besichtigung des Gebäudes mit der Aufnahme der Informationen, die Erstellung eines Berichts sowie ein Beratungsgespräch mit der Eigentümerschaft. Die Anforderungen an die Beratung sowie die Berichtsvorlage sind auf www.ur.ch/energie aufgeschaltet.&lt;br /&gt;Dieser Förderpfad wird nicht über das Online Portal des Gebäudeprogramms abgewickelt. Es benötigt keine Eingabe eines Fördergesuchs über das Online Portal. Nach erfolgter Sanierungsberatung können die Unterlagen für den Gesuchsabschluss innerhalb maximal eines Monats dem Amt für Energie zugestellt werden.&lt;br /&gt;&lt;br /&gt;&lt;span style="text-decoration: underline;"&gt;Förderbeitrag:&lt;/span&gt;&lt;br /&gt;- Pauschal 700 Fr. pro Objekt</t>
  </si>
  <si>
    <t>Das Gebäudeprogramm fördert die Installation von neuen Sonnenkollektoren oder Anlagenerweiterungen.&lt;br /&gt;&lt;br /&gt;&lt;strong&gt;Förderbeitrag:&lt;/strong&gt;&lt;br /&gt;- bis 70 kW auf bestehenden Bauten: von 2 bis 4 kW Beitrag von 8000 Fr. / ab 4 kW Zusatzbeitrag von 600 Fr. pro kW&lt;br /&gt;- ab 70 kW auf Neu- und Bestandsbauten sowie Freiflächen: 2400 Fr. + 1000 pro kW  (Anlage muss ein erneuerbares System für Heizungsersatz fossil / elektrisch ergänzen)</t>
  </si>
  <si>
    <t>Wärmepumpe (Luft-Wasser)</t>
  </si>
  <si>
    <t>Gefördert wird der Einbau einer Luft-Wasser-Wärmepumpe. Die Anlage muss als Hauptheizung eingesetzt werden. &lt;br /&gt;&lt;br /&gt;&lt;strong&gt;Förderbeitrag:&lt;/strong&gt;&lt;br /&gt;- bis 20 kW: 3000 Fr.&lt;br /&gt;- ab 20 kW: 3000 Fr. + 60 Fr. pro kW&lt;br /&gt;- ab 70 kW: 3200 Fr. + 120 Fr. pro kW</t>
  </si>
  <si>
    <t>Minergie-A/Minergie-P/Minergie-Eco/SIA-Effizienzpfad Energie</t>
  </si>
  <si>
    <t>Minergie-Zertifikat oder Berechnung nach SIA-Effizienzpfad</t>
  </si>
  <si>
    <t>http://www.baar.ch/de/portrait/energiestadt/</t>
  </si>
  <si>
    <t>Minergie/Minergie-P/Minergie-Eco/SIA-Effizienzpfad Energie</t>
  </si>
  <si>
    <t>Geförder wird die Erstellung eines GEAK Plus. Das Gesuch für Förderung von Massnahmen darf erst nach Fertigstellung des Berichtes erfolgen. &lt;br /&gt;&lt;br /&gt;&lt;strong&gt;Förderbeitrag:&lt;/strong&gt;&lt;br /&gt;- 1500 Fr. respektive max. 50 % der Kosten für den Bericht</t>
  </si>
  <si>
    <t>https://www.energie-zentralschweiz.ch/foerderprogramme/nidwalden.html</t>
  </si>
  <si>
    <t>Gefördert werden zertifizierte Gebäude, die den Minergie-P-Standard erreichen. Wohneinheiten (EFH, Wohnung in MFH) von mehr als 250 m&lt;sup&gt;2&lt;/sup&gt; EBF und Kleinprojekte mit einem resultierenden Förderbeitrag von unter 3000 Franken werden nicht gefördert.&lt;br /&gt;&lt;br /&gt;&lt;strong&gt;Förderbeitrag:&lt;/strong&gt;&lt;br /&gt;- Einfamilienhaus: 75 Fr. pro m&lt;sup&gt;2&lt;/sup&gt; EBF&lt;br /&gt;- Mehrfamilienhaus: 40 Fr. pro m&lt;sup&gt;2&lt;/sup&gt; EBF&lt;br /&gt;- Nicht-Wohnbau: 30 Fr. pro m&lt;sup&gt;2&lt;/sup&gt; EBF&lt;br /&gt;- Zusatzbeitrag für ECO: 5 Fr. pro m&lt;sup&gt;2&lt;/sup&gt; EBF&lt;br /&gt;&lt;br /&gt;&lt;em&gt;EBF = Energiebezugsfläche&lt;/em&gt;</t>
  </si>
  <si>
    <t>http://www.energie-zentralschweiz.ch/foerderprogramme/nidwalden.html</t>
  </si>
  <si>
    <t>Solarkollektoren</t>
  </si>
  <si>
    <t>Gefördert werden Neuanlagen oder Anlagenerweiterungen auf bestehenden Gebäuden.&lt;br /&gt;&lt;br /&gt;&lt;strong&gt;Förderbeitrag:&lt;/strong&gt;&lt;br /&gt;- Solarkollektoren ab 2 kW: 3000 Fr. + 1000 Fr. pro kW</t>
  </si>
  <si>
    <t>https://www.nw.ch/energiefachstelle/1158</t>
  </si>
  <si>
    <t>Im Rahmen einer Heizungssanierung wird als Ersatz für eine Heizöl-, Erdgas- oder Elektroheizung der Einbau einer automatischen Holzheizung unterstützt.&lt;br /&gt;&lt;br /&gt;&lt;strong&gt;Förderbeitrag:&lt;/strong&gt;&lt;br /&gt;- Holzheizung: 3000 Fr. + 360 Fr. pro kW&lt;sub&gt;th&lt;/sub&gt;</t>
  </si>
  <si>
    <t>Minergie-P/Minergie-A (-Eco)/SIA Effizienzpfad Energie</t>
  </si>
  <si>
    <t>Unterstützt werden Gebäude, welche nach einem MINERGIE-Standard zertifiziert sind oder die Zielwerte gemäss SIA-Effizienzpfad Energie erfüllen.</t>
  </si>
  <si>
    <t>http://www.cham.ch/de/umweltenergie/energie/foerderbeitraege</t>
  </si>
  <si>
    <t>Minergie/Minergie-A/Minergie-P (-Eco)/SIA Effizienzpfad Energie</t>
  </si>
  <si>
    <t>Heizungsersatz und Fernwärme</t>
  </si>
  <si>
    <t xml:space="preserve">https://www.stadtzug.ch/energiefoerderprogramme/3423 </t>
  </si>
  <si>
    <t>Thermische Sonnenkollektoren</t>
  </si>
  <si>
    <t>Thermische Solaranlage zur Erwärmung von Brauchwarmwasser.</t>
  </si>
  <si>
    <t>Solaranlage zur Umwandlung von Sonnenenergie in elektrische Energie</t>
  </si>
  <si>
    <t>https://www.stadtzug.ch/energiefoerderprogramme/3424</t>
  </si>
  <si>
    <t>Energie-Coaching</t>
  </si>
  <si>
    <t>Förderung von energieeffizientem Bauen und Sanieren in Begleitung eines Energie-Coaches. Standortbestimmung mit Massnahmenkatalog und GEAK plus sowie Baubegleitung.&lt;br /&gt;&lt;br /&gt;&lt;strong&gt;Förderbeitrag:&lt;br /&gt;&lt;/strong&gt;- 2000 Fr.</t>
  </si>
  <si>
    <t>https://www.gl.ch/verwaltung/bau-und-umwelt/umwelt-wald-und-energie/umweltschutz-und-energie/energie/foerderprogramm.html/773</t>
  </si>
  <si>
    <t>Photovoltaikanlage</t>
  </si>
  <si>
    <t>https://www.ewh.ch/ueber-uns/nachhaltigkeit</t>
  </si>
  <si>
    <t>Beitragsberechtigt sind thermische Solaranlagen für bestehende Bauten, welche vor mehr als fünf Jahren erstellt worden sind. Der Ersatz einer thermischen Solaranlage oder die Installation im Rahmen eines Neubaus sind nicht förderberechtigt. Luftkollektoren, Heutrocknungs- und Schwimmbadheizungsanlagen sind nicht förderberechtigt. Für thermische Solaranlagen ab 70 kW gelten besondere Bedingungen.&lt;br /&gt;&lt;br /&gt;&lt;strong&gt;Förderbeitrag:&lt;/strong&gt;&lt;br /&gt;- Sockelbeitrag: 2000 Fr.&lt;br /&gt;- Leistungsbeitrag: 500 Fr. pro kW&lt;br /&gt;- Temporärer Greendeal-Bonus: + 100 %</t>
  </si>
  <si>
    <t>https://www.gr.ch/DE/institutionen/verwaltung/diem/aev/foerderprogramme/haustechnischeanlagen/thermischesolaranlagen</t>
  </si>
  <si>
    <t>Gefördert werden Holzheizungen für bestehende Bauten bis 70 kW nach Energiebezugsfläche (EBF), ab 70 kW nach installierter Nennleistung.&lt;br /&gt;&lt;br /&gt;&lt;strong&gt;Förderbeitrag&lt;/strong&gt;&lt;br /&gt;- Stückholz-, Pelletfeuerungen mit Tagesbehälter: Pauschalbeitrag pro Anlage 5000 Fr., Pauschalbeitrag Erstinstallation Wärmeverteilsystem 5000 Fr.&lt;br /&gt;- Automatische Holzheizungen bis 70 kW: Bis 250 m&lt;sup&gt;2&lt;/sup&gt; Energiebezugsfläche (EBF) Pauschalbeitrag 5000 Fr., ab 250 m&lt;sup&gt;2&lt;/sup&gt; Energiebezugsfläche (EBF) Flächenbeitrag 20 Fr. pro m&lt;sup&gt;2&lt;/sup&gt; EBF&lt;br /&gt;- Automatische Holzheizungen ab 70 kW: Leistungsbeitrag 400 Fr. pro kW&lt;br /&gt;- Temporärer Greendeal-Bonus: + 100 %</t>
  </si>
  <si>
    <t>https://www.gr.ch/DE/institutionen/verwaltung/diem/aev/foerderprogramme/haustechnischeanlagen/holzheizungen</t>
  </si>
  <si>
    <t>Beitragsberechtigt sind Wärmepumpenanlagen für bestehende Bauten. Der Ersatz einer Wärmepumpenanlage oder die Installation im Rahmen eines Neubaus sind nicht förderberechtigt. Gefördert werden sowohl Luft-Wasser-Wärmepumpen als auch Sole-Wasser- respektive Wasser-Wasser-Wärmepumpen.&lt;br /&gt;&lt;br /&gt;&lt;strong&gt;Förderbeitrag: &lt;/strong&gt;&lt;br /&gt;- Abhängig vom Heizungstyp und von der EBF&lt;br /&gt;- Temporärer Greendeal-Bonus: + 100 %</t>
  </si>
  <si>
    <t>https://www.gr.ch/DE/institutionen/verwaltung/diem/aev/foerderprogramme/haustechnischeanlagen/waermepumpen</t>
  </si>
  <si>
    <t>Minergie-A, Minergie-P</t>
  </si>
  <si>
    <t>Zertifizierte Minergie-P-Neubauten</t>
  </si>
  <si>
    <t>https://regionrheintal.ch/energie</t>
  </si>
  <si>
    <t>Zuschuss zum Gebäudeprogramm (Wärmedämmung)</t>
  </si>
  <si>
    <t>Prozentual zum kantonalen Förderbeitrag</t>
  </si>
  <si>
    <t>http://regionrheintal.ch/energie/</t>
  </si>
  <si>
    <t>Zertifizierte Minergie-Sanierung</t>
  </si>
  <si>
    <t>Ersatz von Elektroboilern</t>
  </si>
  <si>
    <t>Holz- und Pelletheizungen</t>
  </si>
  <si>
    <t>Fernwärmeanschluss</t>
  </si>
  <si>
    <t>Die Anlage ist das Hauptheizungssystem des Gebäudes und basiert auf erneuerbaren Energien. Sie wird in einem Neubau installiert oder ersetzt in einem bestehenden Gebäude eine Öl-, Gas- oder Elektrospeicherheizung.</t>
  </si>
  <si>
    <t>Fernwärme</t>
  </si>
  <si>
    <t>Pauschal 2500 Fr.</t>
  </si>
  <si>
    <t>https://www.flawil.ch/aktuelles/engagement/energiestadt.html/35</t>
  </si>
  <si>
    <t>Bauteile (Fassade, Dach, Fenster etc.)</t>
  </si>
  <si>
    <t>Der reine Glasersatz wird nicht mehr gefördert.</t>
  </si>
  <si>
    <t>https://www.stadt.sg.ch/home/raum-umwelt/bauen-sanieren/energiefonds-foerderbeitraege.html</t>
  </si>
  <si>
    <t>Erdsonden-Wärmepumpe</t>
  </si>
  <si>
    <t>Förderbeiträge für eine Erdsonden-Wärmepumpe bei bestehenden Gebäuden:&lt;br /&gt;- Einfamilienhaus 1000 Fr. plus 40 Fr. pro Meter Erdsonde&lt;br /&gt;- Mehrfamilienhaus oder anderes Gebäude 2000 Fr. plus 30 Fr. pro Meter Erdsonde</t>
  </si>
  <si>
    <t>Thermische Solaranlagen zur Erwärmung von Brauchwarmwasser</t>
  </si>
  <si>
    <t>Förderung von Neubauten / Ersatzneubauten Standard Minergie-P (-Eco).&lt;br /&gt;&lt;br /&gt;&lt;strong&gt;Förderbeitrag:&lt;/strong&gt;&lt;br /&gt;- Abhängig vom Standard, vom Gebäudetyp und von der EBF zwischen 30 und 75 Fr. pro m&lt;sup&gt;2&lt;/sup&gt;</t>
  </si>
  <si>
    <t>https://www.ai.ch/themen/planen-und-bauen/energie/foerderprogramme/gebaeudesanierung</t>
  </si>
  <si>
    <t>Thermische Solaranlagen bis 70 kW</t>
  </si>
  <si>
    <t>&lt;span dir="ltr" style="left: 801.227px; top: 158.641px; font-family: sans-serif; transform: scaleX(0.9002);"&gt;Förderung von Solarkollektoranlagen bis 70 kW bei bestehenden Gebäuden.&lt;br /&gt;&lt;/span&gt;&lt;br /&gt;&lt;span dir="ltr" style="left: 801.227px; top: 158.641px; font-family: sans-serif; transform: scaleX(0.9002);"&gt;&lt;strong&gt;Förderbeitrag:&lt;/strong&gt;&lt;br /&gt;- 1200 Fr. + 500 Fr. pro kW&lt;sub&gt;th&lt;/sub&gt;&lt;br /&gt;&lt;/span&gt;</t>
  </si>
  <si>
    <t>Stückholzfeuerung bis 70 kW</t>
  </si>
  <si>
    <t>Förderung von Stückholzfeuerungen und Pelletsfeuerungen mit Tagesbehälter bis 70 kW in bestehenden Gebäuden als Ersatz einer Heizöl-, Erdgas-, Elektro- oder Holzheizung.&lt;br /&gt;&lt;br /&gt;&lt;strong&gt;Förderbeitrag:&lt;/strong&gt;&lt;br /&gt;- Pauschalbeitrag pro Neuanlage als Ersatz einer Holzheizung: 3000 Fr.&lt;br /&gt;- Pauschalbeitrag pro Neuanlage als Ersatz einer Heizöl-, Erdgas- oder Elektroheizung: 4000 Fr.</t>
  </si>
  <si>
    <t>Förderung von Neubauten nach dem Standard Minergie-P.&lt;br /&gt;&lt;br /&gt;&lt;strong&gt;Förderbeitrag: &lt;/strong&gt;&lt;br /&gt;- Ein- und Zweifamilienhaus: 75 Fr. pro m&lt;sup&gt;2&lt;/sup&gt; EBF&lt;br /&gt;- Mehrfamilienhaus: 40 Fr. pro m&lt;sup&gt;2&lt;/sup&gt; EBF&lt;br /&gt;- Nicht-Wohnbauten: 30 Fr. pro m&lt;sup&gt;2&lt;/sup&gt; EBF&lt;br /&gt;&lt;br /&gt;&lt;em&gt;EBF = Energiebezugsfläche&lt;/em&gt;</t>
  </si>
  <si>
    <t>https://ar.ch/verwaltung/departement-bau-und-volkswirtschaft/amt-fuer-umwelt/energie/foerderung/kantonale-foerderung/#c30811</t>
  </si>
  <si>
    <t>Minergie-Nachweis</t>
  </si>
  <si>
    <t>Der Kanton Appenzell Ausserrhoden übernimmt die Zertifizierungskosten für die Standards Minergie, Minergie-A und Minergie-P.</t>
  </si>
  <si>
    <t>Förderung von thermischen Sonnenkollektoranlagen bei bestehenden Gebäuden und bei einer Leistung &amp;gt; 70 kW&lt;sub&gt;th&lt;/sub&gt; auch bei Neubauten.&lt;br /&gt;&lt;br /&gt;&lt;strong&gt;Förderbeitrag:&lt;/strong&gt;&lt;br /&gt;- Leistung bis 70 kW&lt;sub&gt;th&lt;/sub&gt;: 3000 Fr. + 500 Fr. pro kW&lt;sub&gt;th&lt;/sub&gt;&lt;br /&gt;- Leistung &amp;gt; 70 kW&lt;sub&gt;th&lt;/sub&gt;: 2400 Fr. + 1000 Fr. pro kW&lt;sub&gt;th&lt;/sub&gt;</t>
  </si>
  <si>
    <t>Minergie-Neubauten</t>
  </si>
  <si>
    <t>Förderung von Neubauten und Ersatzneubauten nach Minergie-P, SNBS 2.1 oder SIA-Effizienzpfad 2040.&lt;br /&gt;&lt;br /&gt;&lt;strong&gt;Förderbeitrag:&lt;/strong&gt;&lt;br /&gt;- Abhängig vom Standard, Gebäudetyp und von der EBF.</t>
  </si>
  <si>
    <t>https://energie.tg.ch/hauptrubrik-2/wie-gehe-ich-vor.html/10651</t>
  </si>
  <si>
    <t>Gebäudemodernisierungen nach Minergie</t>
  </si>
  <si>
    <t>Förderung von Gebäudemodernisierungen nach Minergie-Basisstandard, Minergie-A oder Minergie-P. Förderberechtigt sind Gebäude mit Baubewilligungsjahr vor 2000. Das Gebäude muss im Ausgangszustand rechtmässig beheizt sein.&lt;br /&gt;&lt;br /&gt;&lt;strong&gt;Förderbeitrag:&lt;/strong&gt;&lt;br /&gt;- Abhängig vom Standard, vom Gebäudetyp und von der EBF&lt;br /&gt;&lt;br /&gt;&lt;strong&gt;Förderbeitrag Stadt Frauenfeld:&lt;/strong&gt;&lt;br /&gt;- 30 % des kantonalen Beitrags</t>
  </si>
  <si>
    <t>Holzfeuerungen</t>
  </si>
  <si>
    <t>Beitragsberechtigt unter anderem neu installierte Holzfeuerungsanlagen, die eine bestehende Öl-, Gas- oder Elektroheizung ersetzen und in ein Wärmeverteilsystem eingebunden sind. Die neu installierte Holzfeuerungsanlage muss als Hauptheizung eingesetzt werden.&lt;br /&gt;&lt;br /&gt;&lt;strong&gt;Förderbeitrag:&lt;/strong&gt;&lt;br /&gt;- Grundbeitrag für Heizungen bis 70 kW in Ein- und Zweifamilienhäusern: 6000 Fr.&lt;br /&gt;- Grundbeitrag für Heizungen bis 70 kW in MFH (ab 3 Wohnungen): 10 000 Fr.&lt;br /&gt;- Grundbeitrag für Heizungen bis 70 kW in Nichtwohnbauten: 10 000 Fr.&lt;br /&gt;- Zusatzbeitrag für Heizungen mit 20 bis 70 kW: 250 Fr. pro kW&lt;sub&gt;th&lt;br /&gt;&lt;/sub&gt;- Zusatzbeitrag Partikelabscheider: 1000 Fr.&lt;br /&gt;- Beitrag für Heizungen ab 70 kW: 360 Fr. pro kW&lt;sub&gt;th&lt;/sub&gt;&lt;br /&gt;- Beitrag für den Ersatz von dezentralen elektrischen Widerstandsheizungen oder fossilen Heizungen: bis 250 m² EBF 15 000 Fr., ab 250 m² EBF 60 Fr. pro m²</t>
  </si>
  <si>
    <t>Solarkollektoranlage</t>
  </si>
  <si>
    <t>Gefördert wird die Installation von thermischen Solaranlagen mit einer Leistung von mindestens 2 kW auf bestehenden Gebäuden.&lt;br /&gt;&lt;br /&gt;&lt;strong&gt;Förderbeitrag:&lt;/strong&gt;&lt;br /&gt;- 2400 Fr. + Fr. 100 Fr. pro kW&lt;sub&gt;th&lt;/sub&gt; + 20 Prozent Energieprämie</t>
  </si>
  <si>
    <t>https://www.energiepaket-bl.ch/foerdermassnahmen/heizung-warmwasser/thermische-solaranlage</t>
  </si>
  <si>
    <t>Gefördert werden Sole/Wasser-, Wasser/Wasser- und Luft/Wasser-Wärmepumpen beim Ersatz einer Öl-, Gas- oder Elektroheizung.&lt;br /&gt;&lt;br /&gt;&lt;strong&gt;Förderbeitrag:&lt;/strong&gt;&lt;br /&gt;- Sole/Wasser und Wasser/Wasser: 7000 Fr. + 360 Fr. pro kW&lt;sub&gt;th &lt;/sub&gt;+ 20 Prozent Energieprämie&lt;br /&gt;- Luft/Wasser 5000 Fr. + 200 Fr. pro kW&lt;sub&gt;th &lt;/sub&gt;+ 20 Prozent Energieprämie&lt;br /&gt;- Erstinstallation Wärmeverteilsystem: bis 250 m&lt;sup&gt;2&lt;/sup&gt; EBF + 15'000 Fr., ab 250 m&lt;sup&gt;2&lt;/sup&gt; EBF + 60 Fr. pro m&lt;sup&gt;2&lt;/sup&gt; EBF</t>
  </si>
  <si>
    <t>https://www.energiepaket-bl.ch/foerdermassnahmen/heizung-warmwasser/waermepumpe</t>
  </si>
  <si>
    <t>Gefördert wird der Einbau einer Holzfeuerung als Ersatz einer Öl-, Gas- oder Elektroheizung.&lt;br /&gt;&lt;br /&gt;&lt;strong&gt;Förderbeitrag:&lt;/strong&gt;&lt;br /&gt;- Stückholzfeuerung/ Pelletfeuerung mit Tagesbehälter: 3000 Fr. + 20 Prozent Energieprämie&lt;br /&gt;- Automatische Holzfeuerung ≤ 70 kW&lt;sub&gt;FL&lt;/sub&gt;: 5000 Fr. + 100 Fr. pro kW + 20 Prozent Energieprämie&lt;br /&gt;- Automatische Holzfeuerung &amp;gt; 70 kW&lt;sub&gt;FL&lt;/sub&gt;: 300 Fr. pro kW&lt;br /&gt;- Erstinstallation Wärmeverteilsystem bei automatischer Holzfeuerung: bis 250 m&lt;sup&gt;2&lt;/sup&gt; EBF + 15'000 Fr., ab 250 m&lt;sup&gt;2&lt;/sup&gt; EBF + 60 Fr. pro m&lt;sup&gt;2&lt;/sup&gt; EBF</t>
  </si>
  <si>
    <t>https://www.energiepaket-bl.ch/foerdermassnahmen/heizung-warmwasser/holzfeuerung</t>
  </si>
  <si>
    <t>Ersatz Elektroheizung durch Luft/Wasser-Wärmepumpe</t>
  </si>
  <si>
    <t>Eine Luft/Wasser-Wärmepumpe heizt Ihr Haus mit der Hälfte oder einem Drittel des Stroms, den eine alte Elektrohauptheizung benötigt. Wenn Sie dezentrale Elektrospeicher durch eine Wärmepumpe ersetzen und dazu ein neues Wärmeverteilsystem vom Heizkeller in die Wohnräume benötigen, erhalten Sie dafür einen Extra-Förderbeitrag.</t>
  </si>
  <si>
    <t>http://www.energiepaket-bl.ch/</t>
  </si>
  <si>
    <t>Minergie</t>
  </si>
  <si>
    <t>50% des vom Kanton geleisteten Beitrages</t>
  </si>
  <si>
    <t>https://www.arbon.ch/stadt/service-und-aktuelles/dienstleistungen.html/226/egov_service/386</t>
  </si>
  <si>
    <t>Thermische Solaranlagen zur Erwärmung von Brauchwarmwasser, 50 % des kantonalen Beitrags</t>
  </si>
  <si>
    <t>http://www.muttenz.ch/de/verwaltung/dienstleistungen/?dienst_id=25994</t>
  </si>
  <si>
    <t>Holzheizung</t>
  </si>
  <si>
    <t>50 % des kantonalen Beitrags</t>
  </si>
  <si>
    <t>https://www.frenkendorf.ch/infos/umwelt-und-raumplanung/energiestadt-ebene-1/foerderbeitraege-heizungsersatz.html/702/l/de</t>
  </si>
  <si>
    <t>https://www.spiez.ch/de/verwaltung/dienstleistungen/469_f%C3%B6rderprogramm-energie</t>
  </si>
  <si>
    <t>Winteroptimierte PV-Anlagen</t>
  </si>
  <si>
    <t>Holz-Zentralheizung: Pellets, Hackschnitzel oder Stückholz</t>
  </si>
  <si>
    <t>Gebäudesanierung (Einzelbauteile)</t>
  </si>
  <si>
    <t>Chauffage à bois automatique ≤ 70 kW</t>
  </si>
  <si>
    <t>Le remplacement de chauffages au pétrole, au gaz naturel ou électriques par un chauffage automatique au bois d'une puissance maximale de 70 kW est promu. L'installation doit être réalisée à une altitude supérieure ou égale à 800 m.s.m.&lt;br /&gt;&lt;br /&gt;&lt;strong&gt;Contribution financière&lt;/strong&gt;&lt;br /&gt;- Habitat individuel: 9000 fr.&lt;br /&gt;- Habitat collectif et autres constructions: 4000 fr. + 35 fr. par m&lt;sup&gt;2&lt;/sup&gt; de SRE</t>
  </si>
  <si>
    <t>https://www.vs.ch/web/energie/m-03</t>
  </si>
  <si>
    <t>prozentual zum kantonalen Förderbeitrag</t>
  </si>
  <si>
    <t>http://www.thayngen.ch/Gemeindeverwaltung/Bauverwaltung/Forderprogramm-2009.htm</t>
  </si>
  <si>
    <t>http://www.heiden.ch/de/verwaltung/aemter/?amt_id=11781</t>
  </si>
  <si>
    <t>Neubau, Nachrüstung</t>
  </si>
  <si>
    <t>https://www.gemeindewerke-erstfeld.ch/kundencenter/foerderprogramme/</t>
  </si>
  <si>
    <t>Ersatz Elektroheizung</t>
  </si>
  <si>
    <t>durch Wärmepumpe oder Holzfeuerung</t>
  </si>
  <si>
    <t>neue Anlage</t>
  </si>
  <si>
    <t>Thermische Solaranlage zur Erwärmung von Brauchwarmwasser</t>
  </si>
  <si>
    <t>https://www.gemeinde-stein.ch/de/gewerbe/energiestadt/esfoerderbeitraege/</t>
  </si>
  <si>
    <t>Bauten aus lokalen Ressourcen (Holz)</t>
  </si>
  <si>
    <t>Förderbeitrag: 85 Fr. pro t CO&lt;sub&gt;2, &lt;/sub&gt;min. 15 t CO&lt;sub&gt;2&lt;/sub&gt;, max. 100 t CO&lt;sub&gt;2&lt;/sub&gt;&lt;br /&gt;Zusatzfaktoren mit entsprechendem Nachhaltigkeitslabel:&lt;br /&gt;Faktor 1.5 Schweizer Holz&lt;br /&gt;Faktor 2.0 Graubünden Holz&lt;br /&gt;Faktor 2.5 Bergmondholz</t>
  </si>
  <si>
    <t>https://energiestadt-landquart.ch/beratung-foerderung/foerderung-gemeinde/</t>
  </si>
  <si>
    <t>Bauten mit dem Minergie-A-Label</t>
  </si>
  <si>
    <t>Bauten mit dem Minergie-A Label werden wie folgt gefödert:&lt;br /&gt;- Einfamilienhaus 75 Fr./m&lt;sup&gt;2&lt;/sup&gt; EBF&lt;br /&gt;- Mehrfamilienhaus 40 Fr./m&lt;sup&gt;2&lt;/sup&gt; EBF&lt;br /&gt;- Nicht Wohnbau 30 Fr./m&lt;sup&gt;2&lt;/sup&gt; EBF&lt;br /&gt;Max. 60′000 Fr.</t>
  </si>
  <si>
    <t>https://www.erlenbach.ch/de/politik/foerderprogramm-energie-klimastrategie/</t>
  </si>
  <si>
    <t>Elektromobilität</t>
  </si>
  <si>
    <t>Förderbeiträge bei der Anschaffung eines Elektrofahrzeuges oder dem Ersatz eines Akkus.</t>
  </si>
  <si>
    <t>Minergie/Minergie-P/Passivhaus</t>
  </si>
  <si>
    <t>20 % des kantonalen Förderbeitrags, max. 1250 Fr.</t>
  </si>
  <si>
    <t>http://www.reigoldswil.ch/de/behoerden-und-kommissionen/dokumente/foerderrichtliniefuerenergievorhaben.pdf</t>
  </si>
  <si>
    <t>Holzenergieanlagen</t>
  </si>
  <si>
    <t>Energiecoaching bei einer umfassenden Gebäudeerneuerung</t>
  </si>
  <si>
    <t>Begleitung der Bauherrschaft während der Planungs- und Ausführungsphase z.B. durch energienetz-zug</t>
  </si>
  <si>
    <t>Beleuchtungsberatung</t>
  </si>
  <si>
    <t>Kostenlose Beratung für Sanierung der Aussen- und Innenbeleuchtung im allgemeinen Bereich für Einfamilienhäuser und Mehrfamilienhäuser im Stockwerkeigentum (z. B. Tiefgaragen, private Gehwege, Treppenhäuser und Hauseingänge).</t>
  </si>
  <si>
    <t>EcoElec</t>
  </si>
  <si>
    <t>Bei Neubauten wird nur die über die gesetzlich geforderte Mindestleistung zur Eigenstromerzeugung hinausgehende Leistung gefördert.</t>
  </si>
  <si>
    <t>http://www.cham.ch/de/umweltenergie/energie/foerderbeitraege/</t>
  </si>
  <si>
    <t>Gebäudeausweis (GEAK Plus)</t>
  </si>
  <si>
    <t>Der GEAK Plus? hilft Ihnen bei der Einschätzung der energetischen Qualität Ihrer Liegenschaft beim Verkauf oder bei der Vermietung. Der GEAK Plus zeigt Ihnen zudem energetische Sanierungsvarianten und deren Kosten auf. Nach der Anrechnung der Fördergelder des Kantons übernimmt die Gemeinde Horw vom Restbetrag 50 % bis max. 1100.- bei einem EFH und 1500.- bei Mehrfamilienhäusern.</t>
  </si>
  <si>
    <t>Wärmepumpenanlagen Sole-Wasser, Wasser-Wasser</t>
  </si>
  <si>
    <t>Ersatz von fossil betriebenen Heizungen und ortsfesten elektrischen Widerstandsheizungen mit einer Sole-Wasser- bzw. Wasser-Wasser-Wärmepumpe.&lt;br /&gt;&lt;br /&gt;&lt;strong&gt;Förderbeitrag:&lt;/strong&gt;&lt;br /&gt;- Grundbeitrag für Heizungen bis 70 kW in Ein- und Zweifamilienhäusern: 9000 Fr.&lt;br /&gt;- Grundbeitrag für Heizungen bis 70 kW in MFH (ab 3 Wohnungen): 16 000 Fr.&lt;br /&gt;- Grundbeitrag für Heizungen bis 70 kW in Nichtwohnbauten: 16 000 Fr.&lt;br /&gt;- Zusatzbeitrag für Heizungen mit 20 bis 70 kW: 300 Fr. pro kW&lt;sub&gt;th&lt;/sub&gt;&lt;br /&gt;- Beitrag für Heizungen ab 70 kW: Einmaliger Beitrag von 4800 Fr. und Zusatzbeitrag 360 Fr. pro kW&lt;sub&gt;th&lt;/sub&gt;&lt;br /&gt;&lt;br /&gt;- Evtl. Zusatzbeitrag für gleichzeitige Installation einer Solarstromanlage&lt;br /&gt;- Beitrag für den Ersatz von dezentralen elektrischen Widerstandsheizungen oder fossilen Heizungen: bis 250 m² EBF 15 000 Fr., ab 250 m² EBF 60 Fr. pro m²</t>
  </si>
  <si>
    <t>Wärmenetzprojekte</t>
  </si>
  <si>
    <t>Gefördert werden Neubauten und Erweiterungen von Wärmeerzeugungsanlagen mit Wärmenetz sowie Neubauten und Erweiterungen von Wärmenetzen. Unter den Begriff Wärmenetze fallen sowohl Hochtemperatur- wie auch Niedertemperaturwärmenetze bzw. Anergienetze.&lt;br /&gt;&lt;br /&gt;&lt;strong&gt;Förderbeitrag:&lt;/strong&gt;&lt;br /&gt;- Neubau/Erweiterung von Wärmeerzeugungsanlagen mit Wärmenetz: 150 Fr. pro MWh/a&lt;br /&gt;- Neubau/Erweiterung von Wärmenetzen: 40 Fr. pro MWh/a&lt;br /&gt;- Zusatzbeitrag Seewasser- und Flusswasserfassungen: 80 Fr. pro MWh/a</t>
  </si>
  <si>
    <t>GEAK mit Beratungsbericht</t>
  </si>
  <si>
    <t>Förderung von Gebäudeenergieausweisen der Kantone mit Beratungsbericht (GEAK Plus) für bestehende Gebäude. Das Förderprogramm GEAK mit Beratungsbericht beinhaltet einen offiziellen GEAK (Gebäudeenergieausweis der Kantone), einen Beratungsbericht, eine Begehung vor Ort sowie eine Erläuterung des Berichts.&lt;br /&gt;&lt;br /&gt;&lt;strong&gt;Förderbeitrag GEAK mit Beratungsbericht:&lt;/strong&gt;&lt;br /&gt;- Ein- und Zweifamilienhäuser: 1000 Fr.&lt;br /&gt;- Mehrfamilienhäuser (ab 3 Wohnungen): 1500 Fr.&lt;br /&gt;- Hotel, Büro/Verwaltung, Schule, Verkauf, Restaurant: 2000 Fr.&lt;br /&gt;&lt;br /&gt;&lt;strong&gt;Förderbeitrag Gebäudeanalyse mit Vorgehensempfehlung:&lt;/strong&gt;&lt;br /&gt;- 2000 Fr.</t>
  </si>
  <si>
    <t>https://sh.ch/CMS/Webseite/Kanton-Schaffhausen/Beh-rde/Verwaltung/Baudepartement/Departementssekretariat-Baudepartement/Energiefachstelle/F-rderprogramm-1566144-DE.html</t>
  </si>
  <si>
    <t>Capteurs solaires thermiques</t>
  </si>
  <si>
    <t>Les nouvelles installations ainsi que l'extension ou le remplacement d'une installation existante pour la production d'eau chaude sanitaire ou éventuellement pour le chauffage sont promus, si ils sont installées sur un bâtiment construit avant le 31 décembre 2015. Les nouvelles installations dans le cadre de nouvelles constructions ne sont pas éligibles.&lt;br /&gt;&lt;br /&gt;&lt;strong&gt;Contribution d'encouragement&lt;/strong&gt;&lt;br /&gt;- 1200 fr. + 650 fr. par kW (50 % du montant lors du remplacement d'une installation)</t>
  </si>
  <si>
    <t>https://www.vs.ch/web/energie/m%E2%80%9008</t>
  </si>
  <si>
    <t>Nouvelle construction Minergie-P</t>
  </si>
  <si>
    <t>Nouvelle construction Minergie-P. &lt;br /&gt;&lt;br /&gt;&lt;strong&gt;Contribution financière:&lt;/strong&gt;&lt;br /&gt;- Maison individuelle: 75 fr. par m&lt;sup&gt;2&lt;/sup&gt; SRE&lt;br /&gt;- Immeuble collectif: 40 fr. par m&lt;sup&gt;2&lt;/sup&gt; SRE&lt;br /&gt;- Bâtiment non-habitat: 30 fr par m&lt;sup&gt;2&lt;/sup&gt; SRE&lt;strong&gt;&lt;br /&gt;&lt;/strong&gt;</t>
  </si>
  <si>
    <t>https://www.jura.ch/fr/Autorites/Administration/DEN/SDT/Energie/Subventions/Programme-Batiments/Programme-Batiments.html</t>
  </si>
  <si>
    <t>Rénovation complète Minergie ou Minergie-P</t>
  </si>
  <si>
    <t>Rénovation complète avec certificat Minergie ou Minergie-P. Donnent droit à une contribution les bâtiments ayant obtenu l'autorisation de&lt;br /&gt;construire avant 2000.&lt;br /&gt;&lt;br /&gt;&lt;strong&gt;Contribution financière:&lt;/strong&gt;&lt;br /&gt;- Maison individuelle: Minergie: 160 fr. par m&lt;sup&gt;2&lt;/sup&gt; SRE / Minergie-P: 200 fr. par m&lt;sup&gt;2&lt;/sup&gt; SRE&lt;br /&gt;- Immeuble collectif: Minergie: 125 fr. par m&lt;sup&gt;2&lt;/sup&gt; SRE / Minergie-P: 165 fr. par m&lt;sup&gt;2&lt;/sup&gt; SRE&lt;br /&gt;- Bâtiment non-habitat: Minergie: 80 fr. par m&lt;sup&gt;2&lt;/sup&gt; SRE / Minergie-P: 110 fr. par m&lt;sup&gt;2&lt;/sup&gt; SRE</t>
  </si>
  <si>
    <t>Chauffage à bûches ou à pellets avec réservoir journalier</t>
  </si>
  <si>
    <t>Chauffage à bûches ou à pellets avec réservoir journalier. L'installation remplace un chauffage fonctionnant au mazout ou au gaz naturel, ou&lt;br /&gt;un chauffage électrique fixe à résistance.&lt;br /&gt;&lt;br /&gt;&lt;strong&gt;Contribution financière:&lt;/strong&gt;&lt;br /&gt;- 5000 fr.</t>
  </si>
  <si>
    <t>Capteurs solaires thermiques, puissance calorifique ≤ 70 kW</t>
  </si>
  <si>
    <t>Installation de capteurs solaires thermiques avec une puissance calorifique ≤ 70 kW. Il s'agit d'une nouvelle installation ou de l'extension d'une installation existante (et non d'un simple remplacement des capteurs solaires) sur des bâtiments existants (et non d'une installation sur une nouvelle construction).&lt;br /&gt;&lt;br /&gt;&lt;strong&gt;Contribution financière:&lt;/strong&gt;&lt;br /&gt;- 2000 fr. + 500 fr. par kW&lt;sub&gt;th&lt;/sub&gt;</t>
  </si>
  <si>
    <t>Chauffage à bois avec réservoir journalier</t>
  </si>
  <si>
    <t>Un financement est disponible pour l'installation d'un chauffage à bois avec réservoir journalier.&lt;br /&gt;&lt;br /&gt;&lt;strong&gt;Contribution financière:&lt;/strong&gt;&lt;br /&gt;- Chauffage : 3000 fr. (montant forfaitaire)&lt;br /&gt;- Eau chaude sanitaire : 1000 fr.(montant forfaitaire)</t>
  </si>
  <si>
    <t>https://www.fr.ch/deef/sde/programmes-de-subventions-en-matiere-denergie</t>
  </si>
  <si>
    <t>Un financement est disponible pour une nouvelle installation – ou extension d’une installation existante – sur des bâtiments construits.&lt;br /&gt;&lt;br /&gt;&lt;strong&gt;Contribution financière:&lt;/strong&gt;&lt;br /&gt;- Chauffage ≤ 70 kW&lt;sub&gt;th&lt;/sub&gt;: 1200 fr. + 500 fr. par kW&lt;sub&gt;th&lt;br /&gt;&lt;/sub&gt;- Chauffage &amp;gt; 70 kW&lt;sub&gt;th:&lt;/sub&gt; 20 000 fr. + 1000 fr. par kW&lt;sub&gt;th&lt;/sub&gt;</t>
  </si>
  <si>
    <t>Rénovation complète avec Minergie</t>
  </si>
  <si>
    <t>Un financement est disponible pour une rénovation globale et complète, documentée par un certificat Minergie.&lt;br /&gt;&lt;br /&gt;&lt;strong&gt;Contribution financière:&lt;/strong&gt;&lt;br /&gt;- Selon la norme, le type de bâtiment et l'SBE.</t>
  </si>
  <si>
    <t>https://www.fr.ch/deef/sde/renovation-complete-avec-certificat-minergie</t>
  </si>
  <si>
    <t>Rénovation Minergie</t>
  </si>
  <si>
    <t>Rénovation complère avec un certificat Minergie d'un bâtiment d'habitation (catégories I et II selon SIA 380/1) pour lequel l'autorisation de construire a été délivrée avant 2000.&lt;br /&gt;&lt;br /&gt;&lt;strong&gt;Contribution financière:&lt;/strong&gt;&lt;br /&gt;- En fonction du type de standard, du type de bâtiment et de la SRE</t>
  </si>
  <si>
    <t>https://www.ne.ch/autorites/DDTE/SENE/energie/Pages/Subventions.aspx</t>
  </si>
  <si>
    <t>Nouvelle installation ou extension d'une installation existante sur un batiment existant.&lt;br /&gt;&lt;br /&gt;&lt;strong&gt;Contribution financière:&lt;/strong&gt;&lt;br /&gt;- 1200 fr. + 500 fr. par kW</t>
  </si>
  <si>
    <t>Chauffage automatique au bois ≤ 70 kW</t>
  </si>
  <si>
    <t>Remplacement d’un chauffage à mazout, à gaz, électrique fixe à résistance.&lt;br /&gt;&lt;br /&gt;&lt;strong&gt;Contribution financière:&lt;/strong&gt;&lt;br /&gt;- 4200 fr. + 200 fr. par kW&lt;sub&gt;th&lt;/sub&gt;</t>
  </si>
  <si>
    <t>Pompe à chaleur ≤ 70 kW</t>
  </si>
  <si>
    <t>Remplacement d'un chauffage à mazout, à gaz ou électrique fixe à resistance.&lt;br /&gt;&lt;br /&gt;&lt;strong&gt;Contribution financière:&lt;/strong&gt;&lt;br /&gt;- Pompe à chaleur air/eau ≤ 70 kW: 4000 fr. + 200 fr. par kW&lt;sub&gt;th&lt;/sub&gt;&lt;br /&gt;- Pompe à chaleur sol/eau ou eau/eau ≤ 70 kW: 8000 fr.+ 400 fr. par kW&lt;sub&gt;th&lt;/sub&gt;</t>
  </si>
  <si>
    <t>Rénovation complète Minergie</t>
  </si>
  <si>
    <t>Cette subvention est allouée pour une rénovation complète obtenant le label Minergie ou Minergie-P en rénovation.&lt;br /&gt;&lt;br /&gt;&lt;strong&gt;Contributon financière:&lt;/strong&gt;&lt;br /&gt;&lt;span style="text-decoration: underline;"&gt;&lt;br /&gt;&lt;/span&gt;Montants octroyés en cas de rénovation de type Minergie:&lt;br /&gt;- Habitation individuelle: 100 fr. par m&lt;sup&gt;2&lt;/sup&gt; (SRE)&lt;br /&gt;- Habitation collective: 60 fr. par m&lt;sup&gt;2 &lt;/sup&gt;(SRE)&lt;br /&gt;- Autre affectations: 40 fr. par m&lt;sup&gt;2&lt;/sup&gt; (SRE)&lt;br /&gt;- Bonus pour label ECO: + 10 fr. par m&lt;sup&gt;2&lt;/sup&gt; (SRE)&lt;br /&gt;_x000D_
&lt;p&gt;Montants octroyés en cas de rénovation de type Minergie-P:&lt;br /&gt;- Habitation individuelle: 155 fr. par m&lt;sup&gt;2&lt;/sup&gt; (SRE)&lt;br /&gt;- Habitation collective: 90 fr. par m&lt;sup&gt;2&lt;/sup&gt; (SRE)&lt;br /&gt;- Autre affectations: 65 fr. par m&lt;sup&gt;2&lt;/sup&gt; (SRE)&lt;br /&gt;- Bonus pour label ECO: + 10 fr. par m&lt;sup&gt;2&lt;/sup&gt; (SRE)&lt;/p&gt;_x000D_
&lt;p&gt;En cas de première création d’un réseau de distribution hydraulique, une subvention spécifique doit être demandée séparément (nouvelle mesure IP-19).&lt;/p&gt;</t>
  </si>
  <si>
    <t>https://www.vd.ch/prestation/14-demander-une-subvention-pour-une-renovation-complete-avec-certificat-minergier-m12</t>
  </si>
  <si>
    <t>Installation de capteurs solaires thermiques ≤ 70 kW</t>
  </si>
  <si>
    <t>Cette subvention est allouée pour une nouvelle installation solaire thermique ou de l'extension d'une installation existante sur des bâtiments existants.&lt;br /&gt;&lt;br /&gt;&lt;strong&gt;Contribution financière:&lt;/strong&gt;&lt;br /&gt;- Puissance &amp;lt; 3 kW ou Eau Chaude Sanitaire dans l’habitat individuel: 4000 fr.&lt;br /&gt;- Puissance &amp;gt; 3 kW: 2500 fr. + 500 fr. par kW&lt;br /&gt;&lt;br /&gt;Le montant octroyé est doublé dans le cas :&lt;br /&gt;- d’un assainissement énergétique simultané du toit (mesure M-01) faisant l’objet d’une décision positive.&lt;br /&gt;- d’un remplacement simultané de l’installation de production de chaleur existante par une pompe à chaleur, une chaudière à bois ou une cogénération domestique.&lt;br /&gt;&lt;br /&gt;Le doublement est unique même en cas de réalisation des deux mesures précitées.</t>
  </si>
  <si>
    <t>https://www.vd.ch/prestation/12-demander-une-subvention-pour-des-capteurs-solaires-thermiques-m08</t>
  </si>
  <si>
    <t>Remplacement d’un chauffage à bois, puissance cal. &amp;gt;70 kW</t>
  </si>
  <si>
    <t>Cette subvention cantonale est allouée en cas de remplacement d’une chaudière à bois existante par une nouvelle chaudière à bois. Cette subvention se base sur les subventions IP-04 "Subvention pour les installations de chauffage à bois automatique, puissance calorifique &amp;gt; 70 kW" ou M-18 "Subvention pour la construction ou l'extension d'un réseau de chaleur à distance (CAD)".&lt;br /&gt;&lt;br /&gt;Ainsi les conditions d'éligibilité sont soit celles de la mesure IP-04, soit celles de la mesure M-18; les montants octroyés se montent à 50% des montants prévus pour les mesures IP-04 ou M-18.&lt;br /&gt;&lt;br /&gt;&lt;strong&gt;Contribution financière:&lt;/strong&gt;&lt;br /&gt;&lt;br /&gt;Montants octroyés en cas de subvention se basant sur la mesure IP-04:&lt;br /&gt;- Chaudière (P &amp;lt; 500 kW): 90 fr. par kW&lt;br /&gt;- Chaudière (P &amp;gt; 500 kW): 20 000 fr. + 50 fr. par kW&lt;br /&gt;&lt;br /&gt;Montants octroyés en cas de subvention se basant sur la mesure M-18:&lt;br /&gt;- 65 fr. par MWh/an</t>
  </si>
  <si>
    <t>https://www.vd.ch/prestation/08-demander-une-subvention-pour-le-remplacement-dun-chauffage-a-bois-puissance-cal-70-kw</t>
  </si>
  <si>
    <t>Chauffage à bois ≤ 70 kW</t>
  </si>
  <si>
    <t>Cette subvention est allouée pour l’installation d’une chaudière à bois automatique d’une puissance jusqu’à 70 kW, en remplacement d’un chauffage principal au mazout, au gaz naturel ou d’un chauffage électrique fixe à résistance.&lt;br /&gt;&lt;br /&gt;&lt;strong&gt;Contribution financière:&lt;/strong&gt;&lt;br /&gt;- Puissance &amp;lt; 20 kW ou habitat individuel : 8500 fr.&lt;br /&gt;- Puissance &amp;gt; 20 kW : 4500 fr. + 200 fr. par kW&lt;br /&gt;&lt;br /&gt;En cas de première création d’un réseau de distribution hydraulique, une subvention spécifique doit être demandée séparément (nouvelle mesure IP-19).</t>
  </si>
  <si>
    <t>https://www.vd.ch/prestation/06-demander-une-subvention-pour-une-installation-de-chauffage-a-bois-automatique-a-pellets-ou-a-plaquettes-puissance-cal-70-kw-m03</t>
  </si>
  <si>
    <t>Se raccorder à un réseau de chauffage</t>
  </si>
  <si>
    <t>L'installation remplace un chauffage fonctionnant au mazout ou au gaz naturel, ou un chauffage électrique fixe à résistance. La chaleur obtenue doit provenir principalement des énergies renouvelables ou des rejets thermiques (part minimale à fixer par le canton).</t>
  </si>
  <si>
    <t>https://www.ge.ch/installations-chauffage-batiment/se-raccorder-reseau-chauffage-distance</t>
  </si>
  <si>
    <t>Installations de capteurs solaires thermiques ≤ 70 kW</t>
  </si>
  <si>
    <t>Cette subvention est allouée pour une nouvelle installation solaire thermique ou l’extension d’une installation existante (sur des bâtiments existants) d'une puissance inférieure à 70 kW.&lt;br /&gt;&lt;br /&gt;&lt;strong&gt;Contribution financière&lt;/strong&gt;&lt;br /&gt;- 4800 fr. + 2000 fr. par kW</t>
  </si>
  <si>
    <t>https://www.ge-energie.ch/index.php/installations-de-capteurs-solaires-thermiques-70-kw</t>
  </si>
  <si>
    <t>Nouvelle construction/extension du réseau de chaleur (financement à double)</t>
  </si>
  <si>
    <t>&lt;p&gt;Nouvelle construction/extension de l’installation de production de chaleur (au bénéfice de bâtiments existants). Une subvention est accordée pour le déploiement du réseau et de l’installation de production de chaleur en combinaison avec la mesure M-07. &lt;br /&gt;&lt;br /&gt;&lt;strong&gt;Contribution financière&lt;/strong&gt;&lt;br /&gt;- Raccordement via M-07 (voir fiche raccordement réseau): 4000 fr. + 100 fr. par kW&lt;/p&gt;</t>
  </si>
  <si>
    <t>https://www.ge-energie.ch/nouvelle-constructionextension-du-reseau-de-chaleur-avec-ou-sans-financement-double-m-07</t>
  </si>
  <si>
    <t>Pompe à chaleur air-eau &amp;lt;70kW</t>
  </si>
  <si>
    <t>La pompe à chaleur &amp;lt;70kW air-eau utilise l’air comme source d’énergie et convient aussi bien pour le chauffage que pour la production d’eau chaude sanitaire.&lt;br /&gt;&lt;br /&gt;&lt;strong&gt;Contribution financière&lt;/strong&gt;&lt;br /&gt;- 3000 fr. + 400 fr. par kW</t>
  </si>
  <si>
    <t>https://www.ge-energie.ch/index.php/pompe-chaleur-air-eau-70-kw</t>
  </si>
  <si>
    <t>it</t>
  </si>
  <si>
    <t>Impianti solari termici</t>
  </si>
  <si>
    <t>Contributo: 2400 Fr. + 1000 Fr./kW&lt;sub&gt;th&lt;/sub&gt;&lt;br /&gt;&lt;br /&gt;Condizioni: realizzazione su edifici esistenti, impianti repertoriati su &lt;a href="http://kollektorliste.ch/?lang=it/" target="_blank" rel="noopener"&gt;www.listacollettori.ch&lt;/a&gt; e che dispongono della garanzia di prestazione validata (GPV), potenza nominale minima di 2 kW&lt;sub&gt;th&lt;/sub&gt;. Impianti con potenza termica &amp;gt; 20 kW&lt;sub&gt;th&lt;/sub&gt; devono essere dotati di un sistema di sorveglianza secondo le prescrizioni di Swisssolar.</t>
  </si>
  <si>
    <t>https://www.ticinoenergia.ch/incentivi.html</t>
  </si>
  <si>
    <t>Fotovoltaico</t>
  </si>
  <si>
    <t>&lt;strong&gt;Contributo unico, CU-FV&lt;/strong&gt;&lt;br /&gt;• Condizioni: impianti fotovoltaici allacciati alla rete e realizzati in Ticino&lt;br /&gt;• Impianti che beneficiano della SRI non possono ottenere gli incentivi cantonali, né farvi capo rinunciando a quelli federali&lt;br /&gt;• L’energia in esubero e i certificati devono essere venduti ad AET&lt;br /&gt;• Non è presente alcuna limitazione alla potenza degli impianti&lt;br /&gt;• Importi, max. 250'000 Fr.:&lt;br /&gt;  o CU-FV per impianti messi in esercizio fino al 31 marzo 2022:&lt;br /&gt;     –  1/3 della RU-CH;&lt;br /&gt;  o CU-FV per impianti messi in esercizio a partire dal 1° aprile 2022:&lt;br /&gt;     –  impianti di potenza nominale fino a 30 kW: 50% della RU-CH;&lt;br /&gt;     –  impianti di potenza nominale superiore a 30 kW: 50% della RU-CH fino a 30 kW di potenza nominale a cui si somma 1/3 della RU-CH per la restante potenza nominale dell’impianto.&lt;br /&gt;La richiesta deve essere inoltrata entro 12 mesi dalla messa in servizio dell’impianto.</t>
  </si>
  <si>
    <t>https://www4.ti.ch/generale/fer/fondo-energie-rinnovabili-fer</t>
  </si>
  <si>
    <t>Impianti a legna</t>
  </si>
  <si>
    <t>Incentivo per potenze fino a 200 kW&lt;sub&gt;th&lt;/sub&gt;: 10'000 Fr. + 100 Fr./kW&lt;sub&gt;th&lt;/sub&gt;;&lt;br /&gt;&lt;br /&gt;Incentivo per potenze da 200 a 500 kW&lt;sub&gt;th&lt;/sub&gt;: 30'000 Fr. più 1000 Fr. per ogni kW&lt;sub&gt;th&lt;/sub&gt; eccedente i 200 kW&lt;sub&gt;th&lt;/sub&gt;;&lt;br /&gt;&lt;br /&gt;Incentivo per potenze superiori a 500 kW&lt;sub&gt;th&lt;/sub&gt;: 100'000 Fr. + 500 Fr./kW&lt;sub&gt;th&lt;/sub&gt;&lt;br /&gt;&lt;br /&gt;Condizioni per la realizzazione di impianti a cippato di legna:&lt;br /&gt;potenza ≥ 70 kW&lt;sub&gt;th&lt;/sub&gt;, filtro per l’abbattimento di polveri fini, copertura del fabbisogno annuale di energia finale ≥ 75%, progettazione conforme alle direttive, combustibile prodotto in Ticino (Art, 28 LCFo), l’impianto alimenta una rete di teleriscaldamento&lt;br /&gt;&lt;br /&gt;Condizioni per la realizzazione di impianti che impiegano legname di scarto o di rifiuti di legname, con o senza cippato di legna:&lt;br /&gt;potenza ≥ 500 kW&lt;sub&gt;th&lt;/sub&gt;, filtro per l’abbattimento di polveri fini, copertura del fabbisogno annuale di energia finale ≥ 75%, progettazione conforme alle direttive, legname di scarto o rifiuti di legname conformi alle categorie AI o AII della tabella della classificazione del legno usato secondo OPSR, combustibile prodotto in Ticino, l’impianto alimenta una rete di teleriscaldamento&lt;br /&gt;&lt;br /&gt;Se è prevista una produzione di energia elettrica accoppiata a quella del calore, è accordato un ulteriore incentivo pari a 200 Fr./kW&lt;sub&gt;el&lt;/sub&gt;&lt;br /&gt;&lt;br /&gt;Incentivo per il filtro per l’abbattimento delle polveri fini: 40% dell’investimento riconosciuto&lt;br /&gt;&lt;br /&gt;Sostituzione di centrali a cippato di legna esistenti tecnologicamente superate: incentivo pari al 20% dell’investimento riconosciuto</t>
  </si>
  <si>
    <t>Riscaldamenti a legna</t>
  </si>
  <si>
    <t>https://www.coldrerio.ch/Sussidi-e-contributi-35657f00</t>
  </si>
  <si>
    <t>Filtri per impianti a legna</t>
  </si>
  <si>
    <t>Istallazione di un filtro particolato ad un impianto principale e unico di riscaldamento a legna</t>
  </si>
  <si>
    <t>Solare termico</t>
  </si>
  <si>
    <t>acqua sanitaria e/o supporto riscaldamento</t>
  </si>
  <si>
    <t>Nuove costruzioni Minergie</t>
  </si>
  <si>
    <t>Ammodernamenti Minergie</t>
  </si>
  <si>
    <t>Biciclette elettriche</t>
  </si>
  <si>
    <t>https://www.faido.ch/Ufficio-tecnico</t>
  </si>
  <si>
    <t>Impianti fotovoltaici e batterie di accumulo</t>
  </si>
  <si>
    <t>Minergie, -P, -A</t>
  </si>
  <si>
    <t>Scaldacqua a pompa di calore</t>
  </si>
  <si>
    <t>Une aide financière pour la pose de capteurs solaires thermiques pour le chauffage et l’eau chaude sanitaire. Subvention: 50% de la subvention cantonale (maximum CHF 10’000.-)</t>
  </si>
  <si>
    <t>https://www.yverdon-energies.ch/programmes/solaire-thermique/</t>
  </si>
  <si>
    <t>https://www.rivasanvitale.ch/Ordinanza-acquisto-benzina-alchilata-ebb9ce00?i=1</t>
  </si>
  <si>
    <t>Consulenze e certificazioni</t>
  </si>
  <si>
    <t>Nuove costruzioni Minergie-A e -P e/o Eco</t>
  </si>
  <si>
    <t>Edifici nuovi o esistenti</t>
  </si>
  <si>
    <t>https://www.montreux.ch/guichet-virtuel/energie-et-durabilite</t>
  </si>
  <si>
    <t>Chauffages à bois</t>
  </si>
  <si>
    <t>Pompes à chaleur (PAC) avec réseau hydraulique</t>
  </si>
  <si>
    <t>Capteurs solaires photovoltaïques</t>
  </si>
  <si>
    <t>Standard Minergie</t>
  </si>
  <si>
    <t>Panneaux solaires thermiques</t>
  </si>
  <si>
    <t>Les propriétaires de Gland qui souhaitent poser des panneaux solaires thermiques peuvent obtenir une subvention communale.</t>
  </si>
  <si>
    <t>https://www.gland.ch/vivre-a-gland/vie-pratique/energie/cite-de-lenergie/subventions/energie-solaire</t>
  </si>
  <si>
    <t>Panneaux solaires photovoltaïques</t>
  </si>
  <si>
    <t>Eichelbesitzer, die photovoltaische Solarkollektoren installieren möchten, können einen kommunalen Zuschuss erhalten.</t>
  </si>
  <si>
    <t>https://www.crissier.ch/crissier-officiel/services-communaux/energie-et-climat/#subventions-durables</t>
  </si>
  <si>
    <t>Pour l’installation d’une puissance de 1 à 10 kWp</t>
  </si>
  <si>
    <t>Chauffage au bois</t>
  </si>
  <si>
    <t>Uniquement chauffages centraux avec circuits de distribution de la chaleur</t>
  </si>
  <si>
    <t>Pompe à chaleur</t>
  </si>
  <si>
    <t>Assainissement de l'enveloppe</t>
  </si>
  <si>
    <t>Gefördert werden Solaranlagen (Flach- und Röhrenkollektoren).</t>
  </si>
  <si>
    <t>https://www.magden.ch/gk-bauenverentsorgung/info/2056333</t>
  </si>
  <si>
    <t>Gefördert werden Stückholz- und Pelletfeuerungen mit Tagesbehälter sowie Schnitzel- und Pelletfeuerungen mit Silo und Austragung bis 70 kW.</t>
  </si>
  <si>
    <t>https://www.magden.ch/aemter/8854</t>
  </si>
  <si>
    <t>Es wird eine maximale Anlagefläche von 100 m&lt;sup&gt;2 &lt;/sup&gt;gefödert.</t>
  </si>
  <si>
    <t>https://www.magden.ch/dienstleistungen/25204</t>
  </si>
  <si>
    <t>Sanierung mit Minergie-Zertifikat</t>
  </si>
  <si>
    <t>Der Kanton Zug fördert umfassende Gesamtsanierungen mit Minergie-Zertifikat (ohne Etappierung). Die Höhe der Förderbeiträge richtet sich nach der Gebäudekategorie und dem erreichten Standard.&lt;br /&gt;&lt;br /&gt;&lt;strong&gt;Förderbeitrag:&lt;br /&gt;&lt;/strong&gt;- Abhängig von der Energiebezugsfläche, dem Standard und dem Gebäudetyp._x000D_
&lt;table class="grid listing" summary="Erreichter Standard"&gt;_x000D_
&lt;thead&gt;_x000D_
&lt;tr&gt;_x000D_
&lt;td&gt; &lt;/td&gt;_x000D_
&lt;td&gt; &lt;/td&gt;_x000D_
&lt;td&gt; &lt;/td&gt;_x000D_
&lt;td&gt; &lt;/td&gt;_x000D_
&lt;/tr&gt;_x000D_
&lt;/thead&gt;_x000D_
&lt;tbody&gt;_x000D_
&lt;tr&gt;_x000D_
&lt;td&gt; &lt;/td&gt;_x000D_
&lt;td&gt; &lt;/td&gt;_x000D_
&lt;td&gt; &lt;/td&gt;_x000D_
&lt;td&gt; &lt;/td&gt;_x000D_
&lt;/tr&gt;_x000D_
&lt;tr&gt;_x000D_
&lt;td&gt; &lt;/td&gt;_x000D_
&lt;td&gt; &lt;/td&gt;_x000D_
&lt;td&gt; &lt;/td&gt;_x000D_
&lt;td&gt; &lt;/td&gt;_x000D_
&lt;/tr&gt;_x000D_
&lt;tr&gt;_x000D_
&lt;td&gt; &lt;/td&gt;_x000D_
&lt;td&gt; &lt;/td&gt;_x000D_
&lt;td&gt; &lt;/td&gt;_x000D_
&lt;td&gt; &lt;/td&gt;_x000D_
&lt;/tr&gt;_x000D_
&lt;/tbody&gt;_x000D_
&lt;/table&gt;</t>
  </si>
  <si>
    <t>https://zg.ch/de/planen-bauen/bauvorschriften/gebaeude-und-energie/foerderung</t>
  </si>
  <si>
    <t>Wärmedämmung</t>
  </si>
  <si>
    <t>Eine gute Gebäudehülle reduziert den Energiebedarf erheblich und schafft gleichzeitig beste Voraussetzungen für die Nutzung von erneuerbaren Energien. &lt;br /&gt;&lt;br /&gt;&lt;strong&gt;Förderbeitrag:&lt;/strong&gt;&lt;span style="text-decoration: underline;"&gt;&lt;br /&gt;&lt;/span&gt;- Wärmedämmung von Fassade, Dach, Wand und Boden gegen Erdreich: 60 Fr. pro m&lt;sup&gt;2&lt;/sup&gt; wärmegedämmtes Bauteil.&lt;br /&gt;- Bonus Photovoltaik: Wärmegedämmtes Bauteil (Dach und Fassade) in Kombination mit einer vollflächigen Photovoltaik Anlage: +60 Fr. pro m&lt;sup&gt;2&lt;/sup&gt; (Total 120 Fr. pro m&lt;sup&gt;2&lt;/sup&gt;)&lt;br /&gt;- Bonus Gesamtsanierung: + 30 Fr. pro m&lt;sup&gt;2 &lt;/sup&gt;wärmegedämmtes Bauteil</t>
  </si>
  <si>
    <t>Der städtische Förderbeitrag für Photovoltaikanlagen beträgt 20 Prozent der Einmalvergütung des Bundes. Dieser Förderbeitrag wird zusätzlich zur Einmalvergütung des Bundes ausbezahlt.</t>
  </si>
  <si>
    <t>https://www.stadtluzern.ch/dienstleistungeninformation/6253</t>
  </si>
  <si>
    <t>Ersatz zentraler Elektroheizungen und zentraler fossiler Heizungen bis 70 kW</t>
  </si>
  <si>
    <t>Gefördert wird die Installation einer erneuerbaren Heizung als Ersatz einer zentralen Elektroheizung oder zentralen fossilen Heizung&lt;strong&gt; &lt;/strong&gt;mit einer Leistung von maximal 70 kW.&lt;strong&gt;&lt;br /&gt;&lt;br /&gt;Förderbeitrag:&lt;/strong&gt;&lt;br /&gt;- Holzheizung oder Anschluss an Holzwärmenetz: bis 30 kW pauschal 6000 Fr.; ab 30 kW fallweise Beurteilung&lt;br /&gt;- Grundwasser- oder Erdsonden-Wärmepumpe: bis 20 kW pauschal 6000 Fr.; ab 20 kW fallweise Beurteilung</t>
  </si>
  <si>
    <t>https://www.ow.ch/fachbereiche/1744</t>
  </si>
  <si>
    <t>Gefördert wird der Einbau von neuen Sonnenkollektoren oder von Erweiterungen auf bestehenden Gebäuden.&lt;br /&gt;&lt;br /&gt;&lt;strong&gt;Förderbeitrag:&lt;/strong&gt;&lt;br /&gt;- Leistung bis 70 kW: 1200 Fr. + 500 Fr. pro kW</t>
  </si>
  <si>
    <t>Abwrackprämie</t>
  </si>
  <si>
    <t>Gefördert wird der Ersatz einer Öl-, Gas- oder Elektroheizung durch eine CO&lt;sub&gt;2&lt;/sub&gt;-neutrale Heizung.</t>
  </si>
  <si>
    <t>https://www.grabs.ch/energie/29141</t>
  </si>
  <si>
    <t>Energetische Erneuerung der Gebäudehülle</t>
  </si>
  <si>
    <t>Kopie Förderzusage Gebäudeprogramm beilegen</t>
  </si>
  <si>
    <t>Wärmedämmung von Einzelbauteilen</t>
  </si>
  <si>
    <t>https://www.buchs-sg.ch/energie/10105</t>
  </si>
  <si>
    <t>Wärmepumpe (bei Heizungsersatz)</t>
  </si>
  <si>
    <t>Geöfrdert wird die Umstellung auf  Luft-/Wasser, Betrieb mit Ökostrom und Erdsonde, Betrieb mit Ökostrom.</t>
  </si>
  <si>
    <t>https://www.meggen.ch/topics/verwaltung-politik/abteilungen-stabsstellen/umwelt-energie-sicherheit/enerige/foerderprogramm</t>
  </si>
  <si>
    <t>Effiziente Haushaltsgeräte</t>
  </si>
  <si>
    <t>Beitragsberechtigt sind nur Kühl-, Gefriergeräte und Waschmaschinen die unter www.topten.ch aufgelistet sind.</t>
  </si>
  <si>
    <t>https://www.hochdorf.ch/verwaltung/online-schalter.html/335/product/172</t>
  </si>
  <si>
    <t>AppMen</t>
  </si>
  <si>
    <t>https://www.stadt-kriens.ch/stadtbuero/dienstleistungen/foerder-programm-sonnenkollektoren.page/1893</t>
  </si>
  <si>
    <t>Holzpelletheizung</t>
  </si>
  <si>
    <t>https://www.stadt-kriens.ch/stadtbuero/dienstleistungen/foerder-programm-pelletheizung.page/1894</t>
  </si>
  <si>
    <t>Energetische Bauberatung</t>
  </si>
  <si>
    <t>https://www.rueti.ch/politik-verwaltung/verwaltung/dienstleistungen.html/222/egov_service/624</t>
  </si>
  <si>
    <t>Falls der Anschluss an das Fernwärmenetz teurer ist als der Kauf einer neuen Gas- oder Ölheizung, werden die Mehrkosten, maximal 50% der nicht amortisierbaren Kosten übernommen. Zusätzliche Fördergelder erhalten Sie, wenn die bisherige Heizung noch nicht abgeschrieben ist. &lt;br /&gt;50% des aktuellen Wertes der Heizung bis maximal 30‘000 Fr.</t>
  </si>
  <si>
    <t>Ersatz von Grossgeräten</t>
  </si>
  <si>
    <t>Wer ein veraltetes, stromfressendes Grossgerät durch ein energieeffizientes Gerät aus unserem Kundencenter ersetzt, erhält einen Ökorabatt von 10%. Der Rabatt gilt für das energieeffizienteste Gerät der jeweiligen Geräteklasse.</t>
  </si>
  <si>
    <t>https://www.gemeindewerke-erstfeld.ch/kundencenter/foerderprogramme/geraete-ersatz/</t>
  </si>
  <si>
    <t>Wärmedämmung Gebäudehülle</t>
  </si>
  <si>
    <t>Das Gebäudeprogramm fördert die verbesserte Wärmedämmung einzelner Bauteile der Gebäudehülle wie Dach, Fassade, Wand und Boden gegen Erdreich.&lt;br /&gt;&lt;br /&gt;&lt;strong&gt;Förderbeitrag:&lt;/strong&gt;&lt;br /&gt;- 40 Fr. pro m&lt;sup&gt;2&lt;/sup&gt; wärmegedämmte Fläche&lt;br /&gt;- Energieprämie + 20 Prozent</t>
  </si>
  <si>
    <t>https://www.energiepaket-bl.ch/foerdermassnahmen/gebaeudehuelle/waermedaemmung-gebaeudehuelle</t>
  </si>
  <si>
    <t>Das Gebäudeprogramm fördert die Erstellung eines GEAK Plus bei bestehenden Bauten. &lt;br /&gt;&lt;br /&gt;&lt;strong&gt;Förderbeitrag:&lt;/strong&gt;&lt;br /&gt;- Einfamilienhaus/Doppeleinfamilienhaus: 1000 Fr.&lt;br /&gt;- Andere Gebäude: 1500 Fr.</t>
  </si>
  <si>
    <t>https://www.sz.ch/verwaltung/umweltdepartement/amt-fuer-umwelt-und-energie/energie-und-klima/foerderprogramme.html/8756-8758-8802-9447-9453-10708-11116</t>
  </si>
  <si>
    <t>Gewerbliche Kühl- und Gefriergeräte</t>
  </si>
  <si>
    <t>Effiziente Haushaltgeräte</t>
  </si>
  <si>
    <t>Kühl- und Gefriergeräte, Geschirrspüler, Waschmaschinen, Tumbler</t>
  </si>
  <si>
    <t xml:space="preserve">https://www.stadtzug.ch/energiefoerderprogramme/3424 </t>
  </si>
  <si>
    <t>Beratung vor Ort</t>
  </si>
  <si>
    <t>https://www.stadtzug.ch/energiefoerderprogramme/3421</t>
  </si>
  <si>
    <t>Energie Wasser Bern und der Ökofonds für erneuerbare unterstützen den Bau einer Sonnenkollektoranlage (Warmwasserbereitung/Heizung) mit einem einmaligen Betrag.</t>
  </si>
  <si>
    <t>https://www.ewb.ch/angebot/foerderprogramme/foerderprogramm-sonnenkollektoranlagen.php</t>
  </si>
  <si>
    <t>Der Kanton Luzern fördert das Erstellen von Neuanlagen automatischer Holzfeuerungen bei der Umstellung von fossilen Energieträgern (Öl oder Erdgas) oder von Elektroheizungen (zentral oder dezentral) auf naturbelassenes Holz. Die Bezugsgrösse für die Berechnung des Förderbeitrags ist die Kessel-Nennleistung der Anlage (kWth).&lt;br /&gt;&lt;br /&gt;&lt;strong&gt;Förderbeitrag:&lt;/strong&gt;&lt;br /&gt;- Stückholzfeuerungen, Pelletfeuerungen mit Tagesbehälter: 5000 Fr.&lt;br /&gt;- Automatische Holzfeuerungen bis 15 kW&lt;sub&gt;th&lt;/sub&gt;: 8000 Fr.&lt;br /&gt;- Automatische Holzfeuerungen 15 kW&lt;sub&gt;th&lt;/sub&gt; bis 70 kW&lt;sub&gt;th&lt;/sub&gt;: 5000 Fr. + 200 Fr. pro kW&lt;sub&gt;th&lt;/sub&gt;&lt;br /&gt;- Automatische Holzfeuerungen ab 70 kW&lt;sub&gt;th&lt;/sub&gt;: 360 Fr. pro kW&lt;sub&gt;th&lt;/sub&gt;</t>
  </si>
  <si>
    <t>https://uwe.lu.ch/themen/energie/foerderprogramme/holzfeuerungen</t>
  </si>
  <si>
    <t>Minergie-Gesamtsanierung</t>
  </si>
  <si>
    <t>Der Kanton Luzern fördert Gesamtsanierungen mit Minergie-Zertifikat. Förderberechtigt sind Gebäude mit Baubewilligungsjahr vor 2000. Eine Kombination mit anderen Förderbeiträgen für Wärmedämmung, thermische Solaranlagen, Wärmepumpen oder Holzfeuerungen ist nicht möglich. &lt;br /&gt;&lt;br /&gt;&lt;strong&gt;&lt;span style="text-decoration: underline;"&gt;Förderbeitrag:&lt;/span&gt;&lt;/strong&gt;&lt;br /&gt;- Abhängig vom Gebäudetyp, von der Energiebezugsfläche (EBF) und dem Minergie-Standard</t>
  </si>
  <si>
    <t>https://uwe.lu.ch/themen/energie/foerderprogramme/minergie_sanierung</t>
  </si>
  <si>
    <t>Wärmeeffizienzmassnahmen</t>
  </si>
  <si>
    <t>Nach Anforderung des Gebäudeprogramms, Dämmung gegen Aussenklima 20 Fr./m&lt;sup&gt;2&lt;/sup&gt;, Dämmung gegen unbeheizte Räume 40 Fr./m&lt;sup&gt;2&lt;/sup&gt;</t>
  </si>
  <si>
    <t>https://sw-gossau.ch/dienstleistungen/energiefachstelle/energiefonds/</t>
  </si>
  <si>
    <t>Pauschlabeitrag: 1500 Fr.</t>
  </si>
  <si>
    <t>Wärmepumpenboiler</t>
  </si>
  <si>
    <t>Pauschalbetrag: 1000 Fr.</t>
  </si>
  <si>
    <t>Warmwasserkollektoren</t>
  </si>
  <si>
    <t>für Neubauten und für Umbauten bzw. bei Auswechslung von Heizsystemen, nicht für die Erneuerung bestehender gleicher Anlagen</t>
  </si>
  <si>
    <t>https://www.glattwerk.ch/haustechnik/energieberatung-duebendorf#FC3B6rderbeitrC3A4ge20E2809320erneuerbare20Energie20lohnt20sich20doppelt.-101291</t>
  </si>
  <si>
    <t>Wärmepumpe mit Erdsonde</t>
  </si>
  <si>
    <t>Gesamtsanierung mit Minergie- oder Minergie-P-Zertifikat</t>
  </si>
  <si>
    <t>Das Gebäude wird mit dem Standard Minergie oder Minergie-P zertifiziert und das Projekt beinhaltet substantielle Wärmedämmmassnahmen an der Gebäudehülle. Die Sanierungsmassnahmen werden zeitlich konzentriert und längstens innerhalb von drei Jahren umgesetzt.&lt;br /&gt;&lt;br /&gt;&lt;strong&gt;Förderbeitrag:&lt;/strong&gt;&lt;br /&gt;- Minergie-Zertifikat: EFH 120 Fr. pro m&lt;sup&gt;2&lt;/sup&gt;; MFH 80 Fr. pro m&lt;sup&gt;2&lt;/sup&gt;; Nicht-Wohnbau 60 Fr. pro m&lt;sup&gt;2&lt;/sup&gt; + 20 Prozent Energieprämie&lt;br /&gt;- Minergie-P-Zertifikat: EFH 175 Fr. pro m&lt;sup&gt;2&lt;/sup&gt;; MFH 110 Fr. pro m&lt;sup&gt;2&lt;/sup&gt;; Nicht-Wohnbau 85 Fr. pro m&lt;sup&gt;2 &lt;/sup&gt;+ 20 Prozent Energieprämie&lt;br /&gt;- Zusatz Eco: 10 Fr. pro m&lt;sup&gt;2&lt;/sup&gt;</t>
  </si>
  <si>
    <t>https://www.energiepaket-bl.ch/foerdermassnahmen/gebaeudehuelle/foerdermassnahmen-gesamtsanierung-mit-minergie-p-zertifikat</t>
  </si>
  <si>
    <t>Die Gemeinde Horgen bietet vergünstigte Energieberatungen mit neutralen Fachpersonen an.</t>
  </si>
  <si>
    <t>Energiesprechstunde</t>
  </si>
  <si>
    <t>Maximal einstündige Beratung zu den Themen Energieeffizienz, erneuerbare Energieträger, Ersatz Wärmeerzeuger, Mobilität und Stromproduktion.</t>
  </si>
  <si>
    <t>https://www.uetikonamsee.ch/rechtssammlung/sammlung/1490429</t>
  </si>
  <si>
    <t>Energieeffizienz in Unternehmen</t>
  </si>
  <si>
    <t>Förderberechtigt sind Energieeffizienzmassnahmen in Unternehmen und Institutionen in den Bereichen Abwärmenutzung, Wärmeverteilung, Gebäude, Kälte- und Kühlwasseranlagen, Lüftungsanlagen, Druckluftanlagen sowie Pumpensysteme und Motoren.&lt;br /&gt;&lt;br /&gt;&lt;strong&gt;Förderbeitrag:&lt;/strong&gt;&lt;br /&gt;- Beitrag für eingesparte elektrische Energie (über 10 Jahre gerechnet): 30 Fr. pro MWh&lt;br /&gt;- Beitrag für eingesparte thermische Energie (über 10 Jahre gerechnet): 10 Fr. pro MWh</t>
  </si>
  <si>
    <t>EcoEntrp</t>
  </si>
  <si>
    <t>Erstberatung</t>
  </si>
  <si>
    <t>Kostenlose Erstberatung</t>
  </si>
  <si>
    <t>https://www.eteam-tg.ch/beratungsangebot/erstberatung/</t>
  </si>
  <si>
    <t>Minergie-Eco</t>
  </si>
  <si>
    <t>Der Förderbeitrag beträgt 3 Fr. pro m&lt;sup&gt;2&lt;/sup&gt; EBF, maximal 10'000 Fr. pro Objekt</t>
  </si>
  <si>
    <t>https://www.muensterlingen.ch/reglemente/34282</t>
  </si>
  <si>
    <t>Gesamtsanierung</t>
  </si>
  <si>
    <t>Das Gebäude muss bei der Bewertung „Effizienz Gebäudehülle“ mindestens die Effizienzklasse C gemäss GEAK (Gebäudeenergieausweis der Kantone) erreichen oder der Heizwärmebedarf des Gebäudes muss unterhalb von 150% des Grenzwerts für den Heizwärmebedarf von Neubauten gemäss MuKEn 2014 liegen.</t>
  </si>
  <si>
    <t>Solarstromanlagen</t>
  </si>
  <si>
    <t>Die Gemeinde gewährt einen einmaligen Investitionsbeitrag. Es gelten die Förderbedingungen des Kantons.</t>
  </si>
  <si>
    <t>Anschluss an ein Wärmenetz</t>
  </si>
  <si>
    <t>Im Rahmen einer Heizungssanierung wird als Ersatz für eine Heizöl-, Erdgas- oder Elektroheizung der Anschluss an ein Wärmeheiznetz unterstützt.&lt;br /&gt;&lt;br /&gt;&lt;strong&gt;Förderbeitrag:&lt;/strong&gt;&lt;br /&gt;- Anschluss: 4800 Fr. + 360 Fr. pro kW</t>
  </si>
  <si>
    <t>Minergie-Sanierung</t>
  </si>
  <si>
    <t>Förderung von modernisierten Altbauten mit einem tiefen Heizenergiebedarf zertifiziert nach Minergie-A, Minergie-P und/oder Minergie-Eco .&lt;br /&gt;&lt;br /&gt;&lt;strong&gt;Förderbeitrag:&lt;/strong&gt;&lt;br /&gt;- Abhängig vom Gebäudetyp, vom Standard und von der EBF.</t>
  </si>
  <si>
    <t>Heizung kleiner als 70 kW</t>
  </si>
  <si>
    <t>Förderung für den Ersatz einer Heizöl-, Erdgas- oder Elektroheizung durch eine Holzfeuerung oder eine Wärmepumpe mit einer Leistung von weniger als 70 kW.&lt;br /&gt;&lt;br /&gt;&lt;strong&gt;Förderbeiträge:&lt;/strong&gt;&lt;br /&gt;- Stückholz / Pellets: 4000 Fr. &lt;br /&gt;- Autom. Holzheizung : 6000 Fr. + 200 Fr. pro kW&lt;sub&gt;th&lt;/sub&gt;&lt;br /&gt;- Luft-Wasser-Wärmepumpe: 4000 Fr.&lt;br /&gt;- Wasser-Wasser - Wärmepumpe: 6000 Fr. + 250 Fr. pro kW&lt;sub&gt;th&lt;/sub&gt;&lt;br /&gt;- Sole-Wasser-Wärmepumpe: 6000 Fr. + 250 Fr. pro kW&lt;sub&gt;th&lt;/sub&gt;</t>
  </si>
  <si>
    <t>Förderung von thermischen Sonnenkollektoranlagen (Neuanlagen) bei Neubauten (nur &amp;lt;70 kW) und bei bestehenden Gebäuden. Heutrocknungsanlagen auf Anfrage.&lt;br /&gt;&lt;br /&gt;&lt;strong&gt;Förderbeitrag:&lt;/strong&gt;&lt;br /&gt;- Bis 70 kW: 4000 Fr. + 500 Fr. pro kW Nennleistung / 500 Fr. für Installation Wärmemengenzählung / Maximalbetrag: 15 000 Fr.&lt;br /&gt;- Ab 70 kW: 2400 Fr. + 1000 Fr. pro kW Nennleistung / 500 Fr. für Installation Wärmemengenzählung / Maximalbetrag: 200 000 Fr.</t>
  </si>
  <si>
    <t>für Warmwasser und Heizung, 150.- Fr. pro m&lt;sup&gt;2&lt;/sup&gt; Kollektor, max. 2000 Fr. pro Kunde</t>
  </si>
  <si>
    <t>https://www.ebs.swiss/privatkunden/service/angebote/foerderprogramme/</t>
  </si>
  <si>
    <t>Ersatz Ölheizung</t>
  </si>
  <si>
    <t>Gefördert wird der Ersatz von Ölheizungen durch energieeffiziente Wärmepumpen, Gas-Wärmepumpen oder lokale Holzheizungen. Die Förderbeiträge betragen 10 Fr. pro m&lt;sup&gt;2&lt;/sup&gt; Energiebezugsfläche. Der Maximalbetrag beträgt 2000 Franken bei Heizungssanierungen und 450 Fr. bei Boilerersatz durch Wärmepumpenboiler.&lt;br /&gt;Wer bisher kein Wasserwärmeverteilsystem (Bodenheizung oder Heizkörper) hatte, erhält einen zusätzlichen Beitrag von 10 Fr. pro m&lt;sup&gt;2&lt;/sup&gt; Energiebezugsfläche. Der Maximalbetrag beträgt auch hier 2000 Fr.</t>
  </si>
  <si>
    <t>Förderbeitrag: 1000 Fr. beim Neukauf von Elektrofahrzeugen mit einem Kaufpreis von über 10'000 Fr.</t>
  </si>
  <si>
    <t>https://www.energieuster.ch/de/Home/Services/Oekofonds.103.html</t>
  </si>
  <si>
    <t>Ertragsoptimierte Wärmepumpenanlagen und Holzheizkessel in bestehenden Liegenschaften</t>
  </si>
  <si>
    <t>Minergie/Minergie-P/Minergie-A oder SNBS</t>
  </si>
  <si>
    <t>Stückholzfeuerung</t>
  </si>
  <si>
    <t>Das Gebäudeprogramm fördert Stückholzfeuerungen bis 70 kW in bestehenden Gebäuden als Ersatz einer Heizöl-, Erdgas- oder Elektroheizung. Pelletsfeuerungen mit Tagesbehälter erhalten dieselben Beiträge.&lt;br /&gt;&lt;br /&gt;&lt;strong&gt;Förderbeitrag:&lt;/strong&gt;&lt;br /&gt;- pauschal 5500 Fr.</t>
  </si>
  <si>
    <t>Förderung von Wärmenetz-Anschlüssen an bestehende Gebäude als Ersatz einer Heizöl-, Erdgas- oder Elektroheizung.&lt;br /&gt;&lt;br /&gt;&lt;strong&gt;Förderbeitrag:&lt;br /&gt;&lt;/strong&gt;- Leistung bis 12,5 kW&lt;sub&gt;th&lt;/sub&gt;: 6750 Fr. &lt;br /&gt;- Leistung &amp;gt; 12,5 kW&lt;sub&gt;th&lt;/sub&gt;: 6500 Fr. + 20 Fr. pro kW&lt;sub&gt;th&lt;/sub&gt;&lt;br /&gt;- Leistung 70 kW&lt;sub&gt;th&lt;/sub&gt; bis 500 kW&lt;sub&gt;th&lt;/sub&gt;: 8000 Fr. + 40 Fr. pro kW&lt;sub&gt;th&lt;/sub&gt;&lt;br /&gt;- Leistung &amp;gt; 500 kW&lt;sub&gt;th&lt;/sub&gt;: 18 000 Fr. + 20 Fr. pro kW&lt;sub&gt;th&lt;/sub&gt;</t>
  </si>
  <si>
    <t>Thermische Solaranlagen zur Brauchwassererwärmung</t>
  </si>
  <si>
    <t>https://secure.i-web.ch/gemweb/thalsg/de/verwaltung/online-schalter/?action=showdetail&amp;dienst_id=32739</t>
  </si>
  <si>
    <t>Gesamtsanierung GEAK</t>
  </si>
  <si>
    <t>Gefördert wird die Gesamtsanierung GEAK mit mindestens:&lt;br /&gt;- Gebäudehülle: E-Klasse C&lt;br /&gt;- Gesamtenergie: E-Klasse B</t>
  </si>
  <si>
    <t>Grobberatung Gebäudehülle</t>
  </si>
  <si>
    <t>Bei der Grobberatung Gebäudehülle werden Ihre individuellen Fragen zur energetischen Optimierung der Gebäudehülle besprochen und beantwortet.&lt;br /&gt;Die Beratung findet in der Regel vor Ort statt. &lt;br /&gt;&lt;br /&gt;&lt;strong&gt;Förderbeitrag&lt;/strong&gt;&lt;br /&gt;Förderbeitrag Kanton: 350 Fr.&lt;br /&gt;Kundenbeteiligung: ab 150 Fr.&lt;br /&gt;&lt;br /&gt;&lt;br /&gt;Hinweis: Gilt nicht für Neubauten!</t>
  </si>
  <si>
    <t>Grösserer Wasserspeicher</t>
  </si>
  <si>
    <t>für bestehende Wärmepumpen bei tägl. Sperrung 4 h. Beitragssatz: 1 Fr. pro Liter Speicher ab 500 l, Maximalbetrag: 2000 Fr.</t>
  </si>
  <si>
    <t>Für Bauherren und Liegenschafteneigentümer wird von der Gemeinde eine Energieberatung in Form einer Grobanalyse im Umfang von ca. 1,5 Stunden per Fall durch einen externen Berater angeboten.</t>
  </si>
  <si>
    <t>https://www.bubikon.ch/beratung</t>
  </si>
  <si>
    <t>Beratungs-, Ausbildungs- und Informationsveranstaltungen</t>
  </si>
  <si>
    <t>Unterstützt werden Beratungs-, Ausbildungs- und Informationsveranstaltungen zu den Themen Energieeffizienz, erneuerbare Energien und 2000-Watt-Gesellschaft. Der Förderbeitrag wird individuell festgelegt.</t>
  </si>
  <si>
    <t>https://www.stadtluzern.ch/dienstleistungeninformation/76798</t>
  </si>
  <si>
    <t>Abwärmenutzung und Wärmerückgewinnung</t>
  </si>
  <si>
    <t>Abwärmenutzung und Wärmerückgewinnung werden nur dort gefördert, wo deren Einsatz nicht gesetzlich vorgeschrieben ist.</t>
  </si>
  <si>
    <t>https://www.stadtluzern.ch/dienstleistungeninformation/12532#dienst_39901</t>
  </si>
  <si>
    <t>Biogasanlagen</t>
  </si>
  <si>
    <t>Förderbeitrag pro kWp 250 Fr., Maximalbeitrag 30’000 Fr.</t>
  </si>
  <si>
    <t>Bonus Gebäudehülleneffizienz</t>
  </si>
  <si>
    <t>Boni zur Förderung von umfassenden Gebäudehüllensanierungen im Zusammenhang mit M-01 Wärmedämmung Fassade, Dach, Wand und Boden gegen Erdreich.&lt;br /&gt;&lt;br /&gt;&lt;strong&gt;Förderbeitrag:&lt;/strong&gt;&lt;br /&gt;- flächenabhängig nach sanierter Bauteilfläche: 30 Fr. pro m&lt;sup&gt;2&lt;/sup&gt;</t>
  </si>
  <si>
    <t>Sole-Wasser-Wärmepumpe</t>
  </si>
  <si>
    <t>Förderung von elektrisch betriebenen Sole/Wasser-Wärmepumpenanlagen mit Erdwärmesonden in bestehenden Gebäuden als Ersatz einer Heizöl-, Erdgas- oder Elektroheizung.&lt;br /&gt;&lt;br /&gt;&lt;strong&gt;Förderbeitrag:&lt;/strong&gt;&lt;br /&gt;- Leistung bis 12,5 kW&lt;sub&gt;th&lt;/sub&gt;: 10 000 Fr. &lt;br /&gt;- Leistung &amp;gt; 12,5 kW&lt;sub&gt;th&lt;/sub&gt; bis 70 kW&lt;sub&gt;th&lt;/sub&gt;: 7750 Fr. + 180 Fr. pro kW&lt;sub&gt;th&lt;/sub&gt;&lt;br /&gt;- Leistung &amp;gt; 70 kW&lt;sub&gt;th&lt;/sub&gt;: 4800 Fr. + 360 Fr. pro kW&lt;sub&gt;th&lt;/sub&gt;</t>
  </si>
  <si>
    <t>Gebäudehüllen-Sanierung</t>
  </si>
  <si>
    <t>Gebäudehüllensanierung gemäss Gebäudeprogramm Bund / Sofern Gebäudeprogramm (Bund) Beitrag leistet / Nicht kumulierbar mit Gesamtsanierung nach Minergie / Beitrag des Gebäudeprogramms wird um 2/3 erhöht</t>
  </si>
  <si>
    <t>https://www.herrliberg.ch/public/upload/assets/3723/Fo%CC%88rderprogramm%20Energie%202024-2026.pdf?fp=1702992905767</t>
  </si>
  <si>
    <t>Minergie-, Minergie-P und Minergie-A</t>
  </si>
  <si>
    <t>Gefördert werden Gesamterneuerungen.&lt;br /&gt;Der Förderbeitrag richtet sich nach der Grösse der Energiebezugsfläche in m&lt;sup&gt;2&lt;/sup&gt; des Objektes.</t>
  </si>
  <si>
    <t>Anschluss an einen Wärmeverbund</t>
  </si>
  <si>
    <t>Gefördert wird der Anschluss einer Liegenschaft (gilt für neue und bestehende Liegenschaften) an einen Wärmeverbund, der mit erneuerbaren Energien (z.B. mit Seewasser, Biogas etc.), mit Abwasser oder Abwärme betrieben wird.</t>
  </si>
  <si>
    <t>Anschluss an Wärmeverbund der AEW in Uetikon am See</t>
  </si>
  <si>
    <t>Der Förderbeitrag wird situativ in Abstimmung auf die jeweilige Anschlusssitutaion festgelegt.</t>
  </si>
  <si>
    <t>Das Dienstleistungsangebot umfasst unter anderem die Haushaltsberatung, die Beratung bei Gebäudesanierungen mit Massnahmenplanung und eine Umweltberatung KMU.</t>
  </si>
  <si>
    <t>Am Anfang jeder erfolgreichen Sanierung steht eine sorgfältige Analyse und Planung. Der GEAK Plus (Gebäudeenergieausweis der Kantone mit Beratungsbericht) bietet eine umfassende Standortbestimmung zum energetischen Zustand einer Liegenschaft und zeigt verschiedene Sanierungsvarianten auf.&lt;br /&gt;&lt;br /&gt;&lt;strong&gt;Förderbeitrag:&lt;/strong&gt;&lt;br /&gt;- Pauschal 1500 Fr. pro GEAK Plus</t>
  </si>
  <si>
    <t>https://www.zg.ch/behoerden/gemeinden/steinhausen/verwaltung/bau-und-umwelt/umwelt-und-energie</t>
  </si>
  <si>
    <t>Minergie-Zertifizierung</t>
  </si>
  <si>
    <t>Kontrollierte Wohnungslüftung</t>
  </si>
  <si>
    <t>Eine kontrollierte Wohnungslüftung regelt die Frischluftzufuhr einer Wohnung, ohne dass dabei die Fenster geöffnet werden müssen. Dank moderner Geräte lässt sich dabei erheblich Heizenergie sparen.&lt;br /&gt;&lt;br /&gt;&lt;strong&gt;Förderbeitrag:&lt;/strong&gt;&lt;br /&gt;- pro Wohneinheit maximal 2400 Fr.</t>
  </si>
  <si>
    <t>https://www.bs.ch/wsu/aue/abteilung-energie/foerderbeitraege-energie/kontrollierte-wohnungslueftung</t>
  </si>
  <si>
    <t>Pompe à chaleur air/eau</t>
  </si>
  <si>
    <t>Un financement est disponible pour l'installation d'une pompe à chaleur air/eau.&lt;br /&gt;&lt;br /&gt;&lt;strong&gt;Contribution financière:&lt;/strong&gt;&lt;br /&gt;- Chauffage ≤ 70 kW&lt;sub&gt;th&lt;/sub&gt;: 3500 fr. + 150 fr. par kW&lt;sub&gt;th&lt;/sub&gt;&lt;br /&gt;- Eau chaude sanitaire: 1000 fr. (montant forfaitaire)&lt;br /&gt;- Chauffage &amp;gt; 70 kW&lt;sub&gt;th&lt;/sub&gt;: 4000 fr. + 250 fr. par kW&lt;sub&gt;th&lt;/sub&gt;</t>
  </si>
  <si>
    <t>Isolation thermique</t>
  </si>
  <si>
    <t>Le Programme Bâtiments soutien l'isolation thermique de la façade, du toit, des murs et du sol contre terre.&lt;br /&gt;&lt;br /&gt;&lt;strong&gt;Contribution financière:&lt;/strong&gt;&lt;br /&gt;- 50 Fr. par m&lt;sup&gt;2&lt;/sup&gt; d’enveloppe isolée&lt;br /&gt;- Bonus: 60 Fr. par m&lt;sup&gt;2&lt;/sup&gt; si 90 % des surfaces (façades et toits) sont isolés</t>
  </si>
  <si>
    <t>Heizung grösser als 500 kW</t>
  </si>
  <si>
    <t>Förderung für den Ersatz einer Heizöl-, Erdgas- oder Elektroheizung durch eine Holzheizung oder eine Wärmepumpe mit einer Leistung von über 500 kW.&lt;br /&gt;&lt;br /&gt;&lt;strong&gt;Förderbeiträge:&lt;/strong&gt;&lt;br /&gt;- Autom. Holzheizung: 80 000 Fr. + 200 Fr. pro kW&lt;sub&gt;th&lt;/sub&gt;&lt;br /&gt;- Luft-Wasser-Wärmepumpe: 3200 Fr + 120 Fr. pro kW&lt;sub&gt;th&lt;/sub&gt;&lt;br /&gt;- Wasser-Wasser-Wärmepumpe: 84 800 Fr. + 200 Fr. pro kW&lt;sub&gt;th&lt;/sub&gt;&lt;br /&gt;- Sole-Wasser-Wärmepumpe: 84 800 Fr. + 200 Fr. pro kW&lt;sub&gt;th&lt;/sub&gt;&lt;br /&gt;&lt;br /&gt;Hinweis: Maximalbeitrag 200 000 Fr.</t>
  </si>
  <si>
    <t>Wärmeverbund ab 70 kW</t>
  </si>
  <si>
    <t>Gefördert wird der Neubau wie auch die Erweiterung von Wärmenetzen und die dazugehörige Wärmeerzeugung. Die zusätzlich verteilte Wärme aus erneuerbarer Energie oder Abwärme muss für die Raumwärme und Warmwassererzeugung eingesetzt werden. Prozesswärme ist nicht förderberechtigt. Der Ersatz einer Wärmeerzeugung ohne gleichzeitige Erweiterung des Wärmenetzes und damit der Erhöhung der Wärmeerzeugerleistung ist nicht förderberechtigt.&lt;br /&gt;&lt;br /&gt;&lt;strong&gt;Förderbeitrag:&lt;/strong&gt;&lt;br /&gt;- Neubau/Erweiterung Wärmeerzeugungsanlage: 20 Fr. pro m&lt;sup&gt;2&lt;/sup&gt; EBF&lt;br /&gt;- Neubau/Erweiterung Wärmenetze: 20 Fr. pro m&lt;sup&gt;2 &lt;/sup&gt;EBF&lt;br /&gt;- Temporärer Greendeal-Bonus: + 100 %</t>
  </si>
  <si>
    <t>https://www.gr.ch/DE/institutionen/verwaltung/diem/aev/foerderprogramme/haustechnischeanlagen/waermeverbund/Seiten/default.aspx</t>
  </si>
  <si>
    <t>Anschluss Wärmenetz</t>
  </si>
  <si>
    <t>Beitragsberechtigt sind Anschlüsse an einen bestehenden Wärmeverbund für bestehende Bauten, welche vor mehr als fünf Jahren erstellt worden sind.&lt;br /&gt;Gefördert wird nach Energiebezugsfläche (EBF), ab 70kW nach installierter Nennleistung.&lt;br /&gt;Für Anschlüsse an in Betrieb stehende Wärmeverbünde können Beiträge ausgerichtet werden, wenn damit eine bestehende Ölheizung, Erdgasheizung oder elektrische Widerstandsheizung ersetzt wird und keine Erweiterung des Wärmeverbunds erfolgt. &lt;br /&gt;&lt;br /&gt;&lt;strong&gt;Förderbeitrag:&lt;br /&gt;&lt;/strong&gt;&lt;br /&gt;&lt;strong&gt;Beitragsbemessung Anschluss an ein Wärmenmetz bis 70 kW:&lt;/strong&gt;&lt;br /&gt;- Bis 250 m&lt;sup&gt;2&lt;/sup&gt; Energiebezugsfläche (EBF): Pauschalbeitrag 5000 Fr.&lt;br /&gt;- Ab 250 m&lt;sup&gt;2&lt;/sup&gt; Energiebezugsfläche (EBF): Flächenbeitrag 20 Fr. pro m&lt;sup&gt;2 &lt;/sup&gt;EBF&lt;br /&gt;- Temporärer Greendeal-Bonus: + 100 %&lt;br /&gt;&lt;br /&gt;&lt;strong&gt;Beitragsbemessung Anschluss an ein Wärmenmetz ab 70 kW:&lt;/strong&gt;&lt;br /&gt;- Leistungsbeitrag 400 Fr. pro kW&lt;br /&gt;- Temporärer Greendeal-Bonus: + 100 %</t>
  </si>
  <si>
    <t>https://www.gr.ch/DE/institutionen/verwaltung/diem/aev/foerderprogramme/haustechnischeanlagen/anschlusswaermenetz/Seiten/default.aspx</t>
  </si>
  <si>
    <t>Komfortlüftungsanlagen</t>
  </si>
  <si>
    <t>Beitragsberechtigt sind Komfortlüftungsanlagen für bestehende Bauten mit Wohnnutzung, welche vor mehr als fünf Jahren erstellt worden sind. Der Ersatz einer Komfortlüftungsanlage oder die Installation im Rahmen eines Neubaus sind nicht förderberechtigt.&lt;br /&gt;&lt;br /&gt;&lt;strong&gt;Förderbeitrag:&lt;/strong&gt;&lt;br /&gt;- Pauschalbeitrag pro Wohneinheit: 5000 Fr.&lt;br /&gt;- Temporärer Greendeal-Bonus: + 100 %</t>
  </si>
  <si>
    <t>https://www.gr.ch/DE/institutionen/verwaltung/diem/aev/foerderprogramme/haustechnischeanlagen/komfortlueftungsanlagen/Seiten/default.aspx</t>
  </si>
  <si>
    <t>&lt;p&gt;Förderberechtigt ist die Wärmedämmung von Fassade, Dach, Wand und Boden gegen Erdreich.&lt;/p&gt;_x000D_
&lt;strong&gt;Förderbeitrag: &lt;/strong&gt;&lt;span style="text-decoration: underline;"&gt;&lt;br /&gt;&lt;/span&gt;- 60 Fr. pro m&lt;sup&gt;2&lt;/sup&gt; wärmegedämmtes Bauteil&lt;br /&gt;- Ein Bonus wird vergeben bei einer umfassenden Verbesserung der Energieeffizienz der Gebäudehülle (mind. 90% aller Hauptflächen): 60 Fr. pro m2 wärmegedämmtes Bauteil</t>
  </si>
  <si>
    <t>https://uwe.lu.ch/themen/energie/foerderprogramme/waermedaemmung</t>
  </si>
  <si>
    <t>Sonnenkollektoren dienen zur Wassererwärmung und Heizungsunterstützung</t>
  </si>
  <si>
    <t>https://www.entlebuch.ch/verwaltung/energie/energiefoerderprogramme.html/152</t>
  </si>
  <si>
    <t>Unterstützt werden Holzfeuerungen mit Zentralheizungsfunktion wie: Stückholzkessel, Schnitzelfeuerungen, Pelletskessel, Zentralheizungskochherd, Speicherofen mit Wärmetauscher, Fussbodenheizung und Satellitenofen, Fernleitungssysteme mit Wärmeerzeugern aus erneuerbaren Energien. Die Holzfeuerung muss mindestens 75% des Heizenergiebedarfes des Gebäudes decken.</t>
  </si>
  <si>
    <t>Unterstützt werden Wärmepumpen mit Zentralheizungsfunktion wie: Luft/Wasserwärmepumpe, Sole/Wasserwärmepumpe, Wasser/Wasserwärmepumpen.</t>
  </si>
  <si>
    <t>Solaranlage thermisch</t>
  </si>
  <si>
    <t>250 Fr. pro kWth bis 15 kWth, über 15 kWth 150 Fr. pro kWth</t>
  </si>
  <si>
    <t>Holzheizungen (nur Altbauten)</t>
  </si>
  <si>
    <t>Holzheizungen (nur bei Altbauten): Grundbeitrag 750 Fr.</t>
  </si>
  <si>
    <t>Förderberechtigt ist die Erstinstalltion oder die Erweiterung einer Photovoltaikanlage.</t>
  </si>
  <si>
    <t>https://www.schenkon.ch/public/upload/assets/2688/Verordnung zum Energief%C3%B6rderreglement rev. 22.01.2024.pdf?fp=1</t>
  </si>
  <si>
    <t>Holzfeuerungsanlagen</t>
  </si>
  <si>
    <t>Förderberechtigt ist der Ersatz von Heizungen mit fossilen Brennstoffen (Gas, Öl) sowie Elektrodirekt- und Zentralheizungen. Das Förderprogramm gilt nur für bestehende Bauten. Ein Ersatzbau gilt als Neubau.</t>
  </si>
  <si>
    <t>Neubauten nach Minergie-P</t>
  </si>
  <si>
    <t>Gefördert werden Neubauten nach Minergie-P und das Zusatzprodukt ECO.&lt;br /&gt;&lt;br /&gt;&lt;strong&gt;Förderbeitrag:&lt;/strong&gt;&lt;br /&gt;- Einfamilienhäuser und Zweifamilienhäuser: Minergie-P: 75 Fr. je m&lt;sup&gt;2&lt;/sup&gt; EBF; Minergie-ECO: 5 Fr. je m&lt;sup&gt;2&lt;/sup&gt; EBF&lt;br /&gt;- Mehrfamilienhäuser ab 3 Wohneinheiten: Minergie-P: 40 Fr. je m&lt;sup&gt;2&lt;/sup&gt; EBF; Minergie-ECO: 5 Fr. je m&lt;sup&gt;2&lt;/sup&gt; EBF&lt;br /&gt;- Nichtwohnbauten: Minergie-P: 30 Fr. je m&lt;sup&gt;2&lt;/sup&gt; EBF; Minergie-ECO: 5 Fr. je m&lt;sup&gt;2&lt;/sup&gt; EBF</t>
  </si>
  <si>
    <t>https://www.energieagentur-sg.ch/neubau-minergie</t>
  </si>
  <si>
    <t>Energetische Erneuerung der Gebäudehülle (Wärmedämmung von Einzelbauteilen)</t>
  </si>
  <si>
    <t>Die Stadt Wil unterstützt die kantonale Fördermassnahme “Wärmedämmung von Einzelbauteilen“ mit zusätzlich 50 % des kantonalen Förderbeitrags, jedoch maximal 7500 Fr. für ein Ein-/Zweifamilienhaus und maximal 30‘000 Fr. für ein Mehrfamilienhaus, Industrie-, Gewerbe- oder Verwaltungsgebäude.</t>
  </si>
  <si>
    <t>https://www.stadtwil.ch/topics/umwelt-und-energie/foerdermassnahmen-und-beratung</t>
  </si>
  <si>
    <t>Unterstützung der Stadt Wil mit zusätzlich 50 % des kantonalen Förderbeitrags, jedoch maximal 7500 Fr. für ein Ein- oder Zweifamilienhaus und maximal 30‘000 Fr. für ein Mehrfamilienhaus, Industrie-, Gewerbe- oder Verwaltungsgebäude.</t>
  </si>
  <si>
    <t>https://www.stadtwil.ch/energiestadt/19351</t>
  </si>
  <si>
    <t>Sole-Wasser oder Wasser-Wasser bei Neubauten oder beim Ersatz einer fossilen Heizung</t>
  </si>
  <si>
    <t>https://www.arlesheim.ch/de/umwelt--natur--energie/energiestadt/energie.php</t>
  </si>
  <si>
    <t>Stückholzfeuerung, Pelletsfeuerung mit Tagesbehälter, automatische Holzfeuerung, Holz-Wärmenetze Neubau und Anschluss an bestehende Netze</t>
  </si>
  <si>
    <t>zur Wassererwärmung mit oder ohne Heizungsunterstützung bei Erneuerung oder Neubau</t>
  </si>
  <si>
    <t>Ersatz von Elektroheizungen</t>
  </si>
  <si>
    <t>Thermsiche Solaranlagen</t>
  </si>
  <si>
    <t>Einmaliger finanzieller Beitragen an die Investitionskosten von Sonnenkollektoranlagen zur Warmwasseraufbereitung und/oder Heizungsunterstützung</t>
  </si>
  <si>
    <t>https://www.aesch.bl.ch/foerderbeitraege/41038</t>
  </si>
  <si>
    <t>https://www.therwil.ch/de/themen/umwelt-und-bauen/foerderbeitraege-umweltschutz.php</t>
  </si>
  <si>
    <t>Minergie/Minergie-P</t>
  </si>
  <si>
    <t>https://www.amriswil.ch/foerderprogramme</t>
  </si>
  <si>
    <t>http://www.solarstrom-pool.ch</t>
  </si>
  <si>
    <t>Zertifizierte Minergie-P- oder Minergie-A-Neubauten</t>
  </si>
  <si>
    <t>https://www.diessenhofen.ch/gemeinde/energiestadt/beitraege-fuer-energiesparende-massnahmen.html/231</t>
  </si>
  <si>
    <t>Minergie/Minergie-P/Minergie-A</t>
  </si>
  <si>
    <t>Beitragsberechtigt sind nur Sanierungen an über zehn Jahre alten Gebäuden.</t>
  </si>
  <si>
    <t>als Ersatz für Öl-, Gas- oder Elektroheizungen</t>
  </si>
  <si>
    <t>Wärmebildanalyse</t>
  </si>
  <si>
    <t>https://www.ew-ursern.ch/dienstleistungen/energieberatung/</t>
  </si>
  <si>
    <t>Chaleur à distance</t>
  </si>
  <si>
    <t>La construction ou l'extension d'un réseau de chaleur ainsi que la construction ou l'extension d'une installation de production de chaleur sont promus.&lt;br /&gt;&lt;br /&gt;&lt;strong&gt;Contribution financière&lt;/strong&gt;&lt;br /&gt;- En fonction de la taille de l'installation et du type de projet</t>
  </si>
  <si>
    <t>https://www.vs.ch/web/energie/m-18</t>
  </si>
  <si>
    <t>Ersatz von fossil betriebenen Heizungen und ortsfesten, dezentralen elektrischen Widerstandsheizungen mit einer Sole-Wasser- bzw. Wasser-Wasser-Wärmepumpe.&lt;br /&gt;&lt;br /&gt;&lt;strong&gt;Förderbeitrag:&lt;/strong&gt;&lt;br /&gt;- Beitrag abhängig vom Heizungstyp, vom Gebäudetyp und von der Nennleistung&lt;br /&gt;- Evtl. Zusatzbeitrag für gleichzeitige Installation Solarstromanlage&lt;br /&gt;- Beitrag für den Ersatz von dezentralen elektrischen Widerstandsheizungen oder fossilen Heizungen: bis 250 m² EBF 15 000 Fr., ab 250 m² EBF 60 Fr. pro m²</t>
  </si>
  <si>
    <t>Dämmung (Fassade, Dach, Keller, Estrich)</t>
  </si>
  <si>
    <t>50 % von kantonalem Förderprogramm</t>
  </si>
  <si>
    <t>https://www.gams.ch/bauen-umwelt/umwelt/energieberatung.html/55</t>
  </si>
  <si>
    <t>Die Anlage ist das Hauptheizsystem des Gebäudes. Sie ersetzt in einem bestehenden Gebäude eine Öl-, Gas- oder Elektrospeicherheizung. Sie erfüllt die verschärften Grenzwerte der Luftreinhalteverordnung.</t>
  </si>
  <si>
    <t>Anschluss an Wärmeverbund</t>
  </si>
  <si>
    <t>Neubauten oder Ersatz von bestehenden Öl-, Gas oder Elektrospeicherheizungen</t>
  </si>
  <si>
    <t>Gebäudesanierung/Wärmedämmung</t>
  </si>
  <si>
    <t>Gefördert wird die energetische Erneuerung der vollständigen Gebäudehülle sowie die energetische Erneuerung von Fassaden.</t>
  </si>
  <si>
    <t>https://www.eschenbach.ch/dienstleistungen/96925</t>
  </si>
  <si>
    <t>Neben neuen Anlagen werden auch die Erweiterungen von bestehenden Anlagen unterstützt.</t>
  </si>
  <si>
    <t>https://www.eschenbach.ch/onlineschalter/24597/detail</t>
  </si>
  <si>
    <t>Es werden netzgekoppelte Neuanlagen oder Erweiterungen gefördert.</t>
  </si>
  <si>
    <t>Sanierung Gebäudehülle</t>
  </si>
  <si>
    <t>Die Gemeinde Ennetbaden fördert die energetische Sanierung der Gebäudehülle (mit oder ohne Minergie-Standard), wenn diese auch vom Kanton gefördert wird. Die Beitragshöhe der Gemeinde beträgt 70 % des Kantonsbeitrags.</t>
  </si>
  <si>
    <t>https://www.ennetbaden.ch/umwelt-verkehr-energie/energie/energiefoerderprogramm/</t>
  </si>
  <si>
    <t>Der Ersatz von fossilen und rein elektrischen Heizungen mit Erdsonden oder Luft/Wasser-Wärmepumpen wird gefördert. Heizungen bei Neubauten werden nicht unterstützt.&lt;br /&gt;Die Beitragshöhe der Gemeinde beträgt 70 % des kantonalen Förderbeitrags.</t>
  </si>
  <si>
    <t>Heizungssanierung</t>
  </si>
  <si>
    <t>Die Gemeinde Ennetbaden fördert Heizungssanierungen, wenn diese auch vom Kanton gefördert werden. Die Beitragshöhe der Gemeinde beträgt 70 % des Kantonsbeitrags.</t>
  </si>
  <si>
    <t>Die Gemeinde Ennetbaden fördert thermische Solaranlagen, wenn diese auch vom Kanton gefördert werden. Die Beitragshöhe der Gemeinde beträgt 70 % des Kantonsbeitrags.</t>
  </si>
  <si>
    <t>Grauwasseranlagen</t>
  </si>
  <si>
    <t>Die Gemeinde Ennetbaden fördert die Nutzung des Regenwassers für Hausinstallationen und/oder Gartenbewässerungen bei Neu- und Altbauten ab einem Speichervolumen von 2 m&lt;sup&gt;3&lt;/sup&gt;. Die Beitragshöhe beträgt 30 % der nachgewiesenen Investitionskosten, maximal 3000 Fr.</t>
  </si>
  <si>
    <t>EcoEau</t>
  </si>
  <si>
    <t>Gebäudeanalyse</t>
  </si>
  <si>
    <t>Unter gewissen Voraussetzungen richtet die Gemeinde einen Förderbeitrag zusätzlich zum Kantonsbeitrag aus. Informationen erhalten Sie bei der Abteilung Bau und Planung oder bei Ihrer Energieberatungsstelle.</t>
  </si>
  <si>
    <t>Sanierungskonzepte</t>
  </si>
  <si>
    <t>Die Einwohnergemeinde Magden leistet an die Ausarbeitung eines energetischen Sanierungskonzepts für Gebäude einen Förderbeitrag.</t>
  </si>
  <si>
    <t>https://www.magden.ch</t>
  </si>
  <si>
    <t>Pro Wärmeverbund wird insgesamt ein maximaler Förderbeitrag von 10 Wohneinheiten ausgerichtet.</t>
  </si>
  <si>
    <t>Wärmepumpe (Ersatz Öl-, Gas- oder Elektroheizung)</t>
  </si>
  <si>
    <t>Projektberatung, Grobberatung</t>
  </si>
  <si>
    <t>Der Kanton Luzern fördert die Erstellung von Gebäudeenergieausweisen mit Beratungsbericht «GEAK Plus» als Grundlage für fundierte Sanierungsplanungen. Fördergelder müssen neu &lt;strong&gt;nach &lt;/strong&gt;Erstellung des GEAK Plus beantragt werden. Die Frist beträgt drei Monate nach Ausstellungsdatum des GEAK Plus.&lt;br /&gt;&lt;br /&gt;&lt;strong&gt;Förderbeitrag:&lt;/strong&gt;&lt;br /&gt;- Ein- und Zweifamilienhäuser: 1000 Fr.&lt;br /&gt;- Mehrfamilienhäuser, Schul-, Verwaltungs-, Restaurant/Hotel- und Verkaufsbauten sowie Mischnutzungen: 1500 Fr.&lt;br /&gt;- Grobanalyse mit Vorgehensempfehlung gemäss Pflichtenheft BFE: 1500 Fr.</t>
  </si>
  <si>
    <t>https://uwe.lu.ch/themen/energie/foerderprogramme/geak_plus</t>
  </si>
  <si>
    <t>Energieeffiziente Haushaltsgeräte</t>
  </si>
  <si>
    <t>Heizungsersatz</t>
  </si>
  <si>
    <t>https://www.unteraegeri.ch/energie/39599</t>
  </si>
  <si>
    <t>Unterstützt werden thermische Sonnenkollektoranlagen ab 3 m&lt;sup&gt;2&lt;/sup&gt;, sofern das Gebäude mindestens 10 Jahre alt ist</t>
  </si>
  <si>
    <t>durch Fachleute des „energienetz-zug“ für Neubauten und Erneuerungen</t>
  </si>
  <si>
    <t>Kunden der Eniwa AG, die Strom oder Gas beziehen, können bei der Installation einer thermischen Solaranlage von Fördergelder in der Höhe von 200 Fr./m&lt;sup&gt;2&lt;/sup&gt; installierter Kollektorfläche profitieren.</t>
  </si>
  <si>
    <t>https://www.eniwa.ch/de/energieberatung-private.html</t>
  </si>
  <si>
    <t>Förderbeitrag: 250.- Fr./m&lt;sup&gt;2&lt;/sup&gt; max. 10'000.- Fr.</t>
  </si>
  <si>
    <t>https://www.wallisellen.ch/publikationen/310367</t>
  </si>
  <si>
    <t>Erdsonden (Gutachten)</t>
  </si>
  <si>
    <t>Gefördert wird ein geologisches Gutachten für Erdwärmesonden mit 1500.- Fr.&lt;br /&gt;Liegenschaft befindet sich in der Zone C des Wärmenutzungsatlas</t>
  </si>
  <si>
    <t>CECB Plus</t>
  </si>
  <si>
    <t>Les propriétaires de bâtiments construits avant 2012 peuvent bénéficier des contributions.&lt;br /&gt;&lt;br /&gt;- Maisons individuels et jumelées: 1000 fr.&lt;br /&gt;- Immeubles d'habitations: 1500 fr.&lt;br /&gt;- Bâtiments administratifs, écoles, commerces, restaurants: 1500 fr.</t>
  </si>
  <si>
    <t>https://www.vol.be.ch/vol/fr/index/energie/energie/foerderprogramm_energie/beratung.html</t>
  </si>
  <si>
    <t>Rénovation de bâtiments selon le CECB</t>
  </si>
  <si>
    <t>&lt;strong&gt;Contribution financière:&lt;/strong&gt;&lt;br /&gt;                                                       hab.indiv.    hab.coll.   non-hab.&lt;br /&gt;2 classes d’efficacité fr./m&lt;sup&gt;2&lt;/sup&gt; SRE:       70           50             40    &lt;br /&gt;3 classes d’efficacité fr./m&lt;sup&gt;2&lt;/sup&gt; SRE:       90           60             50   &lt;br /&gt;4 classes d’efficacité fr./m&lt;sup&gt;2&lt;/sup&gt; SRE:     110           70             60    &lt;br /&gt;5 classes d’efficacité fr./m&lt;sup&gt;2&lt;/sup&gt; SRE:     130           80             70         &lt;br /&gt;6 classes d’efficacité fr./m&lt;sup&gt;2&lt;/sup&gt; SRE:     160           90             80    &lt;br /&gt;&lt;br /&gt;&lt;strong&gt;Bonus d'efficacité&lt;/strong&gt;&lt;br /&gt;- Enveloppe du bâtiment CECB A: 70 fr. par m&lt;sup&gt;2&lt;/sup&gt; SRE&lt;br /&gt;- Enveloppe du bâtiment CECB B: 50 fr. par m&lt;sup&gt;2&lt;/sup&gt; SRE&lt;br /&gt;- Enveloppe du bâtiment CECB C: 30 fr. par m&lt;sup&gt;2&lt;/sup&gt; SRE</t>
  </si>
  <si>
    <t>https://www.weu.be.ch/fr/start/themen/energie/foerderprogramm-energie/foerderbeitraege-bedingungen/gebaeude.html</t>
  </si>
  <si>
    <t>Analyse sommaire pour bâtiments complexes</t>
  </si>
  <si>
    <t>Seulement pour bâtiments lorsqu’un CECB ne peut pas être établi.&lt;br /&gt;&lt;br /&gt;&lt;strong&gt;Contribution financière:&lt;/strong&gt;&lt;br /&gt;- Montant forfaitaire: 3000 fr.</t>
  </si>
  <si>
    <t>Reti di teleriscaldamento</t>
  </si>
  <si>
    <t>• Finanziamento sino al 50% di studi per la realizzazione di reti di teleriscaldamento, max. 50’000 Fr.&lt;br /&gt;• Finanziamento del 20% dei costi di investimento per la realizzazione di una rete di teleriscaldamento, in base a un progetto definitivo approvato e valutato dall’ufficio competente&lt;br /&gt;• Incentivo per l’allacciamento di un edificio a una rete di teleriscaldamento (potenza allacciata): 8000 Fr. + 40 Fr./kW&lt;sub&gt;th&lt;/sub&gt;&lt;br /&gt;• Incentivo per l’allacciamento di un edificio a una rete di teleriscaldamento a bassa temperatura, per la quale è richiesta l’installazione di una pompa di calore: 7000 Fr.&lt;br /&gt;&lt;br /&gt;Ulteriore incentivo derivante Programma d’Impulso: per la sostituzione con un nuovo impianto dotato per la prima volta di un sistema idraulico di distribuzione sono concessi:&lt;br /&gt;- 15’000.- Fr. per AE fino a 250 m&lt;sup&gt;2&lt;/sup&gt;&lt;br /&gt;- 60.- Fr./m&lt;sup&gt;2&lt;/sup&gt; per AE superiori a 250 m&lt;sup&gt;2&lt;/sup&gt;&lt;br /&gt;(non cumulabile con il bonus per la distribuzione)</t>
  </si>
  <si>
    <t>Mini-idro, eolico, geotermia profonda, biomassa</t>
  </si>
  <si>
    <t>&lt;strong&gt;Contributo unico, CU&lt;/strong&gt;&lt;br /&gt;Condizioni: Possono beneficiare del contributo unico alla costruzione i nuovi impianti allacciati alle rete e realizzati in Ticino&lt;br /&gt;• Impianti che beneficiano della SRI non possono ottenere gli incentivi cantonali, né farvi capo rinunciando a quelli federali&lt;br /&gt;• L’energia in esubero e i certificati devono essere venduti ad AET&lt;br /&gt;• La domanda preliminare deve essere inoltrata prima dell’inizio dei lavori&lt;br /&gt;• Importo: 20% dell’importo calcolato sulla base delle tariffe definite dal sistema di rimunerazione per l’immissione di elettricità a livello federale, max. 500’000 Fr. (art. 25, cpv. 1)&lt;br /&gt;• Validità promessa preliminare: 1 anno</t>
  </si>
  <si>
    <t>Photovoltaik für Winterstrom</t>
  </si>
  <si>
    <t>Gefördert wird die Installation von neuen Photovoltaikanlagen mit einem Neigungswinkel zwischen 60 und 90° auf bestehenden Gebäuden.&lt;br /&gt;&lt;br /&gt;&lt;strong&gt;Förderbeitrag:&lt;/strong&gt;&lt;br /&gt;- Pauschalbeitrag ab 2 kWp elektrischer Leistung: 1000 Fr.&lt;br /&gt;- Jedes weitere kWp zusätzlich: 250 Fr.</t>
  </si>
  <si>
    <t>Auf den vom Gebäudeprogramm von Bund und Kanton zugesicherten Beitrag erhalten Sie zusätzliche Fördermittel in der Höhe von 50 Prozent.</t>
  </si>
  <si>
    <t>https://stadtwerk.winterthur.ch/Nachhaltigkeit/Foerdermassnahmen/Foerderprogramm-Energie-Winterthur/Sanierung-Gebaeudehuelle</t>
  </si>
  <si>
    <t>Auf den vom Gebäudeprogramm von Bund und Kanton zugesicherten Minergie-Beitrag erhalten Sie zusätzliche Fördermittel in der Höhe von 50 Prozent.</t>
  </si>
  <si>
    <t>Gefördert werden Energieberatungen für Privatkundschaft und Geschäftskundschaft.</t>
  </si>
  <si>
    <t>https://stadtwerk.winterthur.ch/privatkundschaft/nachhaltigkeit/foerderaktionen</t>
  </si>
  <si>
    <t>Gefördert wird der Ersatz von Öl- und Gasheizungen mit Pellet-, Schnitzel- oder Stückholzanlagen. Die Förderung stammt von Energie Zukunft Schweiz und der Stiftung Klimaschutz und Kompensation KliK.&lt;br /&gt;&lt;br /&gt;&lt;strong&gt;Förderbeitrag:&lt;/strong&gt;&lt;br /&gt;- Die Klimaprämie wird anhand des jährlichen Energieverbrauchs berechnet und beträgt 18 Rappen pro Kilowattstunde respektive 1.80 Franken pro Liter Erdöl. Dies entspricht 360 Franken pro Kilowatt Heizleistung bei einer korrekt dimensionierten Heizung bei 2000 Vollaststunden.</t>
  </si>
  <si>
    <t>https://foerderplattform.ch/de/foerderprogramme/angebot/klimapraemie-heizungsersatz/</t>
  </si>
  <si>
    <t>Kleinwasserkraftwerke, kleine Windkraftwerke</t>
  </si>
  <si>
    <t>Kleinwasserkraftwerke, kleine Windkraftwerke (kleiner 500 kW): pro Anlage bis 20 kW: Grundbetrag 2000 Fr. Für Leistungen über 20 kW wird der Grundbetrag von 2000 Fr. plus ein Zusatzbeitrag von 60 Fr. pro kW über 20 kW gewährt.</t>
  </si>
  <si>
    <t>Photovoltaik Winterstromanteil</t>
  </si>
  <si>
    <t>Gefördert werden nur die ersten 10 kWp Anlageleistung. Förderberechtigt sind nur PV-Module mit einer Neigung von 75 Grad oder mehr.</t>
  </si>
  <si>
    <t>https://energietal-toggenburg.ch/beratung/energieberatung/</t>
  </si>
  <si>
    <t>Gebäudehüllensanierung</t>
  </si>
  <si>
    <t>Förderbeiträge der Stadt werden automatisch beantragt, indem ein entsprechendes Gesuch beim Kanton eingereicht wird. Die Kostenzusage und der Schlusszahlungsbrief werden vom Kanton an die Stadt weitergeleitet. Der Förderbeitrag beträgt 30% des Kantonsbeitrags.</t>
  </si>
  <si>
    <t>https://www.frauenfeld.ch/politik-verwaltung/verwaltung/stadtverwaltung/departement-fuer-bau-und-verkehr/amt-fuer-hochbau-und-stadtplanung/bauberatung-und-baubewilligungen/fachstelle-energie.html/1332</t>
  </si>
  <si>
    <t>Gossau unterstützt die Erstberatung mit 200 Franken.</t>
  </si>
  <si>
    <t>http://www.gossau-zh.ch/gossau/energiestadt-gossau/energiestadt-gossau.html</t>
  </si>
  <si>
    <t>https://www.pratteln.ch/dienstleistungen/94669</t>
  </si>
  <si>
    <t>Holzenergie</t>
  </si>
  <si>
    <t>Abwärmenutzung mit Wärmenetz</t>
  </si>
  <si>
    <t>Gefördert werden Wasser-Wasser- und Wasser-Sole-Wärmepumpen</t>
  </si>
  <si>
    <t>Die Gemeinde Meggen fördert Anlagen bis 100 kWp.</t>
  </si>
  <si>
    <t>https://www.meggen.ch/form/foerdergesuch-photovoltaikanlage-ab-2024</t>
  </si>
  <si>
    <t>Der Kanton Basel-Landschaft fördert Energieanalysen von bestehenden Gebäuden im Hinblick auf die Verbesserung der Gebäudehülle (Fenster, Dach, Wand, Boden) und den vermehrten Einsatz erneuerbarer Energie (Raumwärme und Brauchwarmwasser).&lt;br /&gt;&lt;br /&gt;&lt;strong&gt;Förderbeitrag:&lt;/strong&gt;&lt;br /&gt;- 50 Prozent der Kosten</t>
  </si>
  <si>
    <t>https://www.energiepaket-bl.ch/foerdermassnahmen/beratung/foerdermassnahmen-geak-plus</t>
  </si>
  <si>
    <t>Neubau und Ersatzneubau Minergie</t>
  </si>
  <si>
    <t>Neubauten, die energetisch über die Anforderungen der Verordnung zum Energiegesetz hinausgehen, sind förderbeitragsberechtigt. Bedingung ist die Einhaltung des Minergie-P- oder Minergie-A-Standards.&lt;br /&gt;&lt;br /&gt;&lt;strong&gt;Förderbeitrag:&lt;/strong&gt;&lt;br /&gt;- Für die ersten 1000 m&lt;sup&gt;2&lt;/sup&gt; Energiebezugsfläche: 100 Fr. pro m&lt;sup&gt;2&lt;/sup&gt;&lt;br /&gt;- Ab 1000 m&lt;sup&gt;2&lt;/sup&gt; Energiebezugsfläche: 25 Fr. pro m&lt;sup&gt;2&lt;/sup&gt;&lt;br /&gt;- Zusatz ECO: 5 Fr. pro m&lt;sup&gt;2&lt;/sup&gt;</t>
  </si>
  <si>
    <t>https://www.bs.ch/wsu/aue/abteilung-energie/foerderbeitraege-energie/neubau-und-ersatzneubau-minergie-p</t>
  </si>
  <si>
    <t>Die städtische Energieberatung bietet kostenlose oder stark vergünstigte Beratungsangebote. Diese umfassen den Heizungsersatz, die Gebäudesanierung sowie Solaranlagen und reichen von der Erstberatung bis hin zur Umsetzungsbegleitung.&lt;br /&gt;&lt;br /&gt;Fördergeldrechner: &lt;a href="https://rechner.energie-foerderung.ch/zs" target="_blank" rel="noopener"&gt;energie-foerderung.ch&lt;/a&gt;&lt;br /&gt;&lt;a href="Bestimmungen%20https:/www.stadt-zuerich.ch/portal/de/index/politik_u_recht/amtliche_sammlung/inhaltsverzeichnis/7/732/361-ausfuehrungsbestimmungen-zur-verordnung-ueber-gemeinwirtscha.html" target="_blank" rel="noopener"&gt;Bestimmungen&lt;/a&gt;</t>
  </si>
  <si>
    <t>https://www.stadt-zuerich.ch/energie/de/index/energieberatung.html</t>
  </si>
  <si>
    <t>Ersatzneubau Minergie-P</t>
  </si>
  <si>
    <t>Das Gebäudeprogramm des Kantons Aargau unterstützt Ersatzneubauten nach Minergie-P-Standard.&lt;br /&gt;&lt;br /&gt;&lt;strong&gt;Förderbeitrag&lt;/strong&gt;&lt;br /&gt;- Einfamilienhaus: 75 Fr.  pro m&lt;sup&gt;2&lt;/sup&gt;&lt;br /&gt;- Mehrfamilienhaus: 40 Fr. pro m&lt;sup&gt;2&lt;/sup&gt;&lt;br /&gt;- Nicht-Wohnbau: 30 Fr. pro m&lt;sup&gt;2&lt;/sup&gt;&lt;br /&gt;&lt;br /&gt;Hinweis: Keine reinen Neubauten, sondern nur Ersatzneubauten werden gefördert!</t>
  </si>
  <si>
    <t>Fensterersatz</t>
  </si>
  <si>
    <t>kombiniert mit 100% Biogas</t>
  </si>
  <si>
    <t>https://energiethun.ch/unser-engagement/foerderprogramm_waerme/</t>
  </si>
  <si>
    <t>Die Erstellung von Photovoltaikanlagen auf dem Gemeindegebiet Thalwil wird gegen Einsendung des Inbetriebnahmeprotokolls und der Verfügung betreffend Festsetzung der Einmalvergütung (einmaliger Investitionsbeitrag des Bundes, KLEIV und GREIV) bei der Pronovo mit einem zusätzlichen Förderbeitrag von 20 Prozent, respektive 50 Prozent der Einmalvergütung bei Indachanlagen, jeweils bis maximal 10'000 Franken pro Anlageunterstützt. Gefördert werden ausschliesslich neue Anlagen. Detaillierte Ausführungen sind dem Förderreglement zu entnehmen.</t>
  </si>
  <si>
    <t>https://www.thalwil.ch/energieklima/65938</t>
  </si>
  <si>
    <t>Nutzungsgradverbesserung gewerblicher oder industrieller Prozesse</t>
  </si>
  <si>
    <t>Gefördert werden Optimierungen von industriellen oder gewerblichen Prozessen. Optimierungen für Raumwärme und Brauchwarmwasser sind nicht förderberechtigt.&lt;br /&gt;&lt;br /&gt;&lt;strong&gt;Förderbeitrag:&lt;/strong&gt;&lt;br /&gt;- Abhängig vom Ausmass der Verbesserung des Nutzungsgrades und der Gesamteffizienz der Massnahmen.&lt;br /&gt;- Temporärer Greendeal-Bonus: + 100 %</t>
  </si>
  <si>
    <t>https://www.gr.ch/DE/institutionen/verwaltung/diem/aev/foerderprogramme/nutzungsgradverbesserung/Seiten/default.aspx</t>
  </si>
  <si>
    <t>Heizungspumpen</t>
  </si>
  <si>
    <t>A, EEI ≤ 0,20</t>
  </si>
  <si>
    <t>10% vom Kant. Förderbeitrag, Installation auf bestehendes Haus.&lt;br /&gt;EFH max. 1000 Fr., MFH und Gewerbeliegenschaften max. 3000 Fr.</t>
  </si>
  <si>
    <t>https://www.lausen.ch/de/verwaltung/dienstleistungen/?dienst_id=18367&amp;lebenslage_id=40</t>
  </si>
  <si>
    <t>10 % vom Kant. Förderbeitrag ab 2000 Fr. KFB&lt;br /&gt;EFH, MFH und Gewerbeliegenschaften maximal 5000 Fr.</t>
  </si>
  <si>
    <t>10 % vom Kant. Förderbeitrag bis 250 kW bei Ersatz von Öl-, Gas- oder Elektroheizung.&lt;br /&gt;EFH max. 1500 Fr., Erstinstallation max. 1000 Fr.&lt;br /&gt;MFH und Gewerbeliegenschaften max. 3000 Fr., Erstinstallation max. 2000 Fr.</t>
  </si>
  <si>
    <t>10% vom Kant. Förderbeitrag bei Ersatz von Öl-, Gas-, Elektroheizung.&lt;br /&gt;&lt;br /&gt;&lt;strong&gt;Sole/Wasser, Wasser/Wasser&lt;/strong&gt;&lt;br /&gt;EFH max. 1500 Fr., Erstinstallation max. 1000 Fr.&lt;br /&gt;MFH und Gewerbeliegenschaften max. 3000 Fr., Erstinstallation max. 2000 Fr.&lt;br /&gt;&lt;br /&gt;&lt;strong&gt;Luft/Wasser-Wärmepumpe&lt;/strong&gt;&lt;br /&gt;EFH max. 1000 Fr., Erstinstallation max. 1000 Fr.&lt;br /&gt;MFH und Gewerbeliegenschaften max. 2000 Fr., Erstinstallation max. 2000 Fr.</t>
  </si>
  <si>
    <t>Haushaltsgeräte müssen auf der Liste unter www.topten.ch, Rubrik Haushalt, enthalten sein.</t>
  </si>
  <si>
    <t>Solarkollektoren für die Brauchwassererwärmung</t>
  </si>
  <si>
    <t>http://www.woelflinswil.ch/de/esmain/esfoerderungberatung/</t>
  </si>
  <si>
    <t>&lt;p class="MsoPlainText"&gt;Die Energiestadt Rheinfelden beteiligt sich an den Kosten des sogenannten Gebäudeenergieausweises, kurz GEAK Plus. Ähnlich wie bei der Energieetikette für Haushaltgeräte zeigt der GEAK Plus, welche energetische Qualität ein Gebäude aufweist. Der Förderbeitrag wird zusätzlich zu jenem des Kantons gesprochen.&lt;/p&gt;_x000D_
&lt;p class="MsoPlainText"&gt;&lt;strong&gt;Förderbeitrag&lt;/strong&gt;&lt;span style="mso-spacerun: yes;"&gt;&lt;strong&gt;  &lt;/strong&gt;&lt;br /&gt;&lt;/span&gt;- Einfamilienhaus: 800 Fr.&lt;br /&gt;- Mehrfamilienhaus: 1100 Fr.&lt;/p&gt;</t>
  </si>
  <si>
    <t>https://www.rheinfelden.ch/de/leben-und-wohnen/bauen-und-wohnen/energieversorgung/</t>
  </si>
  <si>
    <t>Elektrofahrzeuge und Fahrzeuge mit Wasserstoffantrieb</t>
  </si>
  <si>
    <t>Gesamtsanierungen</t>
  </si>
  <si>
    <t>Mindestens 90 Prozent der Fassade und des Dachs sind nach der Sanierung gemäss den Anforderungen der Einzelbauteilsanierungen wärmegedämmt.&lt;br /&gt;&lt;br /&gt;&lt;strong&gt;Förderbeitrag:&lt;/strong&gt;&lt;br /&gt;- 30 Fr. pro m&lt;sup&gt;2&lt;/sup&gt; wärmegedämmte Bauteilfläche</t>
  </si>
  <si>
    <t>Pufferspeicher</t>
  </si>
  <si>
    <t>Das EWN unterstützt die Installation eines Pufferspeichers als Ergänzung zur Wärmepumpe.</t>
  </si>
  <si>
    <t>https://www.ewn.ch/waerme/pufferspeicher/</t>
  </si>
  <si>
    <t>Ersatz elektrische und fossile Heizungen durch Wärmepumpe</t>
  </si>
  <si>
    <t>Die Stadt Wil unterstützt die kantonale Fördermassnahme "Ersatz von elektrischen und fossilen Heizungen durch Wärmepumpen" (ausserhalb vom städtischen Fernwärmeperimeter oder mit Sondergenehmigung) mit zusätzlich 50 % des kantonalen Förderbeitrags, jedoch maximal 20'000 Fr. bis 200 kW thermische Leistung.</t>
  </si>
  <si>
    <t>Förderbeitrag einmalig 300 Franken pro kWp bis maximal 30'000 Fr. resp. 30 % der Investitionskosten pro Anlage</t>
  </si>
  <si>
    <t>Gefördert werden Indachanlagen, in Fassaden integrierte Anlagen und mit einer Flachdachbegrünung kombinierte Anlagen.</t>
  </si>
  <si>
    <t>https://www.freienbach.ch/_docn/3470801/Richtlinien_Energie-Forderprogramm_ab_2022.pdf</t>
  </si>
  <si>
    <t>Gebäudehüllensanierungen (Einzelbauteile)</t>
  </si>
  <si>
    <t>Gesamtsanierung GEAK Plus</t>
  </si>
  <si>
    <t>Beitrag an die Gesamtsanierung nach GEAK (Gebäudeenergieausweis der Kantone)</t>
  </si>
  <si>
    <t>Holzheizungen bis 70 kW</t>
  </si>
  <si>
    <t>Anschluss Wärmenetze</t>
  </si>
  <si>
    <t>Einmaliger Investitionsbeitrag pro Anschluss, ab 70 kW Anschlussleistung Beitrag für jedes weitere Kilowatt</t>
  </si>
  <si>
    <t>https://www.amriswil.ch/reglemente/117614</t>
  </si>
  <si>
    <t>Wärmepumpen in Kombination mit PV-Anlagen</t>
  </si>
  <si>
    <t>https://www.romoos.ch/wirtschaft-umwelt/umwelt-energie/energie/</t>
  </si>
  <si>
    <t>Heizungsumwälzpumpen</t>
  </si>
  <si>
    <t>Kostenlose Erstberatung für Neubau und Gebäudeerneuerung</t>
  </si>
  <si>
    <t>https://www.energienetz-zug.ch/energieberatung/</t>
  </si>
  <si>
    <t>Förderbeiträge werden entsprechend der installierten Leistung zugesprochen. Beim Ersatz bestehender Alagen wird nur für die zusätzlich installierte Leistung ein Förderbeitrag geleistet. &lt;br /&gt;Die eingesetzten Panels müssen der Europäischen Installationsnorm oder gleichwertig entsprechen. Der maximale Beitrag beträgt 5000 Fr. pro Anlage. Dies gilt bei Neubauten pro Baugesuch (Einzelbebauung oder Arealbebauung) und bei bestehenden Bauten pro Gebäude oder Anlage.</t>
  </si>
  <si>
    <t>https://www.oberaegeri.ch/planenbauen/20356</t>
  </si>
  <si>
    <t>Holzheizungen werden mit 20.- Fr. pro m&lt;sup&gt;2&lt;/sup&gt; Energiebezugsfläche unterstützt.</t>
  </si>
  <si>
    <t>https://www.zg.ch/behoerden/gemeinden/menzingen/de/verwaltung/verwaltung/aemter-und-stellen/bauamt/energieberatung?searchterm=energie</t>
  </si>
  <si>
    <t>Die Gemeinde Menzingen ist bei der Energieberatung des Kantons Zug angeschlossen. Diese berät Sie in einer ersten Phase kostenlos und neutral.</t>
  </si>
  <si>
    <t>Beiträge für Umbauten im Standard Minergie und Minergie-P.</t>
  </si>
  <si>
    <t>Minergie-P</t>
  </si>
  <si>
    <t>Förderung von Neubauten im Standard Minergie-P</t>
  </si>
  <si>
    <t>Gesamtmodernisierung nach Minergie-Eco-Standard</t>
  </si>
  <si>
    <t>Gefördert wird die umfassende Gesamtmodernisierung mit Minergie‐Zertifikat (ohne Etappierung).&lt;br /&gt;Förderbeitrag: 30 % des Beitrages aus dem kantonalen Förderprogramm, max. 15'000 Fr.</t>
  </si>
  <si>
    <t>https://www.wetzikon.ch/verwaltung/bau-planung/umwelt/energie/foerderreglement/foerdermittel-stadt-wetzikon</t>
  </si>
  <si>
    <t>Pompe à chaleur air/eau ≤ 70 kW</t>
  </si>
  <si>
    <t>Le remplacement d'un chauffage au mazout, au gaz naturel ou électrique par une pompe à chaleur air-eau est promu.&lt;br /&gt;&lt;br /&gt;&lt;strong&gt;Contribution financière&lt;/strong&gt;&lt;br /&gt;- Habitat individuel: 9000 fr.&lt;br /&gt;- Habitat collectif et autres constructions: 45 fr. par m&lt;sup&gt;2&lt;/sup&gt; de SRE</t>
  </si>
  <si>
    <t>https://www.vs.ch/web/energie/m-05</t>
  </si>
  <si>
    <t>Production de chaleur alimentant un réseau de chaleur</t>
  </si>
  <si>
    <t>Nouvelle installation ou extension de la production de chaleur. Chaudière à bois &amp;gt; 300 kW. Pompe à chaleur &amp;gt; 200 kW&lt;sub&gt;th&lt;/sub&gt;.&lt;br /&gt;&lt;br /&gt;&lt;strong&gt;Contribution financière: &lt;/strong&gt;&lt;br /&gt;- 130 fr. par MWh/a</t>
  </si>
  <si>
    <t>Raccordement à un réseau de chaleur ≤ 70 kW</t>
  </si>
  <si>
    <t>Remplacement d'un chauffage principal par le raccordement à un réseau de chaleur.&lt;br /&gt;&lt;br /&gt;&lt;strong&gt;Contribution financière:&lt;/strong&gt;&lt;br /&gt;- Puissance ≤ 70 kW: 4000 fr.+ 20 fr. par kW&lt;sub&gt;th&lt;/sub&gt;</t>
  </si>
  <si>
    <t>Pompe à chaleur électrique air/eau, puissance ≤ 70 kW</t>
  </si>
  <si>
    <t>Installation d'une pompe à chaleur électrique air/eau avec une puissance ≤ 70 kW. L'installation remplace un chauffage fonctionnant au mazout ou au gaz naturel, ou un chauffage électrique fixe à résistance.&lt;br /&gt;&lt;br /&gt;&lt;strong&gt;Contribution financière:&lt;/strong&gt;&lt;br /&gt;- Puissance thermique nominale inférieure ou égale à 15 kW&lt;sub&gt;th&lt;/sub&gt;: 3500 fr.&lt;br /&gt;- Puissance thermique nominale supérieure à 15 kW&lt;sub&gt;th&lt;/sub&gt;: 2000 fr. + 100 fr. par kWth, au minimum 3500 fr.&lt;br /&gt;&lt;br /&gt;&lt;strong&gt;&lt;br /&gt;&lt;/strong&gt;</t>
  </si>
  <si>
    <t>Der Beitrag des Energiefonds Binningen beträgt 100 % des kantonalen Förderbeitrags für den Bonus Gebäudehülleneffizienz, d.h. der Bonus wird vom Energiefonds Binningen um 100 % aufgestockt. Objekte (inkl. Gesamtüberbauungen) mit einem Beitrag von über 20000 Franken werden individuell beurteilt. Einzelbauteile werden nicht von der Gemeinde gefördert.</t>
  </si>
  <si>
    <t>https://www.binningen.ch/de/dienstleistungen/versorgung-umwelt/energie/energiefonds-binningen.html/727</t>
  </si>
  <si>
    <t>Der Beitrag des Energiefonds Binningen beträgt 25% des kantonalen Förderbeitrags für Neubauten - Minergie-P, d.h. der Beitrag wird vom Energiefonds Binningen um 25% aufgestockt. Objekte (inkl. Gesamtüberbauungen) mit einem Beitrag von über 20000 Franken werden individuell beurteilt. Einzelbauteile werden nicht von der Gemeinde gefördert.</t>
  </si>
  <si>
    <t>Der Beitrag des Energiefonds Binningen beträgt 25 % des Beitrags des "Baselbieter Energiepakets".</t>
  </si>
  <si>
    <t>Der Beitrag des Energiefonds Binningen beträgt 25% der von Pronovo verfügten Einmalvergütung (Anteilsmässig bis maximal 9.99 kWp). Objekte (inkl. Gesamtüberbauungen) mit einem Beitrag von über 20'000.- Fr. werden individuell beurteilt.</t>
  </si>
  <si>
    <t>Ersatz Elektroheizungen</t>
  </si>
  <si>
    <t>Der Beitrag des Energiefonds Binningen beträgt 100% des kantonalen Förderbeitrags.</t>
  </si>
  <si>
    <t>Der Beitrag des Energiefonds Binningen beträgt 25% des kantonalen Förderbeitrags. Objekte (inkl. Gesamtüberbauungen) mit einem Beitrag von über 20000 Franken werden individuell beurteilt.</t>
  </si>
  <si>
    <t>Der Beitrag des Energiefonds Binningen beträgt 25% des kantonalen Förderbeitrags. Objekte (inkl. Gesamtüberbauungen) mit einem Beitrag von über 20'000 Franken werden individuell beurteilt.</t>
  </si>
  <si>
    <t>Energie-Coaching bei Planung und Bau</t>
  </si>
  <si>
    <t>Ein Energie-Coaching soll die im Rahmen des Förderprogramms Klima geförderten  Massnahmen begleiten und deren Qualität sichern. Dazu gewährt die Gemeinde Thalwil einen Beitrag von 50 Prozent der Beratungskosten bis maximal 5000 Franken. Der ganze Planungs- und Umsetzungsprozess muss von einer Energieberatungsperson aus der Beraterliste Forum Energie Zürich (FEZ) begleitet werden.</t>
  </si>
  <si>
    <t>https://www.thalwil.ch/energieklima/65932</t>
  </si>
  <si>
    <t>Betriebsoptimierung von Gebäuden</t>
  </si>
  <si>
    <t>Die Gemeinde Thalwil übernimmt 50 Prozent der Kosten einer Betriebsoptimierung im ersten Vertragsjahr. Das Kostendach pro Liegenschaft beträgt 5000 Franken. Das Angebot gilt nur für Gebäude, in denen noch keine Betriebsoptimierung durchgeführt wurde und muss von energo oder Beratern des Forums Energie Zürich durchgeführt werden.</t>
  </si>
  <si>
    <t>Einzelbauteilsanierung</t>
  </si>
  <si>
    <t>Gefördert wird die energetische Sanierung von einzelnen Bauteilen.&lt;br /&gt;&lt;br /&gt;&lt;strong&gt;Förderbeitrag:&lt;/strong&gt;&lt;br /&gt;- Fassade und Steildach sowie Wand und Boden gegen Erdreich: 60 Fr. pro m&lt;sup&gt;2 &lt;/sup&gt;wärmegedämmtes Bauteil&lt;br /&gt;- Flachdächer (U-Wert mind. 0,15 W/m&lt;sup&gt;2&lt;/sup&gt;K): 40 Fr. pro m&lt;sup&gt;2 &lt;/sup&gt;&lt;sup&gt;&lt;br /&gt;&lt;/sup&gt;</t>
  </si>
  <si>
    <t>Die Gemeinde Thalwil fördert den Heizungsersatz ergänzend zur übergeordneten Förderung von Kanton und Bund. Es gelten die Förderbedingungen des Kantons Zürich. Die Gemeinde Thalwil gewährt einen zusätzlichen Förderbeitrag von 50 Prozent der Beiträge der übergeordneten Förderung bis maximal 15'000 Franken. Detaillierte Ausführungen sind dem Förderreglement zu entnehmen.</t>
  </si>
  <si>
    <t>http://www.uzwil.ch/de/dienstleistungen/?dienst_id=26435</t>
  </si>
  <si>
    <t>Réseaux de chaleur à partir d'énergies renouvelables</t>
  </si>
  <si>
    <t>A droit aux subventions l’exploitante ou l’exploitant du réseau de distribution de chaleur.&lt;br /&gt;&lt;br /&gt;&lt;strong&gt;Contribution financière:&lt;/strong&gt;&lt;br /&gt;- Transport de chaleur par an: 40 fr. par MWh</t>
  </si>
  <si>
    <t>Telefonische Kurzberatung</t>
  </si>
  <si>
    <t>Die Energieberatung der Gemeinde umfasst eine telefonische Erstberatung über die sinnvolle Vorgehensweise bei der Planung und Realisierung von Energiespar- und Klimamassnahmen sowie Auskünfte über das kommunale Förderprogramm. Die Beratung ist kostenlos.</t>
  </si>
  <si>
    <t>Eine neutrale Fachperson berät Sie bei Energiefragen: &lt;a title="Weitere Informationen" href="https://www.wetzikon.ch/verwaltung/bau-planung/umwelt/energie/energieberatung" target="_blank" rel="noopener"&gt;https://www.wetzikon.ch/verwaltung/bau-planung/umwelt/energie/energieberatung&lt;/a&gt;</t>
  </si>
  <si>
    <t>https://www.wetzikon.ch/de/verwaltung/abteilungen/detail/detail.php?i=89#anchor_2bac9068</t>
  </si>
  <si>
    <t>Photovoltaikanlage mit Dachbegrünung</t>
  </si>
  <si>
    <t>Die Stadt St.Gallen fördert Photovoltaikanlagen auf Flachdächern, die mit einer für die Biodiversität wertvollen Begrünung kombiniert werden, mit einem Zusatzbeitrag von 20 Prozent des Leistungsbeitrages der Einmalvergütung des Bundes (KLEIV ohne Grundbeitrag).&lt;br /&gt;</t>
  </si>
  <si>
    <t>Ersatz von Heizungen</t>
  </si>
  <si>
    <t>Fördergelder: 50% der Kosten für die Wärmeverteilung, bis max. 1000 Fr. pro kW&lt;br /&gt;- Einfamilienhaus max. 10‘000 Fr. pro Gebäude&lt;br /&gt;- Mehrfamilienhaus oder anderes Gebäude max. 5000 Fr. pro Nutzungseinheit</t>
  </si>
  <si>
    <t>Wärmekraftkopplungsanlagen (WKK)</t>
  </si>
  <si>
    <t>Beitragsberechtigt sind neu installierte Wärmekraftkopplungsanlagen, die eine bestehende Heizung ersetzen. Die Wärmekraftkopplungsanlage muss wärmegeführt sein. Die Abwärme muss vollständig genutzt werden.&lt;br /&gt;&lt;br /&gt;&lt;strong&gt;Förderbeitrag:&lt;/strong&gt;&lt;br /&gt;- Beitrag elektrische Leistung (Einspeiseleistung): 500 Fr. pro kW&lt;sub&gt;el&lt;/sub&gt;</t>
  </si>
  <si>
    <t>Förderberechtigt sind Gebäude mit Baubewilligungsjahr vor 2005. Gesuchsteller/-innen erhalten nach Einreichung des GEAK mit Beratungsbericht einen Gutschein im Wert von 500 Franken. Dieser Gutschein ist drei Jahre gültigund nicht übertragbar. Wird in dieser Zeitspanne ein Fördergesuch beim Kanton in den Bereichen Gebäudesanierung oder Heizungsersatz eingereicht, wird der Gutschein angerechnet.&lt;br /&gt;&lt;br /&gt;&lt;strong&gt;Förderbeitrag:&lt;/strong&gt;&lt;br /&gt;- Ein- und Zweifamilienhäuser: 1000 Fr.&lt;br /&gt;- Mehrfamilienhäusern (ab 3 Wohnungen): 1500 Fr.&lt;br /&gt;- Hotel, Büro/Verwaltung, Schule, Verkauf, Restaurant: 2000 Fr.&lt;br /&gt;&lt;br /&gt;Hinweis: Der Beitrag beträgt maximal 50 % der Kosten.</t>
  </si>
  <si>
    <t>Vom 1. September bis 30. November 2025 unterstützt EKZ den Kauf eines neuen Haushaltsgeräts und erstattet Ihnen 20 % des Kaufpreises (max. 200 Fr. pro Gerät). Gefördert werden Haushaltsgeräte aus folgenden Produktkategorien: Kühlschränke, Gefrierschränke/-truhen, Waschmaschinen, Wäschetrockner, Geschirrspüler.</t>
  </si>
  <si>
    <t>https://www.ekz.ch/foerderprogramm</t>
  </si>
  <si>
    <t>Stromeffizienz im Unternehmen</t>
  </si>
  <si>
    <t>Gefördert werden Projekte zur Verbesserung der Stromeffizienz von bestehenden Anlagen.</t>
  </si>
  <si>
    <t>https://www.ekz.ch/profitieren</t>
  </si>
  <si>
    <t>Umsetzungsbegleitung Machbarkeitsstudie</t>
  </si>
  <si>
    <t>Unterstützt werden Machbarkeitsstudien für grosse Produktionsanlagen im Bereich erneuerbarer Energien, Potenzialanalysen für Abwasserwärmenutzung, Nutzung von Biomasse sowie für die Erstellung von Nah- und Fernwärmenetzen. Der Schwerpunkt der Machbarkeitsstudie muss auf der Nutzung erneuerbarer Energien liegen. Darin wird die technische Umsetzbarkeit unter Berücksichtigung von wirtschaftlichen Aspekten aufgezeigt. Reine Planungsaufgaben gelten nicht als Machbarkeitsstudie.&lt;br /&gt;&lt;br /&gt;&lt;strong&gt;Förderbeitrag:&lt;/strong&gt;&lt;br /&gt;- Förderbeitrag Kanton: max. 50 Prozent, höchstens 5’000 Fr.</t>
  </si>
  <si>
    <t>Beiträge werden nur für Massnahmen an bestehenden Bauten oder Gebäudeteilen ausgerichtet, deren Errichtung vor dem Jahr 2000 bewilligt wurde. Beitragsberechtigt sind grundsätzlich im Ausgangszustand beheizte Gebäude oder Gebäudeteile. Die angegebenen U-Werte müssen nach der Sanierung erfüllt werden.&lt;br /&gt;&lt;br /&gt;&lt;br /&gt;&lt;strong&gt;Förderbeitrag:&lt;/strong&gt;&lt;br /&gt;- Fenster: U-Wert Glas ≤ 0,70 W/m&lt;sup&gt;2&lt;/sup&gt;K 30 Fr. pro m&lt;sup&gt;2&lt;/sup&gt; Bauteilfläche&lt;br /&gt;- Wand, Dach, Boden gegen Aussenklima: U-Wert ≤ 0,20 W/m&lt;sup&gt;2&lt;/sup&gt;K 60 Fr. pro m&lt;sup&gt;2&lt;/sup&gt; Bauteilfläche&lt;br /&gt;- Wand, Decke, Boden gegen unbeheizte Räume: U-Wert ≤ 0,25 W/m&lt;sup&gt;2&lt;/sup&gt;K 20 Fr. pro m&lt;sup&gt;2&lt;/sup&gt; Bauteilfläche&lt;br /&gt;- Temporärer Greendeal-Bonus: + 50 %</t>
  </si>
  <si>
    <t>https://www.gr.ch/DE/institutionen/verwaltung/diem/aev/foerderprogramme/gebaudehuelle/Seiten/default.aspx</t>
  </si>
  <si>
    <t>Energieanalysen in Unternehmen</t>
  </si>
  <si>
    <t>Förderung von Energieanalysen in Unternehmen und Institutionen (Erstellung Bericht). Bei Grossverbrauchern dient diese Energieanalyse als Grundlage für eine Energieverbrauchsanalyse (EVA) oder für eine Universalzielvereinbarung (UZV).&lt;br /&gt;&lt;br /&gt;&lt;strong&gt;Förderbeitrag:&lt;/strong&gt;&lt;br /&gt;- 40 % der Gesamtkosten, maximal 20 000 Fr. pro Projekt</t>
  </si>
  <si>
    <t>Réfrigérateurs et congélateurs commerciaux</t>
  </si>
  <si>
    <t>Lors du remplacement d'appareils inefficients et de l’acquisition d’appareils répondant aux critères Topten, vous bénéficiez d’une subvention allant jusqu’à 30% du prix d’achat. Le programme est destiné aux appareils professionnels présentant une efficacité énergétique élevée et contenant des fluides frigorigènes à faible impact environnemental.</t>
  </si>
  <si>
    <t>https://www.topten.ch/business/page/programme-dencouragement-pour-refrigerateurs-et-congelateurs-professionnels</t>
  </si>
  <si>
    <t>Effizienzbonus</t>
  </si>
  <si>
    <t>bei Nachweis der effizienten Verwendung von Energie (Stromverbraucher über 60'000 kWh)</t>
  </si>
  <si>
    <t>https://www.stadt-zuerich.ch/energie/de/index/foerderung/alle-foerderprogramme/ewz-effizienzbonus.html</t>
  </si>
  <si>
    <t>Impuls Umwelt: Beratungsangebot für KMU</t>
  </si>
  <si>
    <t>Impuls Umwelt ist ein Beratungsangebot für kleine und mittlere Unternehmen (KMU) aller Branchen. Gemeinsam mit einer unabhängigen Fachperson finden Sie einfach umsetzbare Optimierungsmöglichkeiten in Ihrem Betrieb. Impuls Umwelt bedient eine breite Palette von Umweltthemen.</t>
  </si>
  <si>
    <t>https://www.stadtluzern.ch/dienstleistungeninformation/7768</t>
  </si>
  <si>
    <t>Énergie solaire thermique</t>
  </si>
  <si>
    <t>La contribution de soutien d'ESB pour les installations solaires thermiques à Bienne est de 250 Fr./m&lt;sup&gt;2&lt;/sup&gt; de surface de collecteurs.</t>
  </si>
  <si>
    <t>https://www.esb.ch/de/privatkunden/foerderprogramme/solarthermie/</t>
  </si>
  <si>
    <t>Neubauten/Ersatzneubauten mit Vorbildcharakter (Minergie-P)</t>
  </si>
  <si>
    <t>Gefördert werden Neubauten mit Vorbildcharakter. Das Gebäude muss dem Minergie-P-Standard entsprechen. &lt;br /&gt;&lt;br /&gt;&lt;strong&gt;Förderbeitrag:&lt;/strong&gt;&lt;br /&gt;- Einfamilienhaus: 75 Fr. pro m&lt;sup&gt;2&lt;/sup&gt; EBF&lt;br /&gt;- Mehrfamilienhaus: 40 Fr. pro m&lt;sup&gt;2&lt;/sup&gt; EBF&lt;br /&gt;- Nicht-Wohnbau: 30 Fr. pro m&lt;sup&gt;2&lt;/sup&gt; EBF&lt;br /&gt;- Temporärer Greendeal-Bonus: + 100 %</t>
  </si>
  <si>
    <t>https://www.gr.ch/DE/institutionen/verwaltung/diem/aev/foerderprogramme/neubautenmitvorbildcharakter/Seiten/default.aspx</t>
  </si>
  <si>
    <t>Erhöhung kantonaler Förderbeitrag</t>
  </si>
  <si>
    <t>https://bonaduz.ch/bauen-wohnen/energiestadt-bonaduz</t>
  </si>
  <si>
    <t>Beratung für KMU (ecozug)</t>
  </si>
  <si>
    <t>Mobilitätsberatung für Unternehmen</t>
  </si>
  <si>
    <t>https://www.stadtzug.ch/energiefoerderprogramme/3426</t>
  </si>
  <si>
    <t>Energieanalyse</t>
  </si>
  <si>
    <t>Gebäudeanalyse, Coach bei Gesamtsanierung</t>
  </si>
  <si>
    <t>Abwärmenutzung</t>
  </si>
  <si>
    <t>Anlage zur Energieversorgung mit einem hohen Wirkungsgrad oder Anteil an erneuerbaren Energien</t>
  </si>
  <si>
    <t>z.B. Nahwärmenetze, Holzheizungen, Biogasanlagen, Blockheizkraftwerke oder Anlagen zur Abwärmenutzung</t>
  </si>
  <si>
    <t>Innovative Mobilitätslösungen</t>
  </si>
  <si>
    <t>Blockheizkraftwerk (BHKW)</t>
  </si>
  <si>
    <t>Für ein Blockheizkraftwerk erhalten Sie Fördergelder aus dem städtischen Energiefonds.</t>
  </si>
  <si>
    <t>Das Beratungsprogramm steht allen Eigentümerinnen und Eigentümern von Wohn-, Büro- und Verwaltungsgebäuden auf dem Gebiet der Gemeinde Bern offen.</t>
  </si>
  <si>
    <t>https://energieberatungstadtbern.ch/</t>
  </si>
  <si>
    <t>Ersatz Öl- oder Elektroheizung</t>
  </si>
  <si>
    <t>Ersatz einer Öl- oder Elektroheizung durch eine Holzheizung, eine Wärmepumpe (Luft, Erdwärme, Wasser) oder ein neues Wärmeverteilsystem. &lt;br /&gt;EWK trägt nochmals 50% zum vom Kanton gesprochenen Förderbeitrag dazu.</t>
  </si>
  <si>
    <t>https://ewk.ch/energie/energie-und-umwelt/foerderbeitraege</t>
  </si>
  <si>
    <t>Thermische Solaranlage zur Erwärmung von Brauchwasser&lt;br /&gt;+ 50% des Kantonsbeitrags</t>
  </si>
  <si>
    <t>Erstellung GEAKplus (Ergebnis = Beratungsgrundlage für Energieeinsparmassnahmen). &lt;br /&gt;- Für Einfamilienhaus: Zusatzbeitrag 200.- Fr.zu Kantonsbeitrag &lt;br /&gt;- Für Doppelfamilienhaus: Zusatzbeitrag 300.- Fr. zu Kantonsbeitrag &lt;br /&gt;- Für Mehrfamilienhaus: Zusatzbeitrag 300.- Fr. zu Kantonsbeitrag</t>
  </si>
  <si>
    <t>Gefördert wird die Energieberatung durch eine ausgewiesene Fachperson sowie die Umsetzung von Massnahmen daraus.</t>
  </si>
  <si>
    <t>https://www.freienbach.ch/freienbach/verwaltung/dienstleistungen/36824</t>
  </si>
  <si>
    <t>Der Gemeinderat prüft im Rahmen eines GEAK oder eines Gestaltungsplanverfahrens Fördergesuche und fällt einen Entscheid unter der Berücksichtigung von Nutzen und Wirtschaftlichkeit.</t>
  </si>
  <si>
    <t>Batteriespeicher für Solarstromanlagen</t>
  </si>
  <si>
    <t>Der Grundbeitrag pro Anlage beträgt 2000 Fr. Zusätzlicher Beitrag pro kW nutzbare Batteriekapazitäten: 200 Fr. pro kWh. Der maximale Beitrag beträgt 5000 Fr. pro Objekt. Es gelten die kantonalen Förderbedingungen.</t>
  </si>
  <si>
    <t>Batt</t>
  </si>
  <si>
    <t>Von diesem Bonus profitiert, wer mindestens 90 % der Dach- und Fassadenfläche mit der Massnahme «Wärmedämmung Fassade, Dach, Wand und Boden gegen Erdenreich» gleichzeitig energetisch saniert.&lt;br /&gt;&lt;br /&gt;&lt;strong&gt;Förderbeitrag:&lt;/strong&gt;&lt;br /&gt;- 120 Fr. pro m&lt;sup&gt;2 &lt;/sup&gt;wärmegedämmte Fläche</t>
  </si>
  <si>
    <t>https://www.energiepaket-bl.ch/foerdermassnahmen/gebaeudehuelle/bonus-gebaeudehuelleneffizienz</t>
  </si>
  <si>
    <t>Anschluss an Wärmenetz</t>
  </si>
  <si>
    <t>Das Baselbieter Energiepaket fördert Anschlüsse an ein Wärmenetz mit mindestens 51 % Wärme aus erneuerbaren Quellen oder Abwärme. Die Anlage muss eine Heizöl-, Erdgas- oder Elektroheizung ersetzen.&lt;br /&gt;&lt;br /&gt;&lt;strong&gt;Förderbeitrag:&lt;/strong&gt;&lt;br /&gt;- 5000 Fr. + 200 Fr. pro kW&lt;sub&gt;th&lt;/sub&gt; + 20 Prozent Energieprämie</t>
  </si>
  <si>
    <t>https://www.energiepaket-bl.ch/foerdermassnahmen/heizung-warmwasser/anschluss-an-ein-waermenetz-ersatz-einer-oel-gas-oder-elektroheizung</t>
  </si>
  <si>
    <t>Suivi énergétique et stratégie d'assainissement pour les milieux économiques et les gros consommateurs</t>
  </si>
  <si>
    <t>Mobilité d'entreprise</t>
  </si>
  <si>
    <t>Individuelle Energieberatung per Telefon oder vor Ort für private Hausbeigentümerschaften sowie für Planende. Zwei Stunden Energieberatung werden gratis angeboten.</t>
  </si>
  <si>
    <t xml:space="preserve">https://www.meilen.ch/energieberatung </t>
  </si>
  <si>
    <t>Ersatzneubau Minergie/-P/-A oder SNBS</t>
  </si>
  <si>
    <t>Wärmetechnische Verbesserungen der Gebäudehülle (Aussenwände, Dächer und Böden)</t>
  </si>
  <si>
    <t>Ersatz Kühl- und Tiefkühlgeräte</t>
  </si>
  <si>
    <t>Anschluss an einen Holzheizverbund oder an ein Anergienetz</t>
  </si>
  <si>
    <t>Minergie, Minergie-P und Minergie-A</t>
  </si>
  <si>
    <t>Die kommunalen Förderbeiträge werden zusätzlich zu den Beiträgen des Gebäudeprogramms und allfälligen Beträgen anderer Förderprogramme ausgerichtet.</t>
  </si>
  <si>
    <t>250 Franken pro kWp, max. 2500 Franken für EFH, MFH und Gewerbeliegenschaften.</t>
  </si>
  <si>
    <t>Nouvelle construction ou extension de l'installation de production de chaleur</t>
  </si>
  <si>
    <t>Cette subvention est allouée pour la création ou l’extension d’un réseau de chauffage à distance, ainsi que pour une nouvelle centrale ou une extension de puissance d’une centrale existante.&lt;br /&gt;&lt;br /&gt;&lt;strong&gt;Contribution financière:&lt;/strong&gt;&lt;br /&gt;- 130 fr. par MWh/an</t>
  </si>
  <si>
    <t>https://www.vd.ch/prestation/m-18-demander-une-subvention-pour-une-nouvelle-construction-ou-extension-de-linstallation-de-production-de-chaleur</t>
  </si>
  <si>
    <t>Einmaliger Investitionsbeitrag pro Anlage, Zusatzbeitrag für Nachrüstung mit Feinstaubabscheider</t>
  </si>
  <si>
    <t>Abwärmenutzung in Industrie und Gewerbe</t>
  </si>
  <si>
    <t>Förderberechtigt sind steckerfertige gewerbliche Kühl- und Gefriergeräte, die auf www.topten.ch/gewerbe gelistet sind.</t>
  </si>
  <si>
    <t>Gesamtsanierung nach Minergie</t>
  </si>
  <si>
    <t>Förderung von umfassenden Minergie-Gebäudesanierungen ohne Etappierung.&lt;br /&gt;&lt;br /&gt;&lt;strong&gt;Förderbeitrag:&lt;/strong&gt;&lt;br /&gt;- Abhängig vom Standard, vom Gebäudetyp und von der Energiebezugsfläche (EBF) zwischen 60 und 175 Fr. pro m&lt;sup&gt;2&lt;/sup&gt; EBF</t>
  </si>
  <si>
    <t>&lt;p&gt;Eine gute Wärmedämmung senkt den Bedarf an Heizenergie nachhaltig, steigert den Wert eines Gebäudes und führt zu mehr Wohnkomfort. Die Sanierung einzelner Teile der Gebäudehülle wird mit Beiträgen für Einzelbauteilsanierungen unterstützt.&lt;br /&gt;&lt;br /&gt;&lt;strong&gt;Förderbeitrag:&lt;/strong&gt;&lt;br /&gt;- Abhängig vom Bauteil und der Fläche&lt;/p&gt;</t>
  </si>
  <si>
    <t>https://www.bs.ch/wsu/aue/abteilung-energie/foerderbeitraege-energie/einzelbauteilsanierung</t>
  </si>
  <si>
    <t>Luft-Wasser-Wärmepumpe</t>
  </si>
  <si>
    <t>Im Rahmen einer Heizungssanierung wird als Ersatz für eine Heizöl-, Erdgas- oder Elektroheizung der Einbau einer Luft-Wasser-Wärmepumpe unterstützt. &lt;br /&gt;&lt;br /&gt;&lt;strong&gt;Förderbeitrag:&lt;/strong&gt;&lt;br /&gt;- Luft-Wasser-Wärmepumpe: 3200 Fr. + 120 Fr. pro kW&lt;sub&gt;th&lt;/sub&gt;</t>
  </si>
  <si>
    <t>Ersatz fossiler und Elektroheizungen durch Wärmepumpen</t>
  </si>
  <si>
    <t>Pauschal 2500.- Fr.</t>
  </si>
  <si>
    <t>Die Energieberatung wird von der Energiefachstelle Nidwalden durchgeführt.</t>
  </si>
  <si>
    <t>http://www.hergiswil.ch/de/verwaltung/dienstleistungen/?dienst_id=13827</t>
  </si>
  <si>
    <t>Die Gemeinde Menzingen arbeitet in einer Kooperation mit ägerital energie an der Förderung von Photovoltaikanlagen. Als Menzinger Einwohner kann man sich an dem Projekt beteiligen.</t>
  </si>
  <si>
    <t>Anschluss an die Wärmeversorgung Reigoldswil</t>
  </si>
  <si>
    <t>Anschlüsse von privaten Liegenschaften sowie Geschäftsliegenschaften an die Wärmeversorgung Reigoldswil AG, später EBL, werden mit einem pauschalen Beitrag von 500 Fr. subventioniert.</t>
  </si>
  <si>
    <t>- Ab einer installierten Leistung von 3 kWp (Kilowattpeak).&lt;br /&gt;- Förderbeitrag pro kWp 300 Fr., Maximalbeitrag 3000 Fr.</t>
  </si>
  <si>
    <t>Raccordement à un réseau de chauffage à distance</t>
  </si>
  <si>
    <t>Un financement est disponible pour le raccordement à un réseau de chauffage à distance. La chaleur fournie doit provenir principalement des énergies renouvelables ou des rejets thermiques.&lt;br /&gt;&lt;br /&gt;&lt;strong&gt;Contribution financière:&lt;/strong&gt;&lt;br /&gt;- Chauffage ≤ 70 kW&lt;sub&gt;th&lt;/sub&gt;: 5000 fr. + 30 fr. par kW&lt;sub&gt;th&lt;/sub&gt;&lt;br /&gt;- Eau chaude sanitaire : 1000 fr. (montant forfaitaire)&lt;br /&gt;- Chauffage &amp;gt; 70 kW&lt;sub&gt;th&lt;/sub&gt;: 16 000 fr. + 80 fr. par kW&lt;sub&gt;th&lt;/sub&gt;</t>
  </si>
  <si>
    <t>Minergie-Neubau</t>
  </si>
  <si>
    <t>Das Gebäudeprogramm unterstützt Neubauten nach den Standards Minergie-P und Minergie-A sowie Minergie-Eco.&lt;br /&gt;&lt;br /&gt;&lt;strong&gt;Förderbeitrag:&lt;/strong&gt;&lt;br /&gt;- Abhängig vom Gebäudetyp, vom Standard und von der EBF.</t>
  </si>
  <si>
    <t>Förderung von Wärmenetzanschlüssen als Hauptheizung an Neubauten und bestehende Gebäude (als Ersatz einer Heizöl-, Erdgas- oder Elektroheizung).&lt;br /&gt;&lt;br /&gt;&lt;strong&gt;Förderbeitrag:&lt;/strong&gt;&lt;br /&gt;&lt;span style="left: 394.353px; top: 200.585px; font-family: sans-serif; transform: scaleX(0.790252);"&gt;&lt;br /&gt;Bestehende Gebäude&lt;br /&gt;- Bis 70 kW&lt;sub&gt;th&lt;/sub&gt;: 6000 Fr. + 20 Fr. pro kW&lt;sub&gt;th&lt;/sub&gt;&lt;br /&gt;- 70 bis 500 kW&lt;sub&gt;th&lt;/sub&gt;: 8000 Fr. + 40 Fr. pro kW&lt;sub&gt;th&lt;/sub&gt;&lt;br /&gt;- Ab 500 kW&lt;sub&gt;th&lt;/sub&gt;: 18 000 Fr. + 200 Fr. pro kW&lt;sub&gt;th&lt;/sub&gt;&lt;br /&gt;&lt;br /&gt;Mehrfachanschluss (REFH) mit einem Anschlusspunkt&lt;br /&gt;- Pauschal 6000 Fr.&lt;br /&gt;- Pro weitere Partei: 4000 Fr. + 20 Fr. pro kW&lt;sub&gt;th&lt;/sub&gt;&lt;br /&gt;&lt;br /&gt;Alle Neubauten&lt;br /&gt;- 6000 Fr. + 20 pro kW&lt;sub&gt;th&lt;/sub&gt;&lt;br /&gt;&lt;br /&gt;Maximalbeitrag: 200 000 Fr.&lt;/span&gt;</t>
  </si>
  <si>
    <t>Ersatz von Beleuchtungsanlagen</t>
  </si>
  <si>
    <t>Förderung energieeffizienter Beleuchtungsmittel in Gewerbe-, Industrie-, Bürobauten und Verkaufslokalen.&lt;br /&gt;&lt;br /&gt;&lt;strong&gt;Förderbeitrag:&lt;/strong&gt;&lt;br /&gt;- Beitrag: 30 % der Investitionskosten&lt;br /&gt;- Maximalbeitrag: 15 000 Fr.</t>
  </si>
  <si>
    <t>Gebäudeautomation</t>
  </si>
  <si>
    <t>Förderung von Massnahmen im Bereich der Gebäudeautomation und dem technischen Gebäudemanagement nach der Norm SIA 386.110 (EN 15232).&lt;br /&gt;&lt;br /&gt;&lt;strong&gt;Förderbeitrag:&lt;/strong&gt;&lt;br /&gt;- Abhängig von der Verbesserung sowie ob Neubau oder Sanierung</t>
  </si>
  <si>
    <t>Neubau/Erweiterung Wärmenetze</t>
  </si>
  <si>
    <t>Förderung von Neubau und Erweiterung von Wärmenetzen sowie Neubau und Erweiterung von Wärmeerzeugungsanlagen zum&lt;br /&gt;Betrieb von Wärmenetzen.&lt;br /&gt;&lt;br /&gt;&lt;strong&gt;Förderbeitrag:&lt;/strong&gt;&lt;br /&gt;- Neubau/Erweiterung Wärmenetz: 150 Fr. pro MWh/a&lt;br /&gt;- Erweiterung Wärmeerzeuger: 130 Fr. pro MWh/a&lt;br /&gt;- Maximalbeitrag: 250 000 Fr.</t>
  </si>
  <si>
    <t>Amélioration de classe CECB</t>
  </si>
  <si>
    <t>Bâtiment d'habitation (catégories I et II selon SIA 380/1) pour lequel l'autorisation de construire a été délivrée avant 2000 et sur lequel il est possible d'établir un CECB.&lt;br /&gt;&lt;br /&gt;&lt;strong&gt;Contribution financière:&lt;/strong&gt;&lt;br /&gt;- En fonction de l'amélioration (nombre de classes CECB), du type de bâtiment et de la SRE</t>
  </si>
  <si>
    <t>http://www.ne.ch/autorites/DDTE/SENE/energie/Pages/Subventions.aspx</t>
  </si>
  <si>
    <t>Gebäudemodernisierung mit Konzept</t>
  </si>
  <si>
    <t>Gefördert wird das Verfassen von Konzepten zur energetischen Modernisierung von beheizten Bauten, sofern deren Baubewilligung älter als 10 Jahre ist. Von der Energieagentur St.Gallen geschulte und anerkannte Energiefachpersonen verfassen ein ausführliches Konzept in Form eines verständlichen Berichts mit vorgegebenem Inhalt.&lt;br /&gt;&lt;br /&gt;&lt;strong&gt;Förderbeitrag:&lt;/strong&gt;&lt;span style="text-decoration: underline;"&gt;&lt;br /&gt;&lt;/span&gt;- Ein- und Zweifamilienhäuser: 4500 Fr.&lt;br /&gt;- Mehrfamilienhäuser mit drei oder mehr Wohneinheiten: 5500 Fr.&lt;br /&gt;- Dienstleistungsbauten und Schulen: 8000 Fr.&lt;br /&gt;- Wohnbauten mit bis zu einem Drittel nicht zu Wohnzwecken genutzter beheizter Fläche: 8000 Fr.&lt;br /&gt;- Nichtwohnbauten: 8000 Fr.</t>
  </si>
  <si>
    <t>https://www.energieagentur-sg.ch/gebaeudemodernisierung</t>
  </si>
  <si>
    <t>Wärmepumpen bis 70 kW</t>
  </si>
  <si>
    <t>Gefördert wird der Rückbau und Ersatz von elektrischen und fossilen Heizungen in bestehenden Bauten durch eine Elektro-Wärmepumpe (Luft-Wasser, Sole-Wasser oder Wasser-Wasser). Als elektrisch gelten zentrale oder dezentrale elektrische Widerstandsheizungen, als fossil gelten Öl-, Gas- und Kohleheizungen.&lt;br /&gt;&lt;br /&gt;&lt;strong&gt;Förderbeitrag Luft-Wasser-Wärmepumpen&lt;br /&gt;&lt;/strong&gt;- thermische Leistung bis 20 kW: 2800 Fr.&lt;br /&gt;- thermische Leistung grösser als 20 kW: 1600 Fr. + 60 Fr. pro kW&lt;sub&gt;th&lt;/sub&gt; &lt;br /&gt;&lt;br /&gt;&lt;strong&gt;Förderbeitrag Sole-Wasser- und Wasser-Wasser-Wärmepumpen&lt;/strong&gt;&lt;br /&gt;- thermische Leistung bis 20 kW: 6000 Fr.&lt;br /&gt;- thermische Leistung grösser als 20 kW und kleiner als 70 kW: 2400 Fr. + 180 Fr. pro kW&lt;sub&gt;th&lt;/sub&gt;</t>
  </si>
  <si>
    <t>https://www.energieagentur-sg.ch/waermepumpe</t>
  </si>
  <si>
    <t>Risanamento energetico edifici – Risanamento Base</t>
  </si>
  <si>
    <t>E accordato un’incentivo per miglioramenti dell’isolamento termico di edifici esistenti per i singoli elementi costruttivi che rispettano le seguenti condizioni:&lt;br /&gt;a) tetto: coefficiente U ≤ 0.20 W/m&lt;sup&gt;2&lt;/sup&gt; K. In caso di combinazione con un progetto di inverdimento conformemente alla norma SIA 312:2013, è previsto un ulteriore incentivo di 30 Fr./m&lt;sup&gt;2&lt;/sup&gt;&lt;br /&gt;b) pareti verso l’esterno (facciate) e/o muri verso terra interrati fino a 2 metri: coefficiente U ≤ 0.20 W/m&lt;sup&gt;2&lt;/sup&gt; K. Muri verso terra interrati oltre i 2 metri: coefficiente U ≤ 0.25 W/m&lt;sup&gt;2&lt;/sup&gt; K&lt;br /&gt;c)  pavimenti  verso  l’esterno  (intradosso)  e/o  pavimenti  verso  terra  interrati  fino  a  2  metri:  coefficiente  U  ≤  0.20  W/m&lt;sup&gt;2&lt;/sup&gt; K.  Pavimenti  verso  terra  interrati  oltre i 2 metri: coefficiente U ≤ 0.25 W/m&lt;sup&gt;2&lt;/sup&gt; K&lt;br /&gt;&lt;br /&gt;Importi: &lt;br /&gt;•    Per miglioramenti dell’isolamento termico di edifici esistenti è accordato un incentivo pari a 60 Fr./m&lt;sup&gt;2&lt;/sup&gt; per i singoli elementi costruttivi&lt;br /&gt;•    Le singole richieste soggette ad incentivi a partire da 10’000.– Fr. devono essere corredate da un rapporto di consulenza CECE Plus.&lt;br /&gt;•   Ulteriore incentivo derivante del Programma d’Impulso: 30.– Fr./m&lt;sup&gt;2&lt;/sup&gt;  per il raggiungimento della classe CECE C o superiore per l’efficienza energetica dell’involucro</t>
  </si>
  <si>
    <t>Conversione di impianti di riscaldamento elettrici diretti o alimentati con combustibili fossili</t>
  </si>
  <si>
    <t>Incentivo pompa di calore aria/acqua: 7000 Fr.  + 180 Fr./kW&lt;sub&gt;th&lt;/sub&gt;&lt;br /&gt;&lt;br /&gt;Incentivo pompa di calore acqua/acqua, salamoia/acqua: 4800 Fr.  + 360 Fr./kW&lt;sub&gt;th&lt;/sub&gt;&lt;br /&gt;&lt;br /&gt;Incentivo per stufa a pellet a carica manuale: 3000 Fr.&lt;br /&gt;&lt;br /&gt;Incentivo impianto a pellet automatizzato inferiore a 20 kWth: 7000 Fr.&lt;br /&gt;&lt;br /&gt;Incentivo impianto a pellet automatizzato a partire da 20 kWth: 360 Fr./kW&lt;sub&gt;th&lt;/sub&gt;&lt;br /&gt;&lt;br /&gt;Incentivo teleriscaldamento (potenza allacciata): 8000 Fr. + 40 Fr./kW&lt;sub&gt;th&lt;/sub&gt;&lt;br /&gt;&lt;br /&gt;Se è richiesta l’installazione di una pompa di calore per l’allacciamento a una rete di teleriscaldamento a bassa temperatura è accordato un ulteriore incentivo di 7000 Fr.&lt;br /&gt;&lt;br /&gt;Se in questo ambito si realizza per la prima volta un sistema idraulico per la distribuzione del calore è concesso un ulteriore incentivo di 5000 Fr. + 100 Fr./kW&lt;sub&gt;th&lt;/sub&gt;&lt;br /&gt;&lt;br /&gt;Ulteriore incentivo derivante Programma d’Impulso: per la sostituzione con un nuovo impianto dotato per la prima volta di un sistema idraulico di distribuzione sono concessi:&lt;br /&gt;- 15’000.- Fr. per AE fino a 250 m&lt;sup&gt;2&lt;/sup&gt;&lt;br /&gt;- 60.- Fr./m&lt;sup&gt;2&lt;/sup&gt; per AE superiori a 250 m&lt;sup&gt;2&lt;/sup&gt;&lt;br /&gt;(non cumulabile con il bonus per la distribuzione)&lt;br /&gt;&lt;br /&gt;Condizioni: conversione di impianti a uso principale di riscaldamento elettrici diretti o alimentati con combustibili fossili (olio combustibile o gas) con una pompa di calore, con un impianto a pellet o con l’allacciamento a una rete di teleriscaldamento. La pompa di calore, le sonde geotermiche e gli impianti di riscaldamento a pellet devono essere muniti degli opportuni moduli/marchi di qualità.</t>
  </si>
  <si>
    <t>Appareils électroménagers efficients</t>
  </si>
  <si>
    <t>Réfrigérateur/congélateur, lave-linge, lave-vaisselle, sèche-linge, plan de cuisson à induction.&lt;br /&gt;Le montant de la subvention est équivalent à 20% du prix d'achat avec un maximum à fr. 300 par appareil.</t>
  </si>
  <si>
    <t>https://www.yverdon-energies.ch/equiwatt/appareils-electromenagers-efficients/</t>
  </si>
  <si>
    <t>Appareil électroménager efficient</t>
  </si>
  <si>
    <t>Les habitants de Gland qui souhaitent acheter un appareil électroménager efficient (réfrigérateur, congélateur, lave-vaisselle, lave-linge, four) peuvent obtenir une subvention communale.</t>
  </si>
  <si>
    <t>https://www.gland.ch/vivre-a-gland/vie-pratique/energie/cite-de-lenergie/subventions/acquisitions-dappareils-efficients</t>
  </si>
  <si>
    <t>Les propriétaires de Gland qui souhaitent installer une pompe à chaleur dans leur bâtiment peuvent obtenir une subvention communale.</t>
  </si>
  <si>
    <t>https://www.gland.ch/vivre-a-gland/vie-pratique/energie/cite-de-lenergie/subventions/chaleur</t>
  </si>
  <si>
    <t>Abwärme nutzen</t>
  </si>
  <si>
    <t>http://www.stadt.sg.ch/home/raum-umwelt/bauen-sanieren/energiefonds-foerderbeitraege.html</t>
  </si>
  <si>
    <t>Ladestationen für Elektrofahrzeuge</t>
  </si>
  <si>
    <t>Gefördert werden Ladestationen für Elektrofahrzeuge, die über die private Nutzung hinaus zugänglich sind. Der Beitrag entspricht der Hälfte der Installationskosten, höchstens jedoch 100 Fr. pro KW max. Ausgangsleistung.</t>
  </si>
  <si>
    <t>https://www.stadt.sg.ch/home/mobilitaet-verkehr/mobilitaetsberatung.html</t>
  </si>
  <si>
    <t>Beschaffung von energieeffizienten Fahrzeugen</t>
  </si>
  <si>
    <t>Gefördert werden Kauf oder Leasing von neuen, rein elektrisch angetriebenen Fahrzeugen (Transportmotorwagen Klasse N1) für die gewerbliche Nutzung von Unternehmen mit Sitz oder Zweigniederlassung in der Stadt St.Gallen.</t>
  </si>
  <si>
    <t>Vélo avec assistance électrique ou batterie de remplacement</t>
  </si>
  <si>
    <t>Analyse sommaire pour les centrales hydroélectriques sur eau potable</t>
  </si>
  <si>
    <t>InfraWatt peut proposer des aides financières pour des analyses sommaires sur les centrales hydroélectriques sur eau potable grâce au soutien de l’OFEN.</t>
  </si>
  <si>
    <t>https://infrawatt.ch/fr/measures/trink-oder-abwasserkraftwerke/</t>
  </si>
  <si>
    <t>Luft-Wasser-Wärmepumpe bis 70 kW</t>
  </si>
  <si>
    <t>Förderung von elektrisch betriebenen Luft-Wasser-Wärmepumpen bis 70 kW in bestehenden Gebäuden als Ersatz einer Heizöl, Erdgas- oder Elektroheizung.&lt;br /&gt;&lt;br /&gt;&lt;strong&gt;Förderbeitrag:&lt;/strong&gt;&lt;br /&gt;- 1600 Fr. + 60 Fr. pro kW&lt;sub&gt;th&lt;/sub&gt;</t>
  </si>
  <si>
    <t>Anschluss an ein Wärmenetz bis 70 kW</t>
  </si>
  <si>
    <t>Förderung von Wärmenetz-Anschlüssen bis 70 kW an bestehenden Gebäude, als Ersatz einer Heizöl, Erdgas- oder Elektroheizung zur Nachverdichtung bestehender Wärmenetze.&lt;br /&gt;&lt;br /&gt;&lt;strong&gt;Förderbeitrag:&lt;/strong&gt;&lt;br /&gt;- 4000 Fr. + 20 Fr. pro kW&lt;sub&gt;th&lt;/sub&gt;</t>
  </si>
  <si>
    <t>Öko-Kompass</t>
  </si>
  <si>
    <t>Umweltberatung für KMU in der Stadt Zürich. Unabhängige Fachpersonen zeigen vor Ort auf, welche Umweltbereiche im und für das Unternehmen relevant sind. Sie orten Möglichkeiten für Energie- und Materialeinsparungen, um Effizienzpotenziale nutzen und Betriebskosten senken zu können. Die Standort- und Potenzialberatung mit Funktion der Triage ist kostenlos.</t>
  </si>
  <si>
    <t>http://www.stadt-zuerich.ch/oeko-kompass</t>
  </si>
  <si>
    <t>Die Gemeinde unterstützt private Grundeigentümer bei der Installation von Sonnenkollektoren für die Warmwasseraufbereitung mit einem einmaligen Investitionsbeitrag im Umfang von 20% der Anschaffungskosten, jedoch maximal mit 5000 Franken.</t>
  </si>
  <si>
    <t>http://www.goldach.ch/de/bauverkehrumwelt/umweltthema/energiestadt/?action=showthema&amp;themenbereich_id=907&amp;thema_id=2437</t>
  </si>
  <si>
    <t>Bei der Installation einer Photovoltaikanlage gelangt ein einmaliger Beitrag zur Auszahlung. Dieser orientiert sich an der Leistungsfähigkeit der Anlage und liegt zwischen 10 Prozent und 20 Prozent der Anschaffungskosten. Der Maximalbeitrag kann bis 30'000 Franken betragen.</t>
  </si>
  <si>
    <t>Energieerstberatung</t>
  </si>
  <si>
    <t>Die Energieerstberatung richtet sich an Hauseigentümer, Vermieter oder auch KMUs. Sie soll konkrete Informationen zu Gebäudemodernisierungen, erneuerbaren Energien, vorbildlichen Neubauten und weiteren Themen liefern.</t>
  </si>
  <si>
    <t>http://www.goldach.ch/de/bauverkehrumwelt/umweltthema/energiestadt/?action=showthema&amp;themenbereich_id=907&amp;thema_id=2438</t>
  </si>
  <si>
    <t>Beratung "Strom im Haushalt"</t>
  </si>
  <si>
    <t>Die Beratung "Strom im Haushalt" richtet sich an Goldacher Mieter und Wohneigentümer. Sie hat zum Ziel, den Stromverbrauch im Haushalt zu reduzieren und die Bewohner über dieses Thema zu informieren und zu sensibilisieren. In der Beratung beim Kunden zu Hause zeigt die Energieagentur konkrete Möglichkeiten auf, wie der Stromverbrauch durch den bewussten Umgang mit den Geräten gesenkt werden kann.</t>
  </si>
  <si>
    <t>http://www.goldach.ch/de/bauverkehrumwelt/umweltthema/?action=showthema&amp;themenbereich_id=907&amp;thema_id=2438</t>
  </si>
  <si>
    <t>Minergie-Zertifizierungskosten</t>
  </si>
  <si>
    <t>Die Gemeinde übernimmt die Minergie-Zertifizierungskosten.</t>
  </si>
  <si>
    <t>https://www.domat-ems.ch/beratungundfoerderung</t>
  </si>
  <si>
    <t>Zusatzbeitrag zum kantonalen Förderbeitrag</t>
  </si>
  <si>
    <t>Die Gemeinde zahlt zusätzlich 100 Prozent des kantonalen Förderbeitrages an die Bauherrschaften. Die Beitragsgesuche sind bis spätestens 30 Tagen seit Rechtskraft der kantonalen Beitragsverfügung schriftlich bei der Baubehörde einzureichen.</t>
  </si>
  <si>
    <t>Chauffages mobiles</t>
  </si>
  <si>
    <t>Avec le programme Chauffages mobiles, la Fondation KliK permet l'utilisation de chauffages mobiles à pellets respectueux du climat de toutes les classes de puissance à partir de 50 kW à des conditions adaptées au marché.&lt;br /&gt;Important: l'inscription au programme par l'acheteur de l'installation doit être effectuée avant la commande de l'appareil.</t>
  </si>
  <si>
    <t>https://www.klik.ch/fr/suisse/batiments/chauffages-mobiles-pellets/</t>
  </si>
  <si>
    <t>Réseaux de chaleur</t>
  </si>
  <si>
    <t>Dans le cadre du programme d'encouragement des réseaux de chaleur, la Fondation offre un financement pour les réseaux de chaleur utilisant des sources d'énergie renouvelables ou de la chaleur perdue dans toute la Suisse. Selon les cantons, les subventions s'élèvent de 100 fr. à 160 fr. par tonne de CO&lt;sub&gt;2&lt;/sub&gt; imputable jusqu'en 2030 inclus.&lt;br /&gt;Important: l'inscription au programme doit être effectuée avant la première commande importante (p. ex. commande de chaudière ou contrat d'entreprise).&lt;br /&gt;L’inscription d’un nouveau réseau de chaleur ou d’un réseaux étendu utilisant des sources d’énergie renouvelables est donc encore possible jusqu’au 31.12.2025 au plus tard.</t>
  </si>
  <si>
    <t>https://www.klik.ch/fr/suisse/batiments/reseaux-chaleur/</t>
  </si>
  <si>
    <t>Ersatz einer Elektroheizung</t>
  </si>
  <si>
    <t>In elektrischen Heizungen Strom für Raumwärme oder fürs Warmwasser einzusetzen, ist ineffizient: Elektroheizungen benötigen im Vergleich beispielsweise mit Wärmepumpen ein Mehrfaches an elektrischer Energie für die gleiche Wärmemenge. Umweltschonend erzeugte Elektrizität ist zudem im Winter eine knappe Ressource. Ersetzen Sie deshalb Ihre Elektroheizung durch eine Wärmepumpe oder eine andere Form erneuerbarer Energie und ergänzen Sie vielleicht sogar mit einer thermischen Solaranlage. Wir unterstützen Sie dabei.</t>
  </si>
  <si>
    <t>Luft/Wasser-Wärmepumpe</t>
  </si>
  <si>
    <t>Gefördert werden ausschliesslich Luft/Wasser-Wärmepumpen, die in bestehenden Gebäuden eine Öl-, Erdgas- oder Elektroheizung ersetzen. Die ersetzte Heizungsanlage muss zurückgebaut werden.&lt;br /&gt;&lt;br /&gt;&lt;strong&gt;Förderbeitrag:&lt;/strong&gt;&lt;br /&gt;- bis 15 kW&lt;sub&gt;th&lt;/sub&gt;: 3550 Fr.&lt;br /&gt;- über 15 kW&lt;sub&gt;th&lt;/sub&gt; bis 70 kW&lt;sub&gt;th&lt;/sub&gt;: 1100 Fr. + 150 Fr. pro kW&lt;sub&gt;th&lt;/sub&gt;&lt;br /&gt;- über 70 kW&lt;sub&gt;th&lt;/sub&gt;: 8000 Fr. + 220 Fr. pro kW&lt;sub&gt;th&lt;/sub&gt;</t>
  </si>
  <si>
    <t>ecozug</t>
  </si>
  <si>
    <t>Kostenloses Beratungsangebot für Zuger KMU. Unabhängige Fachleute orten Möglichkeiten für Energie- und Materialeinsparungen und zeigen wirksame Massnahmen auf, um Kosten zu sparen und die Umwelt zu schonen.</t>
  </si>
  <si>
    <t>https://www.ost.ch/de/forschung-und-dienstleistungen/technik/erneuerbare-energien-und-umwelttechnik/werz-institut-fuer-wissen-energie-und-rohstoffe-zug/geschaeftsstellenfuehrung-und-netzwerke/ecozug</t>
  </si>
  <si>
    <t>Optimisation de l’exploitation pour des bâtiments non résidentiels</t>
  </si>
  <si>
    <t>Pour des bâtiments non résidentiels, consommateurs avec une consommation d’énergie annuelle à partir de: 100 000 kWh d’électricité ou 500 000 kWh de chaleur.&lt;br /&gt;&lt;br /&gt;&lt;strong&gt;Contribution financière:&lt;/strong&gt;&lt;br /&gt;- 50 % des coûts imputables, max. 3000 fr.</t>
  </si>
  <si>
    <t>Pumpind: remplacement des pompes</t>
  </si>
  <si>
    <t>Le programme PUMPIND encourage le remplacement ou l'optimisation énergétique des pompes inefficaces dans les bâtiments non résidentiels de toute la Suisse. Sont éligibles les nouveaux circulateurs à rotor noyé et à moteur ventilé. Le soutien financier couvre jusqu'à 20% des coûts d'investissement.&lt;br /&gt;&lt;br /&gt;PUMPIND est un programme de ProKilowatt.</t>
  </si>
  <si>
    <t>https://foerderplattform.ch/fr/soutien/pumpind/</t>
  </si>
  <si>
    <t>Realizzazione e/o ammodernamento edifici</t>
  </si>
  <si>
    <t>Il contributo comunale, nei limiti della disponibilità del credito annuo, ammonta al 50 % del sussidio cantonale, ma al massimo 2500 fr. per oggetto.</t>
  </si>
  <si>
    <t>https://www.minusio.ch/MM-N-62017-Regolamento-per-l-erogazione-di-incentivi-per-l-efficienza-energetica-dei-fabbricati-e-a-favore-dell-uso-di-energie-rinnovabili-nell-edilizia-ae19eb00?i=1</t>
  </si>
  <si>
    <t>Impianti tecnici-calore proveniente da energie rinnovabili</t>
  </si>
  <si>
    <t>Impianti tecnici-elettricità proveniente da energie rinnovabili</t>
  </si>
  <si>
    <t>Analisi energetiche standardizzate degli edifici</t>
  </si>
  <si>
    <t>Bicicletta elettrica</t>
  </si>
  <si>
    <t>https://www.minusio.ch/Bicicletta-elettrica-519c1a00</t>
  </si>
  <si>
    <t>Processi industriali, commercio e servizi</t>
  </si>
  <si>
    <t>Importi: 50% del costo, min. 2000 Fr. – max. 10’000 Fr. In alternativa copertura fino ad un max. 10’000 Fr. dei seguenti costi: &lt;br /&gt;- tassa del primo anno di adesione all’AEnEC o a Cleantech Agentur Schweiz &lt;br /&gt;- ammontare del primo anno di prestazioni fornite da energo &lt;br /&gt;- ammontare, al netto di altri incentivi, di una consulenza Reffnet.ch&lt;br /&gt;&lt;br /&gt;Per la sottoscrizione di un accordo vincolante al rispetto delle misure contenute nel piano dei provvedimenti concordato a seguito dello studio di analisi energetica o dell’adesione ad una delle agenzie sopracitate è concesso un ulteriore bonus di 5000 Fr.&lt;br /&gt;&lt;br /&gt;Condizioni: realizzazione di studi di analisi energetica o adesione a programmi di compensazione e di risparmio energetico da parte di grandi consumatori o PMI</t>
  </si>
  <si>
    <t>Biciclette elettriche, vespe e scooter elettrici</t>
  </si>
  <si>
    <t>http://www.cureglia.ch/Energia-e-clima-bf233800</t>
  </si>
  <si>
    <t>Les propriétaires de Gland qui souhaitent remplacer leur chauffage au mazout ou chauffage au gaz par un chauffage au bois peuvent obtenir une subvention communale. Cette offre est valable uniquement lors d'une rénovation ou d'une transformation.</t>
  </si>
  <si>
    <t>Audit Consomm’action</t>
  </si>
  <si>
    <t>&lt;p&gt;L'audit Consomm'action de la SEIC s'adresse à toute personne souhaitant réduire sa consommation d'énergie. Un tel audit permet de cartographier la consommation de tous les équipements électriques de l'habitat et analyse l'évolution des dépenses en électricité du ménage. Des pistes d'amélioration sont proposées, allant de petits gestes simples à des changements plus importants comme le remplacement de certains équipements.&lt;/p&gt;</t>
  </si>
  <si>
    <t>https://www.gland.ch/vivre-a-gland/vie-pratique/energie/cite-de-lenergie/subventions/audits</t>
  </si>
  <si>
    <t>Audit énergétique</t>
  </si>
  <si>
    <t>En établissant un bilan des consommations du bâtiment et une liste d'opportunités d'amélioration chiffrées, un audit énergétique est une aide à la décision utile avant de réaliser un assainissement de son bâtiment.</t>
  </si>
  <si>
    <t>Assainissement des fenêtres</t>
  </si>
  <si>
    <t>L'amélioration de la performance thermique d'une fenêtre permet de réduire les déperditions thermiques d'un bâtiment et ainsi d'en limiter les consommations énergétiques.</t>
  </si>
  <si>
    <t>https://www.gland.ch/vivre-a-gland/vie-pratique/energie/cite-de-lenergie/subventions/renovations-isolations</t>
  </si>
  <si>
    <t>Isolation de l’enveloppe existante</t>
  </si>
  <si>
    <t>Les propriétaires de Gland qui souhaitent assainir leur bâtiment en en isolant les parois (mur, sol, toiture,...) peuvent obtenir une subvention communale. Cette offre est valable uniquement lors d'une rénovation ou d'une transformation.</t>
  </si>
  <si>
    <t>Récupération d’eaux pluviales</t>
  </si>
  <si>
    <t>Un système de récupération d'eaux pluviales permet d'utiliser les eaux pluviales pour des usages comme l'arrosage et le nettoyage, ou même les chasses d'eau et le lave-linge. Un tel système permet de réduire sa consommation d'eau et ainsi de préserver l'environnement.</t>
  </si>
  <si>
    <t>https://www.gland.ch/vivre-a-gland/vie-pratique/energie/cite-de-lenergie/subventions/eaux-pluviales</t>
  </si>
  <si>
    <t>Vélo électrique</t>
  </si>
  <si>
    <t>Les habitants de Gland peuvent prétendre à une subvention communale à l’achat d’un vélo à assistance électrique.</t>
  </si>
  <si>
    <t>https://www.gland.ch/vivre-a-gland/vie-pratique/energie/cite-de-lenergie/subventions/mobilite</t>
  </si>
  <si>
    <t>Scooter électrique</t>
  </si>
  <si>
    <t>Les habitants de Gland peuvent prétendre à une subvention communale à l’achat d’un scooter électrique.</t>
  </si>
  <si>
    <t>Abonnement Mobility</t>
  </si>
  <si>
    <t>Les habitants de Gland peuvent prétendre à une subvention communale lors de la souscription de leur premier abonnement Mobility.</t>
  </si>
  <si>
    <t>Ventilation dans les habitations</t>
  </si>
  <si>
    <t>Cette subvention est allouée pour une nouvelle installation de ventilation double-flux avec récupération de chaleur dans des bâtiments de logements existants.&lt;br /&gt;&lt;br /&gt;&lt;strong&gt;Contribution financière&lt;/strong&gt;&lt;br /&gt;- 2400 fr. par unité d'habitation</t>
  </si>
  <si>
    <t>https://www.ge-energie.ch/ventilation-dans-les-habitations-avec-recuperation-de-chaleur-par-echangeur-rendement-70</t>
  </si>
  <si>
    <t>HPE - Rénovation variante MoPEC</t>
  </si>
  <si>
    <t>Cette subvention est allouée pour une rénovation complète obtenant le label HPE - Rénovation. &lt;br /&gt;&lt;br /&gt;&lt;strong&gt;Contribution financière&lt;br /&gt;&lt;/strong&gt;- Habitat individuel &amp;lt; 250 m&lt;sup&gt;2&lt;/sup&gt;: 195 fr. par m&lt;sup&gt;2&lt;/sup&gt; SRE&lt;br /&gt;- Habitat individuel &amp;gt; 250 m&lt;sup&gt;2&lt;/sup&gt;: 22500 fr. + 105 fr. par m&lt;sup&gt;2&lt;/sup&gt; SRE&lt;br /&gt;- Habitat collectif: 105 fr. par m&lt;sup&gt;2&lt;/sup&gt; SRE&lt;br /&gt;- Autre bâtiment: 75 fr. par m&lt;sup&gt;2&lt;/sup&gt; SRE</t>
  </si>
  <si>
    <t>https://www.ge-energie.ch/hpe-renovation-variante-mopec</t>
  </si>
  <si>
    <t>Amélioration de la classe CECB</t>
  </si>
  <si>
    <t>Cette subvention est allouée pour une rénovation complète avec amélioration de classe CECB pour l’enveloppe et l’efficacité énergétique globale.&lt;br /&gt;&lt;br /&gt;&lt;strong&gt;Contribution financière&lt;/strong&gt;&lt;br /&gt;- dépend du type de bâtiment, de l'amélioration (nombre de classes CECB) et de la SRE</t>
  </si>
  <si>
    <t>https://www.ge-energie.ch/index.php/amelioration-de-la-classe-cecbr-pour-lenveloppe-et-pour-lefficacite-energetique-globale</t>
  </si>
  <si>
    <t>Raccordement à un réseau de chauffage puissance calorifique ≤ 70 kW</t>
  </si>
  <si>
    <t>Raccordement à un réseau de chauffage avec une puissance calorifique ≤ 70 kW. L'installation remplace un chauffage fonctionnant au mazout ou au gaz naturel, ou un chauffage électrique fixe à résistance.&lt;br /&gt;&lt;br /&gt;&lt;strong&gt;Contribution financière:&lt;/strong&gt;&lt;br /&gt;- 4000 fr. + 20 fr. par kW&lt;sub&gt;th&lt;/sub&gt;</t>
  </si>
  <si>
    <t>Isolation thermique d'éléments de construction</t>
  </si>
  <si>
    <t>Un financement est prévu pour l'isolation thermique d'éléments de construction d'un bâtiment pour lequel l'autorisation de construire a été délivrée avant 2000.&lt;br /&gt;&lt;br /&gt;&lt;strong&gt;Contribution financière:&lt;/strong&gt;&lt;br /&gt;- 60 fr./m&lt;sup&gt;2&lt;/sup&gt; de surface isolée</t>
  </si>
  <si>
    <t>CECB Plus, Certificat énergétique cantonal des bâtiments</t>
  </si>
  <si>
    <t>Une subvention est accordée aux propriétaires de bâtiments construits avant 2000 pour l'établissement d'un Certificat énergétique cantonal des bâtiments Plus (CECB Plus).&lt;br /&gt;&lt;br /&gt;&lt;strong&gt;Contribution financière:&lt;/strong&gt;&lt;br /&gt;- Habitat individuel: 1000 fr.&lt;br /&gt;- Habitat collectif: 1500 fr.</t>
  </si>
  <si>
    <t>https://www.vd.ch/prestation/01-demander-une-subvention-pour-le-cecbr-plus-audit-energetique</t>
  </si>
  <si>
    <t>Chauffage à bois &amp;gt; 70 kW</t>
  </si>
  <si>
    <t>Cette subvention est allouée pour l’installation de chauffages à bois de plus de 70 kW, en remplacement d’un chauffage principal au mazout, au gaz naturel ou d’un chauffage électrique fixe à résistance (une subvention cantonale pour le remplacement d’une chaudière à bois existante est possible au cas par cas. Formulaire spécifique sur le site : www.vd.ch/subventions-energie).&lt;br /&gt;&lt;br /&gt;&lt;strong&gt;Contribution financière:&lt;/strong&gt;&lt;br /&gt;- Puissance &amp;lt; 500 kW: 360 fr. par kW&lt;br /&gt;- Puissance &amp;gt; 500 kW : 80 000 fr. + 200 fr. par kW&lt;br /&gt;&lt;br /&gt;En cas de première création d’un réseau de distribution hydraulique, une subvention spécifique doit être demandée séparément (nouvelle mesure IP-19).</t>
  </si>
  <si>
    <t>https://www.vd.ch/prestation/07-demander-une-subvention-pour-une-installation-de-chauffage-a-bois-automatique-puissance-calorifique-70-kw-m04</t>
  </si>
  <si>
    <t>Subvention pour une analyse de bâtiment avec recommandations</t>
  </si>
  <si>
    <t>Une subvention est accordée aux propriétaires de bâtiments construits avant 2000 pour l'établissement d'un audit énergétique selon le cahier des charges de l’Office fédéral de l’énergie (OFEN). Ce modèle d’audit est réservé aux catégories de bâtiments ne pouvant pas faire l’objet d’un audit selon le CECB Plus.&lt;br /&gt;&lt;br /&gt;&lt;strong&gt;Contribution financière:&lt;br /&gt;&lt;/strong&gt;- Toutes catégories hors CECB: 2000 fr.</t>
  </si>
  <si>
    <t>https://www.vd.ch/prestation/18-2023-demander-une-subvention-pour-une-analyse-de-batiment-avec-recommandations-audit-energetique</t>
  </si>
  <si>
    <t>Raccordement à un réseau de chauffage à distance ≤ 70</t>
  </si>
  <si>
    <t>Le remplacement d'un chauffage au mazout, au gaz naturel ou électrique par le raccordement à un réseau de chauffage à distance est promu.&lt;br /&gt;&lt;br /&gt;&lt;strong&gt;Contribution financière&lt;/strong&gt;&lt;br /&gt;- Habitat individuel: 6000 fr.&lt;br /&gt;- Habitat collectif / autres catégories de construction: 4000 fr. + 9 fr. par m&lt;sup&gt;2&lt;/sup&gt; SRE</t>
  </si>
  <si>
    <t>https://www.vs.ch/web/energie/m-07</t>
  </si>
  <si>
    <t>Etablissement d’analyses électriques et de plans de mesures d’optimisation</t>
  </si>
  <si>
    <t>Action en faveur de la durabilité</t>
  </si>
  <si>
    <t>L’aide octroyée couvre 50 % du coût de l’établissement d’un certificat CECB+, pour un montant maximal de 1000.-. Les subventions sont versées jusqu’à épuisement du montant annuel alloué à cette action.</t>
  </si>
  <si>
    <t>https://www.sierre.ch/fr/aides-financieres-pour-batiments-2431.html</t>
  </si>
  <si>
    <t>Vélo ou scooter électrique, vélo standard</t>
  </si>
  <si>
    <t>30 % du prix d’achat, plafonnée à 450 fr.</t>
  </si>
  <si>
    <t>https://www.sierre.ch/fr/aides-financieres-mobilite-2432.html</t>
  </si>
  <si>
    <t>Mobilité durable en entreprise</t>
  </si>
  <si>
    <t>https://www.yverdon-les-bains.ch/aides-subventions/developpement-durable-/-energies/subventions-aux-entreprises</t>
  </si>
  <si>
    <t>Vélos électriques en entreprise</t>
  </si>
  <si>
    <t>Installations solaires photovoltaïques</t>
  </si>
  <si>
    <t>Pour les installations d’une puissance installée située entre 2 et 100 kWc, la Confédération accorde une aide à l’investissement (rétribution unique) couvrant au maximum 30% des coûts de l’installation. La Ville complète cette subvention en accordant une aide équivalente à la moitié de la subvention Pronovo. Ce montant de la rétribution unique communale est plafonné à CHF 5’000.-</t>
  </si>
  <si>
    <t>https://www.yverdon-energies.ch/programmes/solaire-photovoltaique/</t>
  </si>
  <si>
    <t>Rénovation des installations de chauffage</t>
  </si>
  <si>
    <t>La Commune d’Yverdon-les-Bains alloue,  en complément du Programme Bâtiments Cantonal, une subvention spécifique pour le remplacement d’une chaudière à mazout, à gaz, ou d’un chauffage électrique direct par une chaudière à bois ou par une pompe à chaleur.</t>
  </si>
  <si>
    <t>https://www.yverdon-energies.ch/programmes/chauffage-renouvelable/</t>
  </si>
  <si>
    <t>Pannelli solari e/o legna</t>
  </si>
  <si>
    <t>Riscaldamento dell’edificio esclusivamente o produzione di acqua calda sanitaria per tutto l’edificio</t>
  </si>
  <si>
    <t>http://www.lumino.ch/fileadmin/user_upload/Ordinanza_incentivi_2014__8_.pdf</t>
  </si>
  <si>
    <t>Stufa o camino a legna</t>
  </si>
  <si>
    <t>Stufa o camino a legna con alto grado di rendimento a complemento del riscaldamento</t>
  </si>
  <si>
    <t>Pompa di calore o sonda geotermica</t>
  </si>
  <si>
    <t>Risanamento energetico dell’edificio</t>
  </si>
  <si>
    <t>Installazione di pannelli fotovoltaici</t>
  </si>
  <si>
    <t>Impianti capaci di utilizzare fonti energetiche alternative</t>
  </si>
  <si>
    <t>altri impianti capaci di utilizzare fonti energetiche alternative compatibili con l’ambiente e ad alto rendimento</t>
  </si>
  <si>
    <t>Acquisto di autoveicoli e motoveicoli elettrici</t>
  </si>
  <si>
    <t>http://www.lumino.ch/comune/servizi-al-cittadino/info-utili-citta-dellenergia/</t>
  </si>
  <si>
    <t>Acquisto di biciclette elettriche o la modifica di biciclette tradizionali dotandole di dispositivo elettrico</t>
  </si>
  <si>
    <t>Mobilità elettrica</t>
  </si>
  <si>
    <t>Contributo finanziario per l’acquisto di una stazione di ricarica domestica emotì per auto elettriche</t>
  </si>
  <si>
    <t>https://www.amb.ch/privati/servizi-energetici/mobilita-con-auto-elettriche-bellinzona-svizzera/</t>
  </si>
  <si>
    <t>Impianto solare termico</t>
  </si>
  <si>
    <t>L'incentivo è concesso unicamente per impianti che beneficiano dell'incentivo cantonale.</t>
  </si>
  <si>
    <t>https://www.novazzano.ch/regolamenti-e-ordinanze/</t>
  </si>
  <si>
    <t>Abbonamenti trasporto pubblico</t>
  </si>
  <si>
    <t>Minergie-A, Minergie-P, Minergie-ECO</t>
  </si>
  <si>
    <t>CECE Plus</t>
  </si>
  <si>
    <t>Elaborazione di un Certificato Energetico Cantonale degli Edifici Plus</t>
  </si>
  <si>
    <t>https://www.novazzano.ch/wp-content/uploads/2023/10/2023-Ordinanza-incentivi-in-ambito-energetico.pdf</t>
  </si>
  <si>
    <t>Risanamento energetico di un edificio esistente</t>
  </si>
  <si>
    <t>Impianto solare fotovoltaico</t>
  </si>
  <si>
    <t>L'incentivo è concesso unicamente per impianti fotovoltaici allacciati alla rete da 2 a 30 kWp che beneficiano del contributo unico cantonale.&lt;br /&gt;L'importo concesso ammonta al 50% del contributo unico erogato in via definitiva dal Cantone, ritenuto un massimo di fr. 2'000.-</t>
  </si>
  <si>
    <t>pour eau chaude sanitaire seule</t>
  </si>
  <si>
    <t>http://www.matran.ch/service-technique/energie</t>
  </si>
  <si>
    <t>Capteurs solaires</t>
  </si>
  <si>
    <t>Murs, fenêtres, toiture, plancher</t>
  </si>
  <si>
    <t>Bilan énergétique</t>
  </si>
  <si>
    <t>Risanamento energetico di base su immobili esistenti</t>
  </si>
  <si>
    <t>Sostituzione di un impianto di riscaldamento ad olio combustibile o elettrico diretto</t>
  </si>
  <si>
    <t>Certificazione con analisi energetica CECE plus</t>
  </si>
  <si>
    <t>Fr. 200.-/edificio</t>
  </si>
  <si>
    <t>Risanamento energetico di base, risanamento singoli elementi costruttivi</t>
  </si>
  <si>
    <t>Analisi degli edifici, CECE</t>
  </si>
  <si>
    <t>Pompe di calore in edifici esistenti</t>
  </si>
  <si>
    <t>Solare fotovoltaico, sistema di ottimizzazione del consumo proprio, accumulatore</t>
  </si>
  <si>
    <t>Impianto fotovoltaico</t>
  </si>
  <si>
    <t>https://www.energia-abm.ch/e-abm/incentivi</t>
  </si>
  <si>
    <t> Nuove costruzioni a basso fabbisogno energetico</t>
  </si>
  <si>
    <t>https://www.energia-abm.ch/e-abm/incentivi.html</t>
  </si>
  <si>
    <t>Risanamento energetico edifici esistenti</t>
  </si>
  <si>
    <t>Elaborazione CECE Plus</t>
  </si>
  <si>
    <t>analisi energetiche su edifici esistenti</t>
  </si>
  <si>
    <t>Certificazione Energetica Cantonale Edifici (CECE) e Certificazione con analisi energetica CECE plus o Bussola Energia</t>
  </si>
  <si>
    <t>https://mendrisio.ch/servizio/incentivi-energia-e-ambiente/</t>
  </si>
  <si>
    <t>Minergie-A, Minergie-P, Minergie-Eco</t>
  </si>
  <si>
    <t>Standard di costruzione dell’edificio</t>
  </si>
  <si>
    <t>Fotovoltaici</t>
  </si>
  <si>
    <t>Analisi CECE®-Plus</t>
  </si>
  <si>
    <t>http://energia-abm.ch/e-abm/incentivi</t>
  </si>
  <si>
    <t>Trasporto pubblico</t>
  </si>
  <si>
    <t>Le persone domiciliate ad Agno possono beneficiare di un rimborso del 30% sul prezzo di acquisto per gli abbonamenti nominativi per giovani fino ai 25 anni e del 15% del prezzo di acquisto per gli abbonamenti nominativi per adulti, per un importo massimo di CHF 500.— per anno civile.</t>
  </si>
  <si>
    <t>http://www.agno.ch/index.php?node=340&amp;lng=1&amp;rif=c79ca4a785</t>
  </si>
  <si>
    <t>Elaborazione CECE Plus e altre consulenze e certificazioni per gli edifici</t>
  </si>
  <si>
    <t>Impianti fotovoltaici</t>
  </si>
  <si>
    <t>Vélo à assistance électrique, vélo cargo électrique</t>
  </si>
  <si>
    <t>neuf ou d'occasion</t>
  </si>
  <si>
    <t>Plan de mobilité d’entreprise</t>
  </si>
  <si>
    <t>Remplacement des fenêtres</t>
  </si>
  <si>
    <t>REMPLACEMENT DES FENÊTRES&lt;br /&gt;Valeur Ug (U Glas)&lt;br /&gt;&amp;lt;0.6 = 17% U&lt;br /&gt;0.7 = 16%&lt;br /&gt;0.8 = 15% &lt;br /&gt;0.9 = 14%&lt;br /&gt;1.0 = 13% &lt;br /&gt;&lt;br /&gt;porte = forfait 300.00&lt;br /&gt;subv. max 17%</t>
  </si>
  <si>
    <t>http://www.aubonne.ch/vivre-a-aubonne/energie-reseaux.htm</t>
  </si>
  <si>
    <t>Mobiliteé soucieuse des economies d'énergie</t>
  </si>
  <si>
    <t>- vélo à assistance électrique&lt;br /&gt;- subvention à l’achat d’un scooter à assistance électrique&lt;br /&gt;Forfait de fr. 300.-/ vélo&lt;br /&gt;&lt;br /&gt;Pas de subvention pour les accessoires&lt;br /&gt;Achetés en Suisse</t>
  </si>
  <si>
    <t>Isolation</t>
  </si>
  <si>
    <t>https://www.prilly.ch/vivre-a-prilly/energie-et-environnement/subventions-energie</t>
  </si>
  <si>
    <t>Remplacement des fenêtres et portes</t>
  </si>
  <si>
    <t>Capteurs photovoltaïques : installation photovoltaïque neuve jusqu'à ≤30 kWc, 350 Fr./kWc, pour &amp;gt;30 kWc, forfait 10'500 Fr.&lt;br /&gt;Etude de faisabilité : implantation photovoltaïque &amp;gt;30 kWc, 25% + 25% (25% des frais d'étude, projet réalisé : + 25% des frais d'étude).</t>
  </si>
  <si>
    <t>Chaudière à granulés de bois</t>
  </si>
  <si>
    <t>Remplacement d'un chauffe-eau électrique parboiler PAC</t>
  </si>
  <si>
    <t>Pompe à chaleur en sol/eau (géothermique)</t>
  </si>
  <si>
    <t>Remplacement chauffage : jusqu'à 30'000 Fr. selon cas particuliers.&lt;br /&gt;Neuf : jusqu'à 20'000 Fr. selon cas particuliers.</t>
  </si>
  <si>
    <t>Vélos électriques et classiques, vélo cargo électrique, remorques et batteries pour vélo</t>
  </si>
  <si>
    <t>Vélo électrique neuf : dès CHF 800.-, 20% sur le montant d'achat, subvention max. de CHF 400.-.&lt;br /&gt;Vélo classique neuf : dès CHF 500.-, 20% sur le montant d'achat, subvention max. de CHF 400.-.&lt;br /&gt;Vélo cargo électrique neuf muni d'une nacelle : 20% sur le prix d'achat, subvention max. de CHF 1'000.-&lt;br /&gt;Remorques et batteries de vélo : 20% sur le montant d'achat, max. CHF 200.-.</t>
  </si>
  <si>
    <t>Carvelo2go</t>
  </si>
  <si>
    <t>Bon de CHF 50.- sur le coût des trajets (50 premières demandes annuelles).</t>
  </si>
  <si>
    <t>Chauffage à distance CADouest</t>
  </si>
  <si>
    <t>50% du montant de la subvention cantonale (max. CHF 5000.-)</t>
  </si>
  <si>
    <t>https://www.vevey.ch/prestations/solaire-thermique</t>
  </si>
  <si>
    <t>75% du montant de la Rétribution Unique (RU) de la Confédération + CHF 500.— pour le système de suivi (obligatoire)&lt;br /&gt;Bonus : CHF 100.— par sous-compteurs spécifiques à la création d'un regroupement de consommation propre RCP (max. CHF 1'000.—)&lt;br /&gt;Remarque : Les bâtiments à construire ne sont pas éligibles à la subvention.</t>
  </si>
  <si>
    <t>https://www.vevey.ch/prestations/solaire-photovoltaique</t>
  </si>
  <si>
    <t>Rénovation complète exemplaire</t>
  </si>
  <si>
    <t>50% du montant de la subvention cantonale (CECB C/B ou Minergie : max. CHF 15'000.- ; CECB B/A ou Minergie P : max CHF 20'000.-)</t>
  </si>
  <si>
    <t>https://www.vevey.ch/prestations/renovation</t>
  </si>
  <si>
    <t>Raccordement à un chauffage à distance renouvelable (CAD)</t>
  </si>
  <si>
    <t>https://www.vevey.ch/prestations/raccordement-chauffage-distance-cad</t>
  </si>
  <si>
    <t>Bilans énergétiques pour les bâtiments</t>
  </si>
  <si>
    <t>La Ville de Vevey soutient financièrement toute étude visant à réduire la consommation énergétique des bâtiments situés sur son territoire. Montant: 75% du coût effectif de l’étude (coût total après déduction de la subvention cantonale pour un CECB-Plus ou pour l’audit énergétique)</t>
  </si>
  <si>
    <t>https://www.vevey.ch/prestations/bilan-energetique-et-etude-doptimisation</t>
  </si>
  <si>
    <t>Formation pour concierge ou responsable technique du bâtiment</t>
  </si>
  <si>
    <t>Afin de soutenir une consommation rationnelle de l'énergie, la Ville de Vevey soutient financièrement toute formation visant à compléter les compétences du personnel technique des bâtiments situés sur son territoire dans le but d'en améliorer l'efficience énergétique. Montants: 75% des coûts</t>
  </si>
  <si>
    <t>https://www.vevey.ch/prestations/formation-pour-concierge-ou-responsable-technique</t>
  </si>
  <si>
    <t>Cours de conduite économique</t>
  </si>
  <si>
    <t>La Commune de Vevey octroie une subvention aux collectivités, sociétés et entreprises locales voulant proposer des cours de conduite économique à leurs collaborateur∙trice∙s. Cette subvention couvre 100% des coûts jusqu'à maximum CHF 250.-/personne/an et CHF 2'500.-/entreprise/ an.</t>
  </si>
  <si>
    <t>https://www.vevey.ch/prestations/cours-de-conduite-economique</t>
  </si>
  <si>
    <t>Appareils ménagers efficients – Achat</t>
  </si>
  <si>
    <t>Valable uniquement pour les réfrigérateurs, congélateurs, lave-linges, sèche-linges, fours et lave-vaisselles. 30% du coût de l’appareil (Max : fr. 400 par catégorie). Les appareils doivent être sur le site &lt;a href="https://www.topten.ch/" target="_blank" rel="noopener"&gt;www.topten.ch&lt;/a&gt; (la note énergétique ne fait plus partie de nos critères).</t>
  </si>
  <si>
    <t>https://www.vevey.ch/prestations/appareil-menager-efficient-achat</t>
  </si>
  <si>
    <t>Micro-véhicule électrique</t>
  </si>
  <si>
    <t>Dans le but d'encourager la mobilité durable, la Commune de Vevey octroie une subvention à l'achat d'un micro-véhicule électrique. Cette subvention couvre  10% de l'achat  jusqu'à maximum 300 fr./demande.</t>
  </si>
  <si>
    <t>https://www.vevey.ch/vivre-vevey/durabilite-et-energie/subventions-communales</t>
  </si>
  <si>
    <t>Cette subvention couvre 50% des coûts jusqu'à un maximum de CHF 8'000.-/demande.</t>
  </si>
  <si>
    <t>https://www.vevey.ch/prestations/plan-de-mobilite-dentreprise</t>
  </si>
  <si>
    <t>Chauffages au bois</t>
  </si>
  <si>
    <t>Uniquement pour des travaux de transformation ou de rénovation.</t>
  </si>
  <si>
    <t>http://www.attalens.ch/reglements-et-formulaires/</t>
  </si>
  <si>
    <t>Pompes à chaleur</t>
  </si>
  <si>
    <t>Panneaux photovoltaïques</t>
  </si>
  <si>
    <t>Chauffage central avec circuit de distribution de la chaleur et ECS Selon décision et justificatif du paiement reçu</t>
  </si>
  <si>
    <t>https://www.granges-paccot.ch/reglements/419497</t>
  </si>
  <si>
    <t>seulement en remplacement, électricité ou mazout, Selon décision et justificatif du paiement reçu</t>
  </si>
  <si>
    <t>Rénovation bâtiment (Façade, toit, sols et murs contre l'extérieur ou contre terre)</t>
  </si>
  <si>
    <t>Investissement minimum de 15’000.00 Fr., Valeur U respectée pour chaque élément rénové</t>
  </si>
  <si>
    <t>Minergie (Ensemble du bâtiment)</t>
  </si>
  <si>
    <t>Vélo à assistance électrique</t>
  </si>
  <si>
    <t>Cours de conduite Eco</t>
  </si>
  <si>
    <t>Attestation organisme reconnu Non renouvelable</t>
  </si>
  <si>
    <t>Capteurs vitrés certifiés selon norme en vigueur Selon décision et justificatif du paiement reçu</t>
  </si>
  <si>
    <t>Vorgehensberatung für die Solardachnutzung</t>
  </si>
  <si>
    <t>Die Solardachberatung als Vorgehensberatung wird von der Gemeinde gefördert und steht den Bewohnern deshalb vergünstigt zur Verfügung (EFH 100 CHF, MFH/Gewerbe 200 CHF).</t>
  </si>
  <si>
    <t>https://energiestadt-landquart.ch/beratung-foerderung/solardachberatung/</t>
  </si>
  <si>
    <t>Der "Gebäudecheck Energie" des modular aufgebauten Beratunsgangebotes ist unter anderem kostenlos.</t>
  </si>
  <si>
    <t>https://energiestadt-landquart.ch/beratung-foerderung/energieberatung/</t>
  </si>
  <si>
    <t>Photovoltaikanlagen werden mit 300 Fr. pro kWp Leistung gefördert. Faktor 2.0 bei Indach-Anlagen min. 900 Fr. (= 3 kWp), max. 60′000 Fr. (= 200 kWp).&lt;br /&gt;Bei Neubauten zählt die Differenz zum gesetzlichen Minimum als Anlageleistung.</t>
  </si>
  <si>
    <t>Anlagen zur Stromerzeugung am eigenen Gebäude für den Eigenbedarf oder die Allgemeinheit</t>
  </si>
  <si>
    <t>Solarberatung</t>
  </si>
  <si>
    <t>Beratungsbeitrag für die optimale Installation von Solarsystemen.</t>
  </si>
  <si>
    <t>https://www.baeretswil.ch/gesetzessammlung/sammlung/586733</t>
  </si>
  <si>
    <t>GEAK</t>
  </si>
  <si>
    <t>Der GEAK ist der offizielle Gebäudeenergieausweis der Kantone und wird von Banken oder bei Handänderungen oft verlangt.</t>
  </si>
  <si>
    <t>Der GEAK Plus ist der offizielle Gebäudeenergieausweis der Kantone inklusive Empfehlungen und Kostenfolgen. Dieser soll vor einer Sanierung erstellt werden. Besichtigung des Gebäudes und Studium von Unterlagen (Baupläne, Offerten) erfolgen durch Energieberater.</t>
  </si>
  <si>
    <t>Förderbeitrag: 200 Fr. pro m&lt;sup&gt;2&lt;/sup&gt; Bruttofläche, maximal 15'000 Fr. pro Anlage.</t>
  </si>
  <si>
    <t>https://www.aarau.ch/leben/bauen/energetisch-modernisieren.html/316</t>
  </si>
  <si>
    <t>Umweltschonende Antriebe</t>
  </si>
  <si>
    <t>Gefördert werden Fahrzeuge mit Elektro-, Hybrid-, Erdgas-, Kompogasbetrieb oder ähnlichen umweltschonenden Antriebsarten.</t>
  </si>
  <si>
    <t>Anergienetze</t>
  </si>
  <si>
    <t>Gefördert werden der Auf- und Ausbau – auch die Verdichtung – von Netzen zur Nutzung der Abwärme industrieller Prozesse und von Dienstleistungsbauten sowie von Wärme aus Gewässern (Grund- oder Oberflächengewässer), aus Abwasser und dem Erdreich.&lt;br /&gt;&lt;br /&gt;&lt;strong&gt;Förderbeitrag:&lt;/strong&gt;&lt;br /&gt;a) Der Beitrag bemisst sich nach der in einem Jahr an die Bezüger gelieferten Anergiemenge [MWh / Jahr].&lt;br /&gt;b) Für den Neubau und die Netzerweiterung bzw. die Verdichtung werden 220 Fr. je MWh entschädigt.&lt;br /&gt;c) Die Auszahlung des Beitrags erfolgt zu 70 Prozent nach Inbetriebnahme des Anergienetzes. Die restlichen 30 Prozent des zugesicherten Beitrags werden bei Vorlage der klimakorrigierten Messung der Energie- bzw. Anergielieferung über ein Jahr (Klimastation St.Gallen) ausbezahlt. Unterschreitet die gemessene Energiemenge die projektierte Energiemenge um mehr als 10 Prozent, so wird die Restzahlung entsprechend reduziert.</t>
  </si>
  <si>
    <t>https://www.energieagentur-sg.ch/anergienetze</t>
  </si>
  <si>
    <t>Elektro-Fahrzeuge</t>
  </si>
  <si>
    <t>Pauschal pro Fahrzeug: 1'000 Franken (inkl. MwSt.) beim Kauf eines Neufahrzeuges (PW und Kleintransporter).</t>
  </si>
  <si>
    <t>Gebäudeenergieausweis GEAK</t>
  </si>
  <si>
    <t>Förderbeitrag pauschal 400 Fr.</t>
  </si>
  <si>
    <t>Wärmeproduktion</t>
  </si>
  <si>
    <t>Förderbeitrag einmalig:&lt;br /&gt;- BHKW 2000 Fr.&lt;br /&gt;- Luft/Wasser-Wärmepumpen 1000 Fr.&lt;br /&gt;- Sole/Wasser-Wärmepumpen 2000 Fr.&lt;br /&gt;- Wasser/Wasser-Wärmepumpen 4000 Fr.</t>
  </si>
  <si>
    <t>Grosshaushaltsgeräte</t>
  </si>
  <si>
    <t>Die Gemeinde fördert den Ersatz alter Grosshaushaltsgeräte (Waschmaschinen, Kühlschränke etc.) durch neue, energieeffiziente Apparate. Bei Erfüllung der Förderbedingungen werden pro ersetztes Gerät bis zu 200 Franken in Form von Häädler-Batzen ausbezahlt.</t>
  </si>
  <si>
    <t>Regenwassernutzungsanlagen</t>
  </si>
  <si>
    <t>Etudes de faisabilité</t>
  </si>
  <si>
    <t>Peuvent bénéficier du droit aux subventions les études de faisabilité ou des enquêtes prélimi-naires pour établir des grandes systèmes de productions d’énergie ou des réseaux de distribution pour énergies renouvelables ou chaleur perdue.&lt;br /&gt;&lt;br /&gt;&lt;strong&gt;Contribution financière:&lt;/strong&gt;&lt;br /&gt;- max. 50 % des coûts imputables, max. 30 000 Fr.</t>
  </si>
  <si>
    <t>https://www.steffisburg.ch/de/leben-in-steffisburg/energie-mobilitaet/foerderprogramm-energie/index.php</t>
  </si>
  <si>
    <t>Beitragsberechtigt sind: Sonnenkollektoranlagen bei bestehenden Gebäuden. Gebäude gelten als be-stehend, wenn sie mindestens 5 Jahre alt sind.&lt;br /&gt;Nicht beitragsberechtigt sind: Luftkollektoren, Heutrocknungs- und Schwimmbadheizungsanlagen.</t>
  </si>
  <si>
    <t>Wärmepumpe (Erdwärme- und Grundwasser)</t>
  </si>
  <si>
    <t>Gefördert wird der Ersatz von fossilen oder elektrischen Heizungen.&lt;br /&gt;Beitragsberechtig sind neu installierte Wärmepumpenanlagen die den Heizwärmebedarf eines bestehenden, bereits beheizten Gebäudes decken. Gebäude gelten als bestehend, wenn sie mindestens 5 Jahre alt sind.</t>
  </si>
  <si>
    <t>Energetische Gebäudesanierung</t>
  </si>
  <si>
    <t>Voraussetzung für einen Beitrag ist ein GEAK Plus. Neubauten, Anbauten und Aufstockungen sind nicht beitragsberechtigt.</t>
  </si>
  <si>
    <t>Bâtiments à haute efficacité énergétique: nouvelles constructions / constructions de remplacement</t>
  </si>
  <si>
    <t>Le financement est disponible pour les nouveaux bâtiments et les bâtiments de remplacement qui sont certifiés selon la norme Minergie-A.&lt;br /&gt;&lt;br /&gt;&lt;strong&gt;Contribution financière:&lt;/strong&gt;&lt;br /&gt;- Minergie A : 75 Fr. par m&lt;sup&gt;2&lt;/sup&gt; EBF</t>
  </si>
  <si>
    <t>https://www.vol.be.ch/vol/fr/index/energie/energie/foerderprogramm_energie/gebaeude.html</t>
  </si>
  <si>
    <t>Im Rahmen einer maximal einstündigen Beratung werden Fragen zur Energieeffizienz, zu erneuerbaren Energien, Mobilitätsthemen, zum Bauen und Heizen oder über den Einsatz sparsamer Haushaltgeräte beantwortet.&lt;br /&gt;Die nach erfolgter Terminvereinbarung kostenlos angebotene Dienstleistung gilt für die Bevölkerung von Wädenswil, Au, Hütten und Schönenberg – für Liegenschafteneigentümer oder Mieter auf dem Gemeindegebiet genauso wie für Unternehmen und Organisationen mit Sitz in Wädenswil.</t>
  </si>
  <si>
    <t>http://werke.waedenswil.ch/de/foerderung</t>
  </si>
  <si>
    <t>Spezialprojekte</t>
  </si>
  <si>
    <t>Förderung von Anlagen, die mit erneuerbaren Energieträgern betrieben werden bzw. nichterneuerbare Energieträger ersetzen. Beispiele: Umstellung auf erneuerbare Energieträger in Gewächshäusern, Agri-Photovoltaik, Kundenparkplätze mit Solardach.&lt;br /&gt;&lt;br /&gt;&lt;strong&gt;Förderbeitrag:&lt;/strong&gt;&lt;br /&gt;- Individuelle Beurteilung, max. 20 % der Investitionskosten</t>
  </si>
  <si>
    <t>Machbarkeitsstudien</t>
  </si>
  <si>
    <t>Förderung von Machbarkeitsstudien in den Bereichen Holzfeuerung mit Wärmenetz, Biogasanlage, Holzheizkraftwerk, Kleinwasserkraftwerk, Abwärmenutzung, thermische Nutzung Bodensee/Rhein, Tiefengeothermie, Energieversorgungskonzept, Gesamtenergieversorgungskonzept/Potentialstudie, Windenergie, 2000 Watt-Gemeinde/-Quartier/-Areal, Minergie-P-Modernisierung, Energieeffizienz, erneuerbare Energien, grosse Solarstromanlage mit hohem Eigenverbrauchsanteil, Mobilitätskonzept, Klimastrategie/Klimarisikostrategie.&lt;br /&gt;&lt;br /&gt;&lt;strong&gt;Förderbeitrag:&lt;/strong&gt;&lt;br /&gt;- 40 % der Studienkosten, max. 20 000 Fr.</t>
  </si>
  <si>
    <t>Anschlüsse an Wärmenetze</t>
  </si>
  <si>
    <t>Beitragsberechtigt sind neu erstellte Anschlüsse an neue oder bestehende Wärmenetze, die eine bestehende Wärmeversorgung (Öl-, Gas- oder Elektroheizung) für ein bestehendes Gebäude ersetzen. Die bezogene Wärme muss zu mindestens 75 % aus erneuerbaren Energien (Holz, Erd-/Umweltwärme, Biogas) oder aus Abwärme stammen.&lt;br /&gt;&lt;br /&gt;&lt;strong&gt;Förderbeitrag:&lt;/strong&gt;&lt;br /&gt;- Grundbeitrag für Anschlussleistung bis und mit 70 kW in Ein- und Zweifamilienhäusern: 7000 Fr.&lt;br /&gt;- Grundbeitrag für Anschlussleistung bis und mit 70 kW inMFH (ab 3 Wohnungen): 12 000 Fr.&lt;br /&gt;- Grundbeitrag für Anschlussleistung bis und mit 70 kW in Nichtwohnbauten: 12 000 Fr.&lt;br /&gt;- Zusatzbeitrag ab 20 kW Anschlussleistung: 75 Fr. pro kW&lt;br /&gt;- Beitrag für Anschlussleistung über 70 kW (alle Gebäudekategorien): 12 000 Fr. + 75 Fr. pro kW&lt;br /&gt;- Beitrag für den Ersatz von dezentralen elektrischen Widerstandsheizungen oder fossilen Heizungen: bis 250 m² EBF 15 000 Fr., ab 250 m² EBF 60 Fr. pro m²</t>
  </si>
  <si>
    <t>Solaire thermique</t>
  </si>
  <si>
    <t>En collaboration avec la Direction générale de l’environnement et de l’énergie (DGE) du Canton de Vaud, la Ville de Lausanne octroie une subvention alléchante pour encourager les propriétaires à installer des panneaux solaires thermique sur leur toiture. &lt;br /&gt;Le montant et les conditions d'octroi sont en effet identiques à la subvention cantonale (Un éventuel doublement du canton n’est toutefois pas pris en compte).</t>
  </si>
  <si>
    <t>https://www.equiwatt-lausanne.ch/votre-installation-solaire-thermique/</t>
  </si>
  <si>
    <t>Vélo/Scooter électrique</t>
  </si>
  <si>
    <t>- Vélo électrique&lt;br /&gt;- Scooter électrique&lt;br /&gt;- Batterie pour vélo électrique</t>
  </si>
  <si>
    <t>https://www.equiwatt-lausanne.ch/scooter-velo-electrique-et-batterie-de-velo/</t>
  </si>
  <si>
    <t>Voitures au gaz naturel carburant</t>
  </si>
  <si>
    <t>https://www.lausanne.ch/vie-pratique/energies-et-eau/services-industriels/particuliers/je-choisis-mon-offre/mobilite/voitures-gaz-naturel-biogaz.html</t>
  </si>
  <si>
    <t>KMU-Programm «energisch optimieren»</t>
  </si>
  <si>
    <t>Erfahrene Fachleute analysieren vor Ort Ihr Unternehmen (Energie-Agentur der Wirtschaft EnAW, energo oder act Cleantech Agentur Schweiz). Anschliessend erarbeiten diese einen massgeschneiderten Katalog mit Energiesparmassnahmen, die sich nach durchschnittlich drei Jahren amortisieren. Welche Massnahme Sie wann umsetzen, entscheiden Sie selber.</t>
  </si>
  <si>
    <t>https://www.stadtluzern.ch/dienstleistungeninformation/594</t>
  </si>
  <si>
    <t>Die Stadt Luzern fördert die Erstellung eines GEAK Plus vor der Sanierung eines Gebäudes. Der GEAK Plus ist ein wichtiges Instrument zur umsichtigen Planung einer energischen Sanierung. Basis des GEAK Plus ist eine Analyse der Qualität von Gebäudehülle und Gebäudetechnik. Darauf aufbauend werden im Beratungsbericht konkrete Sanierungsmassnahmen vorgeschlagen.</t>
  </si>
  <si>
    <t>https://www.stadtluzern.ch/dienstleistungeninformation/57511</t>
  </si>
  <si>
    <t>Energiecoaching</t>
  </si>
  <si>
    <t>Unabhängige und neutrale Energie-Coachs beraten und begleiten Sie beim Sanierungs- und Umbauvorhaben und sagen Ihnen, wie Sie mit einer langfristigen Strategie den Wert Ihrer Liegenschaft erhalten, die Energieeffizienz steigern und die attraktiven Förderbeiträge abholen können.</t>
  </si>
  <si>
    <t>https://www.stadtluzern.ch/dienstleistungeninformation/6304</t>
  </si>
  <si>
    <t>Gefördert wird die Wärmedämmung der Bauteile Dach, Wand sowie Wand und Boden gegen Erdreich an Gebäuden, die vor dem 1. Januar 2000 bewilligt worden sind.&lt;br /&gt;&lt;br /&gt;&lt;strong&gt;Förderbeitrag:&lt;/strong&gt;&lt;br /&gt;- 40 Fr. je m&lt;sup&gt;2&lt;/sup&gt; wärmegedämmtes Bauteil</t>
  </si>
  <si>
    <t>https://www.energieagentur-sg.ch/waermedaemmung-einzelbauteile</t>
  </si>
  <si>
    <t>Gebäude in Etappen erneuern</t>
  </si>
  <si>
    <t>Als Ergänzung zur Förderung von einzelnen Massnahmen werden Eigentümer mit dieser Fördermassnahme ermutigt, Pakete zur Gebäudeerneuerung zu schnüren. Wer sein Gebäude in energetisch wirksamen Etappen erneuert, profitiert entsprechend stärker vom Förderprogramm. Gefördert werden Wärmedämmungen entlang der thermischen Gebäudehülle, Fensterersatz und allenfalls auch der Ersatz der Heizung. Den Eigentümern steht frei, mit welchen Massnahmen sie diese Reduktionen erreichen.&lt;br /&gt;&lt;br /&gt;&lt;strong&gt;Förderbeitrag:&lt;/strong&gt;&lt;br /&gt;- Massgebend ist die Verminderung des Heizwärmebedarfs und des Heizenergiebedarfs aus Heizöl, Erdgas, Fernwärme, Strom (alle Energieträger ungewichtet) im Vergleich zum Zustand vor der Umsetzung. Der Beitragssatz wird anhand von Effizienzpunkten berechnet.</t>
  </si>
  <si>
    <t>https://www.energieagentur-sg.ch/gebaeude-in-etappen</t>
  </si>
  <si>
    <t>Wärmeverteilung in Gebäuden</t>
  </si>
  <si>
    <t>Gefördert wird die Erstellung eines Wärmeverteilsystems beim Ersatz einer Elektro- oder fossilen Heizung, wenn ein Wärmeerzeugersystem installiert wird, das mehrheitlich erneuerbare Energien verwendet oder beim Anschluss an Fernwärme. Der Beitrag für die Erstellung eines Wärmeverteilsystems muss mit einem separaten Fördergesuch beantragt werden. &lt;br /&gt;&lt;br /&gt;&lt;strong&gt;Förderbeitrag:&lt;/strong&gt;&lt;br /&gt;- bis 250 m&lt;sup&gt;2&lt;/sup&gt; Energiebezugsfläche: 15 000 Fr.&lt;br /&gt;- ab 250 m&lt;sup&gt;2&lt;/sup&gt; Energiebezugsfläche: 60 Fr. pro m&lt;sup&gt;2&lt;/sup&gt;</t>
  </si>
  <si>
    <t>https://www.energieagentur-sg.ch/waermeverteilung-gebaeude</t>
  </si>
  <si>
    <t>Optivent: Ventiler plus efficacement</t>
  </si>
  <si>
    <t>Pour que votre installation neuve ou modernisée soit amortie plus rapidement, notre programme de soutien Optivent peut couvrir jusqu’à 20% des coûts d’investissement.&lt;br /&gt;&lt;br /&gt;Optivent est un programme de ProKilowatt.</t>
  </si>
  <si>
    <t>https://foerderplattform.ch/fr/soutien/optivent/</t>
  </si>
  <si>
    <t>HotelWatt: Économiser l'électricité dans l'hôtellerie et la restauration</t>
  </si>
  <si>
    <t>Subventions pour votre investissement. Lors du remplacement d'anciens appareils et installations, vous bénéficiez d'importantes subventions. L'éclairage, les systèmes de ventilation et de refroidissement et les systèmes de blanchisserie font partie des mesures pouvant bénéficier d'une aide financière.&lt;br /&gt;&lt;br /&gt;HotelWattest un programme de ProKilowatt.</t>
  </si>
  <si>
    <t>https://hotelwatt.ch/fr/</t>
  </si>
  <si>
    <t>Un financement est prévu pour l'amélioration de la classe CECB de l'enveloppe d'un bâtiment.&lt;br /&gt;&lt;br /&gt;&lt;strong&gt;Contribution financière:&lt;/strong&gt;&lt;br /&gt;- Dépend de l'amélioration (nombre de classes CECB), du type de bâtiment et de l'SBE.</t>
  </si>
  <si>
    <t>Die Kosten für die zweistündige Erstberatung trägt die Gemeinde Dietlikon im Rahmen des Label Energiestadt.</t>
  </si>
  <si>
    <t>https://www.dietlikon.ch/haeufig-gesucht-portrait/portrait-q/energiestadt-dietlikon.html/70</t>
  </si>
  <si>
    <t>Remplacement fenêtres</t>
  </si>
  <si>
    <t>https://www.epalinges.ch/administration-communale/energie-et-developpement-durable/aides-financieres</t>
  </si>
  <si>
    <t>Solaire photovoltaïque</t>
  </si>
  <si>
    <t>Bestands- und Neubauten</t>
  </si>
  <si>
    <t>Chaudière à bois automatique</t>
  </si>
  <si>
    <t>Filtre à particules sur chaudière bois existantes</t>
  </si>
  <si>
    <t>Mise en place d'un filtre à particules sur installation de chauffage à bois existante</t>
  </si>
  <si>
    <t>Rénovation complète avec labels Minerige, Minergie-P, Minergie-Eco</t>
  </si>
  <si>
    <t>Rénovation complète avec certificat CECB</t>
  </si>
  <si>
    <t>Pompe à chaleur Sol/Eau</t>
  </si>
  <si>
    <t>Vélo électrique/kit électrification vélo</t>
  </si>
  <si>
    <t>Batteries pour vélos électriques</t>
  </si>
  <si>
    <t>Scooter-Moto électrique</t>
  </si>
  <si>
    <t>Borne de recharge électrique</t>
  </si>
  <si>
    <t>Récupération eaux de pluie</t>
  </si>
  <si>
    <t>Changement des anciens appareils ménagers</t>
  </si>
  <si>
    <t>Uniquement réfrigérateurs, congélateurs, Lavevaisselles, Lave-linge; Attestation de reprise de l’appareil à des fins de recyclage par un commerce ou centre de tri officiel. Uniquement appareils recommandés sur www.topten.ch</t>
  </si>
  <si>
    <t>Opération Ecologement de sensibilisation et de réduction de consommation d'énergie</t>
  </si>
  <si>
    <t>Mesure pilotée par l'administration communale; Visite appartements avec analyse personnalisée des équipements et habitudes de consommation (eau, chauffage, électricité, déchets) des ménages d'habitats collectifs subventionnés</t>
  </si>
  <si>
    <t>Création de biotopes</t>
  </si>
  <si>
    <t>Plantations d'esssence indigène et lutte contre les espèces invasives</t>
  </si>
  <si>
    <t>Matériels durables</t>
  </si>
  <si>
    <t>Soutien aux associations locales à but non lucratif</t>
  </si>
  <si>
    <t>https://www.epalinges.ch/administration-communale/energie-et-developpement-durable/aides-financieres/mesures-encouragees</t>
  </si>
  <si>
    <t>Actions, publications, manifestations pour DD, Energie, Mobilité</t>
  </si>
  <si>
    <t>Anschluss an ein anerkanntes Wärmenetz</t>
  </si>
  <si>
    <t>Gefördert wird der Anschluss von bestehenden Bauten an ein von der Energiefachstelle anerkanntes Wärmenetz.&lt;br /&gt;&lt;br /&gt;&lt;strong&gt;Förderbeitrag:&lt;/strong&gt;&lt;br /&gt;- bis 70 kW&lt;sub&gt;th&lt;/sub&gt;: 12'000 Fr. + 60 Fr. pro kW&lt;sub&gt;th&lt;/sub&gt;&lt;br /&gt;- über 70 kW&lt;sub&gt;th&lt;/sub&gt;: 16'000 Fr. + 80 Fr. pro kW&lt;sub&gt;th&lt;/sub&gt;</t>
  </si>
  <si>
    <t>Die Sanierung eines Gebäudes ist anspruchsvoll. Bereits die Wahl der richtigen Heizung ist eine grosse Herausforderung. Bei falschen Entscheidungen wird ein Projekt schnell teuer. Unsere neutralen Energieberater haben das Wissen, Ihnen als EigentümerIn gute Lösungsmöglichkeiten aufzuzeigen. So können Sie richtige Entscheidungen treffen.&lt;br /&gt;&lt;br /&gt;&lt;strong&gt;Förderbeitrag:&lt;/strong&gt;&lt;br /&gt;- Das Angebot ist kostenlos.</t>
  </si>
  <si>
    <t>https://energie.so.ch/energieberatung</t>
  </si>
  <si>
    <t>Der GEAK Plus muss im GEAK-Tool veröffentlicht und mit der Unterschrift des GEAK-Experten beglaubigt sein und der Energiefachstelle vorliegen.&lt;br /&gt;&lt;br /&gt;&lt;strong&gt;Förderbeitrag:&lt;/strong&gt;&lt;br /&gt;- Einfamilienhaus: 50 % der Kosten, max. 1100 Fr.&lt;br /&gt;- Mehrfamilienhaus, Verwaltung, Schule, Restaurant, Verkauf: 50 % der Kosten, max. 1800 Fr.</t>
  </si>
  <si>
    <t>ab 4 bis maximal 30 m2 Absorberfläche</t>
  </si>
  <si>
    <t>https://melchnau.ch/wohnen/wohnstandort/energie-energiestadt/</t>
  </si>
  <si>
    <t>Förderbeitrag für Photovoltaikanlagen:&lt;br /&gt;- Grundbeitrag: 500.- Fr. pro Anlage&lt;br /&gt;- 200.- Fr. pro kWp, maximal 4000.- Fr.</t>
  </si>
  <si>
    <t>10 Prozent der Anlagenkosten, jedoch maximal 4500 Fr. pro Anlage</t>
  </si>
  <si>
    <t>Windkraftanlagen</t>
  </si>
  <si>
    <t>Gefördert werden 10 Prozent der Anlagenkosten, jedoch maximal 4500 Franken pro Anlage.</t>
  </si>
  <si>
    <t>Gefördert werden Fahrzeuge und Elektrotankstellen</t>
  </si>
  <si>
    <t>Wämedämmung Gebäudehülle</t>
  </si>
  <si>
    <t>Gefördert wird die Verbesserung der Energieeffizienz der Gebäudehülle.&lt;br /&gt;&lt;br /&gt;&lt;strong&gt;Förderbeiträge:&lt;/strong&gt;&lt;br /&gt;- Wärmedämmung Dach und Wand gegen Aussenklima sowie Boden gegen Erdreich: 40 Fr. pro m&lt;sup&gt;2&lt;/sup&gt; wärmegedämmtes Bauteil.&lt;br /&gt;- Zusatzbeitrag Dach und Wand gegen Aussenklima bei gleichzeitiger Dämmung von mindestens 90 % der Flächen: 60 Fr. pro m&lt;sup&gt;2&lt;/sup&gt; wärmegedämmtes Bauteil.&lt;br /&gt;- Zusatzbeitrag Dach und Wand gegen Aussenklima bei gleichzeitiger Installation einer Photovoltaikanlage: 20 Fr. pro m&lt;sup&gt;2&lt;/sup&gt; Modulfläche.</t>
  </si>
  <si>
    <t>Gefördert werden Energieberatungen «GEAK Plus». Ist für eine Gebäudekategorie kein GEAK Plus möglich, so werden auch Gebäudeanalysen nach Pflichtenheft BFE bzw. Kanton unterstützt.&lt;br /&gt;&lt;br /&gt;&lt;strong&gt;Förderbeitrag: &lt;/strong&gt;&lt;br /&gt;- Einfamilienhäuser: 1000 Fr.&lt;br /&gt;- Mehrfamilienhäuser: 1500 Fr.</t>
  </si>
  <si>
    <t>https://energiefoerderung.zh.ch/internet/microsites/energie/de/beraten-lassen/gebaeudemodernisierung.html</t>
  </si>
  <si>
    <t>Gefördert werden energetische Verbesserungen der Gebäudehülle (Fassade, Dach, Wand und Boden gegen Aussenklima/Erdreich). Ein Fensterersatz sowie Bauteile gegen unbeheizt (z.B. Estrichboden, Kellerdecke) sind nicht förderberechtigt.&lt;br /&gt;&lt;br /&gt;&lt;strong&gt;Förderbeitrag:&lt;/strong&gt;&lt;br /&gt;- 40 Fr. pro m&lt;sup&gt;2&lt;/sup&gt;&lt;br /&gt;- Bonus Gebäudehülleneffizienz: 40 Fr. pro m&lt;sup&gt;2&lt;/sup&gt; &lt;br /&gt;&lt;br /&gt;Der Bonus wird gewährt, wenn 90 Prozent aller förderberechtigten Flächen (Fassade und Dach, exkl. Wand und Boden geg. Erdreich) gemäss Anforderung M-01 wärmegedämmt werden.</t>
  </si>
  <si>
    <t>10 % vom Kant. Förderbeitrag bei Ersatz von Öl-, Gas-, Elektroheizungen.&lt;br /&gt;EFH max. 1500 Fr., Erstinstallation max. 1000 Fr.&lt;br /&gt;MFH und Gewerbeliegenschaften max. 3000 Fr., Erstinstallation max. 2000 Fr.</t>
  </si>
  <si>
    <t>Ladeinfrastruktur (Altbauten)</t>
  </si>
  <si>
    <t>Förderbeitrag pro Parkplatz max. 300 Fr.</t>
  </si>
  <si>
    <t>Bei der Umstellung von Öl auf Holz</t>
  </si>
  <si>
    <t>Bei einem Ersatz von Ölheizungen</t>
  </si>
  <si>
    <t>Wärmepumpenanlagen</t>
  </si>
  <si>
    <t>Gefördert werden Anlagen bis 200 kW&lt;sub&gt;th&lt;/sub&gt;</t>
  </si>
  <si>
    <t>Fragen rund um das Thema Energie beantwortet der EKZ-Energieberater – persönlich und kostenlos.</t>
  </si>
  <si>
    <t>https://www.ekz.ch/de/privatkunden/energieberatung/unabhaengige-beratungen/kostenlose-erstberatung.html</t>
  </si>
  <si>
    <t>Appareils électroménagers efficients (remplacement)</t>
  </si>
  <si>
    <t>20% sur le prix d'achat d'un appareil neuf, max. CHF 400.- par objet</t>
  </si>
  <si>
    <t>Vermarktung von Solarstrom</t>
  </si>
  <si>
    <t>Falls Sie sich für die Vermarktung der Überschussenergie oder den Kauf von Solarstrom interessieren, informieren Sie sich bitte bei den folgenden Organisationen:&lt;br /&gt;- Solarstrom-Pool Thurgau: www.solarstrom-pool.ch&lt;br /&gt;- Thurgauer Naturstrom: www.thurgauer-naturstrom.ch</t>
  </si>
  <si>
    <t>Gebäudehüllensanierung (Einzelbauteile)</t>
  </si>
  <si>
    <t>Förderung der verbesserten Wärmedämmung von Einzelbauteilen (Dach, Wand und Boden) bei bestehenden Gebäuden. Ab Förderbeitrag von 10 000 Fr. wird GEAK mit Beratungsbericht benötigt.&lt;br /&gt;&lt;br /&gt;&lt;strong&gt;Förderbeitrag:&lt;/strong&gt;&lt;br /&gt;- Dach: 40 Fr. pro m&lt;sup&gt;2&lt;/sup&gt; Dämmmaterial&lt;br /&gt;- Wand/Boden gegen aussen; Wand/Boden im Erdreich: 40 Fr. pro m&lt;sup&gt;2 &lt;/sup&gt;Dämmmaterial&lt;br /&gt;- Zusatzbeitrag Gebäudehülleneffizienz nach GEAK-Effizienzklassen (mind. 2 Klassen, mindestens Effizienzklasse C): 30 Fr. pro m&lt;sup&gt;2&lt;/sup&gt; EBF&lt;br /&gt;- Zusatzbeitrag opake Bauteile mit Solarstromanlage (Dach, Fassade): 20 Fr. pro m&lt;sup&gt;2&lt;/sup&gt; Dämmmaterial&lt;br /&gt;&lt;br /&gt;&lt;strong&gt;Bonus Gebäudehülleneffizienz&lt;/strong&gt;&lt;br /&gt;- Bonus von 30 Fr. pro m&lt;sup&gt;2&lt;/sup&gt; Dämmmaterial, wenn mindestens 90 % aller Hauptflächen gemäss Anforderungen gedämmt werden&lt;br /&gt;- Bonus von 40 Fr. pro m&lt;sup&gt;2&lt;/sup&gt; EBF bei Verbesserung GEAK-Effizienzklasse auf Klasse C respektive 50 Fr. pro m&lt;sup&gt;2&lt;/sup&gt; EBF bei Verbesserung auf Klasse A/B&lt;br /&gt;- Bonus von 30 Fr. pro m&lt;sup&gt;2&lt;/sup&gt; EBF, wenn der Heizwärmebedarf des Gebäudes unter dem Grenzwert von 150 % des Grenzwerts für den Heizwärmebedarf von Neubauten liegt&lt;br /&gt;&lt;br /&gt;&lt;strong&gt;Kommunale Beiträge&lt;/strong&gt;&lt;br /&gt;- Stadt Frauenfeld: Beitrag von 30 % der kantonalen Beiträge (ohne Zusatzbeiträge)</t>
  </si>
  <si>
    <t>Gefördert wird die Wärmedämmung von Fassade, Dach, Wand und Boden gegen Erdreich. Förderberechtigt sind Gebäude mit Baubewilligungsjahr vor 2000. &lt;br /&gt;&lt;br /&gt;&lt;strong&gt;Förderbeitrag:&lt;/strong&gt;&lt;br /&gt;- Wärmegedämmtes Bauteil: 60 Fr. pro m&lt;sup&gt;2&lt;br /&gt;&lt;/sup&gt;- Wärmegedämmtes Bauteil in Kombination mit PV (vollflächig): 120 Fr. pro m&lt;sup&gt;2&lt;br /&gt;&lt;/sup&gt;- Bonus Gebäudehülleneffizienz: 30 Fr. pro m&lt;sup&gt;2&lt;/sup&gt; EBF&lt;sup&gt;&lt;br /&gt;&lt;/sup&gt;</t>
  </si>
  <si>
    <t>Die Stadt Luzern fördert aktiv den Wechsel von fossilen Heizungen zu erneuerbaren und nicht-fossilen Heizsystemen durch ein attraktives Beratungsangebot und Förderbeiträge. Der reine Ersatz eines Anschlusses (Anlage) oder die Installation im Rahmen eines Neubaus ist nicht förderberechtigt. Ein Ersatzneubau gilt als Neubau.</t>
  </si>
  <si>
    <t>https://www.stadtluzern.ch/dienstleistungeninformation/12514</t>
  </si>
  <si>
    <t>Spezielle 2000-Watt-Projekte</t>
  </si>
  <si>
    <t>Spezielle Projekte, welche die Zielsetzungen der 2000-Watt-Gesellschaft in der Stadt Luzern unterstützen, können unterstützt werden.</t>
  </si>
  <si>
    <t>https://www.stadtluzern.ch/dienstleistungeninformation/12532#dienst_39910</t>
  </si>
  <si>
    <t>Förderbeiträge:&lt;br /&gt;PV-Anlagen: Grundbeitrag 500 Fr., Leistungsbeitrag 100 Fr./kWp&lt;br /&gt;Integrierte PV-Anlagen: Grundbeitrag 600 Fr., Leistungsbeitrag 110 Fr./kWp&lt;br /&gt;PV-Anlagen an Fassaden: Grundbeitrag 600 Fr., Leistungsbeitrag 120 Fr./kWp&lt;br /&gt;&lt;br /&gt;Pro Anlage werden maximal 15'000 Fr. gefördert.</t>
  </si>
  <si>
    <t>Freiwillige Zielvereinbarungen (FEEZ) und Energieeffizienzprogramm (PEIK)</t>
  </si>
  <si>
    <t>FEEZ: &lt;br /&gt;40% der Gebühr für die Erstellung der FEEZ&lt;br /&gt;8 Rp. pro eingesparte kWh Strom&lt;br /&gt;4 Rp. pro eingesparte kWh Brennstoff oder Wärme auf die Einsparung über die Lebensdauer (max. 10 Jahre)&lt;br /&gt; &lt;br /&gt;PEIK: &lt;br /&gt;8 Rp. pro eingesparte kWh Strom&lt;br /&gt;4 Rp. pro eingesparte kWh Brennstoff oder Wärme auf die Einsparung über die Lebensdauer (max. 10 Jahre)&lt;br /&gt; &lt;br /&gt;Pro Unternehmen werden maximal 20'000 Fr. Förderbeiträge ausgezahlt.</t>
  </si>
  <si>
    <t>https://www.aarau.ch/leben/natur-und-umwelt/foerderprogramm.html/456</t>
  </si>
  <si>
    <t>Wärmedämmung von Fassade, Dach, Wand und Boden gegen Erdreich</t>
  </si>
  <si>
    <t>Die Stadt Aarau bezahlt zusätzlich 50% der Förderbeiträge des Kantons. Maximal 30'000 Fr. pro Gebäude</t>
  </si>
  <si>
    <t>Beitragsberechtigt unter anderem neu installierte Holzfeuerungsanlagen, die eine bestehende Heizung ersetzen und in ein Wärmeverteilsystem eingebunden sind. Die neu installierte Holzfeuerungsanlage muss als Hauptheizung eingesetzt werden.&lt;br /&gt;&lt;span style="text-decoration: underline;"&gt;&lt;br /&gt;&lt;/span&gt;&lt;strong&gt;Förderbeitrag:&lt;/strong&gt;&lt;br /&gt;- Grundbeitrag für Heizung bis 70 kW in Ein- und Zweifamilienhäusern: 8000 Fr.&lt;br /&gt;- Grundbeitrag für Heizung bis 70 kW in MFH (ab 3 Wohnungen): 14 000 Fr.&lt;br /&gt;- Grundbeitrag für Heizung bis 70 kW in Nichtwohnbauten: 14 000 Fr.&lt;br /&gt;- Zusatzbeitrag ab 20 kW&lt;sub&gt;th&lt;/sub&gt;: 250 Fr. pro kW&lt;sub&gt;th&lt;/sub&gt;&lt;br /&gt;- Zusatzbeitrag Partikelabscheider: 1000 Fr.&lt;br /&gt;- Förderbeitrag für Heizung ab 70 kW: 360 Fr. pro kW&lt;sub&gt;th&lt;br /&gt;&lt;/sub&gt;- Beitrag für den Ersatz von dezentralen elektrischen Widerstandsheizungen oder fossilen Heizungen: bis 250 m² EBF 15 000 Fr., ab 250 m² EBF 60 Fr. pro m²&lt;sub&gt;&lt;br /&gt;&lt;/sub&gt;</t>
  </si>
  <si>
    <t>Beitragsberechtigt sind neu erstellte Anschlüsse an neue oder bestehende Wärmenetze, die eine bestehende Heizung für ein bestehendes Gebäude ersetzen. Die neu installierte Anlage muss als Hauptheizung eingesetzt werden. Die bezogene Wärme muss zu mindestens 75% aus erneuerbaren Energien (Holz, Erd-/Umweltwärme, Biogas) oder aus Abwärme stammen.&lt;br /&gt;&lt;br /&gt;&lt;strong&gt;Förderbeitrag:&lt;/strong&gt;&lt;br /&gt;- Grundbeitrag für Anschlussleistung bis und mit 70 kW in Ein- und Zweifamilienhäusern: 7000 Fr.&lt;br /&gt;- Grundbeitrag für Anschlussleistung bis und mit 70 kW inMFH (ab 3 Wohnungen): 12 000 Fr.&lt;br /&gt;- Grundbeitrag für Anschlussleistung bis und mit 70 kW in Nichtwohnbauten: 12 000 Fr.&lt;br /&gt;- Zusatzbeitrag ab 20 kW Anschlussleistung: 75 Fr. pro kW&lt;br /&gt;- Beitrag für Anschlussleistung über 70 kW (alle Gebäudekategorien): 12 000 Fr. + 75 Fr. pro kW&lt;br /&gt;- Beitrag für den Ersatz von dezentralen elektrischen Widerstandsheizungen oder fossilen Heizungen: bis 250 m² EBF 15 000 Fr., ab 250 m² EBF 60 Fr. pro m²</t>
  </si>
  <si>
    <t>Gefördert werden Neubauten und Erweiterungen von Wärmeerzeugungsanlagen mit Wärmenetz sowie Neubauten und Erweiterungen von Wärmenetzen. Unter den Begriff Wärmenetze fallen sowohl Hochtemperatur- wie auch Niedertemperaturwärmenetze bzw. Anergienetze.&lt;br /&gt;&lt;br /&gt;&lt;strong&gt;Förderbeitrag:&lt;/strong&gt;&lt;br /&gt;- Neubau/Erweiterung von Wärmeerzeugungsanlagen mit Wärmenetz: 200 Fr. pro MWh/a&lt;br /&gt;- Neubau/Erweiterung von Wärmenetzen: 50 Fr. pro MWh/a</t>
  </si>
  <si>
    <t>Förderung verschiedener Minergie-Standards bei Neubauten.&lt;br /&gt;&lt;br /&gt;&lt;strong&gt;Förderbeitrag:&lt;/strong&gt;&lt;br /&gt;- Abhängig vom Gebäudetyp und der Energiebezugsfläche</t>
  </si>
  <si>
    <t>Förderung von Energieanalysen in Unternehmen und Institutionen (Erstellung Bericht). Bei Grossverbrauchern dient diese Energieanalyse als Grundlage für eine Energieverbrauchsanalyse (EVA) oder für eine Universalzielvereinbarung (UZV).&lt;br /&gt;&lt;br /&gt;&lt;strong&gt;Förderbeitrag:&lt;/strong&gt;&lt;br /&gt;- 40 % der Gesamtkosten, maximal 10 000 Fr. pro Projekt</t>
  </si>
  <si>
    <t>Unterstützt werden Studien in den Bereichen Holzfeuerung mit/ohne Wärmenetz, Biogasan-lage, Holzheizkraftwerk, Abwärmenutzung, Gesamtenergieversorgungskonzept (z.B. für Energiestadt), Potentialstudie, Energieeffizienz und Windenergie.&lt;br /&gt;&lt;br /&gt;&lt;strong&gt;Förderbeitrag:&lt;/strong&gt;&lt;br /&gt;- 50 % der Studienkosten, maximal 20 000 Fr. pro Projekt</t>
  </si>
  <si>
    <t>Förderberechtigt sind Energieeffizienzmassnahmen in Unternehmen und Institutionen in den Bereichen Abwärmenutzung, Wärmeverteilung, Gebäude, Kälte- und Kühlwasseranlagen, Lüftungsanlagen, Druckluftanlagen sowie Pumpensysteme und Motoren.&lt;br /&gt;&lt;br /&gt;&lt;strong&gt;Förderbeitrag:&lt;/strong&gt;&lt;br /&gt;- Beitrag für eingesparte elektrische Energie (über 10 Jahre gerechnet): 30 Fr. pro MWh&lt;br /&gt;- Beitrag für eingesparte thermische Energie (über 10 Jahre gerechnet): 10 Fr. pro MWh&lt;br /&gt;&lt;br /&gt;Hinweise: Der Förderbeitrag beträgt maximal 25 % der Gesamtinvestitionen pro geförderte Massnahme. Der Förderbeitrag beträgt jährlich maximal 20 000 Fr. pro Betriebsstätte bzw. Unternehmensstandort im Kanton Schaffhausen. Der minimale Beitrag pro Projekt muss mindestens 1000 Fr. erreichen. Be-triebsoptimierungen werden mit 25 % der Gesamtinvestitionen (maximal 5000 Fr.) unterstützt.</t>
  </si>
  <si>
    <t>Förderung von Gebäudemodernisierungen nach Minergie-Basisstandard, Minergie-A oder Minergie-P. Förderberechtigt sind Gebäude mit Baubewilligungsjahr vor 2000. Das Gebäude muss im Ausgangszustand rechtmässig beheizt sein.&lt;br /&gt;&lt;br /&gt;&lt;strong&gt;Förderbeitrag:&lt;/strong&gt;&lt;br /&gt;- Abhängig vom Standard, vom Gebäudetyp und von der EBF</t>
  </si>
  <si>
    <t>Förderung der verbesserten Wärmedämmung von Einzelbauteilen (Dach, Wand und Boden) bei bestehenden Gebäuden. Ab einem Förderbeitrag von 10 000 Fr. wird ein GEAK mit Beratungsbericht benötigt.&lt;br /&gt;&lt;br /&gt;&lt;strong&gt;Förderbeitrag:&lt;/strong&gt;&lt;br /&gt;- Dach: 50 Fr. pro m&lt;sup&gt;2&lt;/sup&gt; Dämmmaterial&lt;br /&gt;- Wand/Boden gegen aussen; Wand/Boden im Erdreich: 50 Fr. pro m&lt;sup&gt;2 &lt;/sup&gt;Dämmmaterial&lt;br /&gt;- Zusatzbeitrag opake Bauteile mit Solarstromanlage (Dach, Fassade): 30 Fr. pro m&lt;sup&gt;2 &lt;/sup&gt;Dämmmaterial&lt;br /&gt;&lt;br /&gt;&lt;strong&gt;Bonus Gebäudehülleneffizienz:&lt;/strong&gt;&lt;br /&gt;- Bonus von 30 Fr. pro m&lt;sup&gt;2&lt;/sup&gt; Dämmmaterial, wenn mindestens 90 % aller Hauptflächen gemäss Anforderungen gedämmt werden&lt;br /&gt;- Bonus von 40 Fr. pro m&lt;sup&gt;2&lt;/sup&gt; EBF bei Verbesserung GEAK-Effizienzklasse auf Klasse C respektive 50 Fr. pro m&lt;sup&gt;2&lt;/sup&gt; EBF bei Verbesserung auf Klasse A/B&lt;br /&gt;- Bonus von 30 Fr. pro m&lt;sup&gt;2&lt;/sup&gt; EBF, wenn der Heizwärmebedarf des Gebäudes unter dem Grenzwert von 150 % des Grenzwerts für den Heizwärmebedarf von Neubauten liegt.</t>
  </si>
  <si>
    <t>Gebäudemodernisierung nach GEAK-Effizienzklassen</t>
  </si>
  <si>
    <t>Massgeblich für die Bestimmung des Förderbeitrags ist die Verbesserung der GEAK-Effizienzklasse (Gebäudehülle und Gesamtenergieeffizienz).&lt;br /&gt;&lt;br /&gt;&lt;strong&gt;Förderbeitrag:&lt;/strong&gt;&lt;br /&gt;- Grundbeitrag: 5000 Fr.&lt;br /&gt;- Zusatzbeitrag abhängig von Verbesserung (Anzahl GEAK-Klassen) und EBF</t>
  </si>
  <si>
    <t>Energieanalysen</t>
  </si>
  <si>
    <t>Gefördert werden Energieanalysen wie GEAK Plus, Energieberatungen jeglicher Art für Unternehmen sowie Energieanalysen in Unternehmen.</t>
  </si>
  <si>
    <t>https://www.langenthal.ch/publikationen/322535</t>
  </si>
  <si>
    <t>Chauffage au bois / aux énergies renouvelables</t>
  </si>
  <si>
    <t>Ne peuvent bénéficier des subventions que les installations sur des bâtiments existants, non pas de nouvelles constructions.&lt;br /&gt;&lt;br /&gt;&lt;strong&gt;Contribution financière:&lt;/strong&gt;&lt;br /&gt;- Pour une demande de chaleur ≥ 70 kW par an: 130 fr. par MWh</t>
  </si>
  <si>
    <t>Conseils personnalisés</t>
  </si>
  <si>
    <t>Nos spécialistes vous conseillent par téléphone afin de vous aider à réaliser des économies d’énergie dans votre logement. Au moyen de quelques questions ciblées, ils vous orienteront sur le meilleur moyen de diminuer votre facture d’électricité, d’eau ou de chauffage.</t>
  </si>
  <si>
    <t>https://www.equiwatt-lausanne.ch/contact/</t>
  </si>
  <si>
    <t>Appareils électroménagers performants</t>
  </si>
  <si>
    <t>Un montant correspondant à 20% de l’investissement, mais au maximum 300 CHF, est proposé à l’achat des équipements A+++ suivants : réfrigérateur, combiné réfrigérateur/congélateur, congélateur, sèche-linge, lave-linge, lave-vaisselle</t>
  </si>
  <si>
    <t>https://www.equiwatt.ch/subventions/20-pourcent-prix-achat-electromenager.html</t>
  </si>
  <si>
    <t>Appels publics pour économies d’électricité</t>
  </si>
  <si>
    <t>Votre futur projet permettra de diminuer votre consommation d’électricité ? Les coûts d’investissement pour le remplacement de vos anciennes installations sont supérieurs à 70'000 Fr.? Vous pouvez bénéficier d’un soutien allant jusqu’à 30% de votre investissement. P. ex. pour dans les domaines suivants : éclairage, froid, ventilation, pompes, moteurs élec., machines de prod., centres de calculs, transfos, etc.</t>
  </si>
  <si>
    <t>https://prokw.ch/fr/accueil/</t>
  </si>
  <si>
    <t>Eclairage</t>
  </si>
  <si>
    <t>le plan d’action « Petits et moyens consommateurs » propose une subvention correspondant à 25% du coût d’investissement HT aux entreprises pour la réalisation de tout projet qui engendre une économie d’énergie d’au moins 15% sur l’installation ou l’équipement concerné.</t>
  </si>
  <si>
    <t>https://www.equiwatt.ch/subventions/renovation-energetique-de-vos-installations.html</t>
  </si>
  <si>
    <t>Installations techniques</t>
  </si>
  <si>
    <t>Le plan d’action « Petits et moyens consommateurs » propose une subvention correspondant à 25% du coût d’investissement HT aux entreprises pour la réalisation de tout projet qui engendre une économie d’énergie d’au moins 15% (électrique ou thermique) sur l’installation ou l’équipement concerné.</t>
  </si>
  <si>
    <t>OTIC: Optimisation des Transformateurs Industriels et des Câbles</t>
  </si>
  <si>
    <t>Afin d’encourager l’efficacité énergétique, le programme subventionne jusqu’à hauteur de 15 % la mise en œuvre de ces solutions d’économie d’énergie.&lt;br /&gt;&lt;br /&gt;OTIC est un programme de ProKilowatt.</t>
  </si>
  <si>
    <t>https://www.planair.ch/domaines-dactivites/industries-efficientes/</t>
  </si>
  <si>
    <t>Optimisation des entrainements électriques</t>
  </si>
  <si>
    <t>Qu’il s’agisse de simples remplacements, de rénovations, d’actions de maintenance préventive ou de concepts d’optimisation énergétique, le programme évalue gratuitement vos projets et peut contribuer à leurs financements jusqu’à hauteur de 30 %.</t>
  </si>
  <si>
    <t>http://www.speed-program.ch/</t>
  </si>
  <si>
    <t>Renovation bâtiment</t>
  </si>
  <si>
    <t>https://www.ardon.ch/fr/administration/energie/subventions-979/</t>
  </si>
  <si>
    <t>Renovation du système de chauffage</t>
  </si>
  <si>
    <t>Remplacement par une pompe à chaleur (air-eau, eau-eau ou eau souterraine)</t>
  </si>
  <si>
    <t>Wärmedämmung (Einzelbauteile)</t>
  </si>
  <si>
    <t>Die nachträgliche Wärmedämmung an den Aussenbauteilen Dach und Fassade undder Bauteile Wand und Boden gegen Erdreich wird mit 20 Fr./m&lt;sup&gt;2&lt;/sup&gt; Dämmfläche unterstützt. Der Maximalbeitrag für EFH beträgt: 2000.- Fr., der Maximalbeitrag für andere Bauten beträgt: 4000.- Fr. Es werden nur Wärmedämmungen gefördert, welche den Förderbedingungen der kantonalen Fördermassnahme «Wärmedämmung von Einzelbauteilen» entsprechen.</t>
  </si>
  <si>
    <t>http://www.schaenis.ch/de/energie/foerdergelderdergemeinde/</t>
  </si>
  <si>
    <t>Der Neubau von Photovoltaikanlagen auf Neubauten und bestehenden Bauten wird mit 250.- Fr. pro kWp unterstützt. Der maximale Förderbeitrag ist auf 2000.- Fr. pro Anlage und Hausnummer begrenzt. Die PV-Module müssen entspiegelt sein. Freiflächenanlagen werden nicht unterstützt.</t>
  </si>
  <si>
    <t>https://www.ebnat-kappel.ch/de/verwaltung/verwaltunggemeinde/dienstleistungen/welcome.php?dienst_id=40954</t>
  </si>
  <si>
    <t>Sole-Wasser/Erdsonden und Wasser-Wasser</t>
  </si>
  <si>
    <t>Wärmedämmung von Einzelbauteil</t>
  </si>
  <si>
    <t>Gefördert wird die Wärmedämmung von Einzelbauteilen mit erhöhten energetischen Anforderungen.</t>
  </si>
  <si>
    <t>PV-Anlagen zur Winterstromproduktion</t>
  </si>
  <si>
    <t>Gefördert wird der Fensterersatz innerhalb der thermischen Gebäudehülle (Dämmperimeter). Es sind alle Fenster des Gebäudes zu ersetzen, ausgenommen Dachfenster und solche, die jünger als zehn Jahre sind.</t>
  </si>
  <si>
    <t>http://efoerderportal.sg.ch/</t>
  </si>
  <si>
    <t>Ersatzneubau</t>
  </si>
  <si>
    <t>Gefördert wird der Rückbau und Ersatz von fest installierten Elektroheizungen und fossilen Heizungen in bestehenden Bauten durch eine Elektro-Wärmepumpe (Luft-Wasser, Sole-Wasser oder Wasser-Wasser)</t>
  </si>
  <si>
    <t>Gefördert wird der Rückbau und Ersatz von fest installierten Elektroheizungen und fossilen Heizungen in bestehenden Bauten durch einen Wärmenetzanschluss an ein übers Jahresmittel überwiegend mit erneuerbaren Energien betriebenes Wärmenetz.</t>
  </si>
  <si>
    <t>Holzheizungen (&amp;lt;70 kW)</t>
  </si>
  <si>
    <t>Beitragsberechtigt ist nur der Ersatz von Öl- und Elektrowiderstandsheizungen in bestehenden Bauten durch Holzheizungen. Holzfeuerungen mit einer Feuerungswärmeleistung über 70 kW sind von dieser Fördermassnahme ausgeschlossen. Dazu existiert eine kantonale Fördermassnahme.</t>
  </si>
  <si>
    <t>Beiträge erhalten netzgekoppelte Solarstromanlagen zur Elektrizitätsproduktion bei Neubauten oder bei Sanierungen.</t>
  </si>
  <si>
    <t>Beratung zu Ladeinfrastruktur und Solarstromanlagen</t>
  </si>
  <si>
    <t>Um Ihnen den Einstieg zur Nutzung der Solarenergie und E-Mobilität zu erleichtern, erhalten Sie Beiträge an Beratungen zur Installation von Solarstromanlagen und Ladeinfrastruktur in Mehrfamilienhäusern und Gewerbeliegenschaften ab vier Parteien.</t>
  </si>
  <si>
    <t>https://stadtwerk.winterthur.ch/Nachhaltigkeit/Foerdermassnahmen/Foerderprogramm-Energie-Winterthur/Gefoerderte-Beratungen</t>
  </si>
  <si>
    <t>Das Förderprogramm leistet einmalig einen Beitrag von 500 Franken für die Energieberatung GEAK Plus.</t>
  </si>
  <si>
    <t>https://stadtwerk.winterthur.ch/Kundendienst/Dienstleistungen/Energieberatung/Umfassende-Beratung-mit-GEAK-Plus</t>
  </si>
  <si>
    <t>Batterie di accumulo abbinate ad impianti fotovoltaici</t>
  </si>
  <si>
    <t>Maximal 20 % der Planungs-, Beschaffungs- und Installationskosten</t>
  </si>
  <si>
    <t>Kostenlose und neutrale Energieerstberatungen für Gross- und Privatkunden</t>
  </si>
  <si>
    <t>https://www.ewn.ch/kunden/privatkunden/energieberatung</t>
  </si>
  <si>
    <t>60 Fr. pro m2</t>
  </si>
  <si>
    <t>Anlagen zur Gewinnung alternativer Energien</t>
  </si>
  <si>
    <t>der Gemeinderat entscheidet auf Gesuch hin über einen Förderbeitrag im Einzelfall</t>
  </si>
  <si>
    <t>Energieberatung Gebäude und Gebäudetechnik</t>
  </si>
  <si>
    <t>Die Stadt Adliswil bietet eine kostenlose, einstündige Gebäude-Energieberatung am Objekt vor Ort an.</t>
  </si>
  <si>
    <t>http://www.adliswil.ch/de/verwaltung/dienstleistungenrb/dienstleistungen/?dienst_id=33542</t>
  </si>
  <si>
    <t>Der Verein Energie AR/AI ist die zentrale Anlaufstelle für sämtliche Fragen zur rationellen Energie-nutzung und zu erneuerbaren Energien. Er berät, informiert und vermittelt Fachleute.&lt;br /&gt;&lt;br /&gt;Privatpersonen&lt;br /&gt;- Kostenlose Energieberatung&lt;br /&gt;- Informationen und Vermittlungen von Fachleuten&lt;br /&gt;&lt;br /&gt;Gewerbe-, Industrie- und Dienstleistungsunternehmen&lt;br /&gt;- Fachliche Unterstützung bei Bau und Sanierung eigener Bauten&lt;br /&gt;- Aktionen zur Sensibilisierung der MitarbeiterInnen&lt;br /&gt;&lt;br /&gt;Organisationen&lt;br /&gt;- Beratung und Begleitung von Veranstaltungen und Messeauftritten&lt;br /&gt;- Gemeinsame Aktionen mit dem Verein Energie AR/AI&lt;br /&gt;&lt;br /&gt;Gemeinden / Bezirke&lt;br /&gt;- Öffentliche Energieberatungstage in der Gemeinde / in den Bezirken&lt;br /&gt;- Fachliche Unterstützung bei Bau und Sanierung gemeindeeigener Bauten&lt;br /&gt;- Beratung und Begleitung von kommunalen Energieaktivitäten</t>
  </si>
  <si>
    <t>https://energie-ar-ai.ch/cms/index.php/angebot/impulsberatung-heizungsersatz</t>
  </si>
  <si>
    <t>Installation Wohnungslüftung</t>
  </si>
  <si>
    <t>Förderung von Wohnungslüftungen mit Wärmerückgewinnung bei bestehenden Gebäuden.&lt;br /&gt;&lt;br /&gt;&lt;strong&gt;Förderbeitrag:&lt;/strong&gt;&lt;br /&gt;- Pauschalbeitrag pro Wohneinheit: 2400 Fr.</t>
  </si>
  <si>
    <t>Gesamtsanierung mit Minergie-Zertifikat</t>
  </si>
  <si>
    <t>Förderung von umfassenden Minergie-Gebäudesanierungen ohne Etappierung.&lt;br /&gt;&lt;br /&gt;&lt;strong&gt;Förderbeitrag:&lt;/strong&gt;&lt;br /&gt;- Abhängig vom Standard, vom Gebäudetyp und von der EBF zwischen 70 und 155 Fr. pro m&lt;sup&gt;2&lt;/sup&gt;</t>
  </si>
  <si>
    <t>Wärmedämmung Fassade, Dach, Wand und Boden gegen Erdreich</t>
  </si>
  <si>
    <t>Förderung von Wärmedämm-Massnahmen an bereits im Ausgangszustand beheizte Gebäudeteile von Bauten mit Baubewilligungsjahr vor 2000.&lt;br /&gt;&lt;br /&gt;&lt;strong&gt;Förderbeitrag:&lt;/strong&gt;&lt;br /&gt;- Dach, Wand und Boden gegen aussen, Wand und Boden im Erdreich bis 2 m: 40 Fr. pro m&lt;sup&gt;2&lt;/sup&gt;&lt;br /&gt;- Wand und Boden mehr als 2 m im Erdreich: 40 Fr. pro m&lt;sup&gt;2&lt;/sup&gt;</t>
  </si>
  <si>
    <t>Umfassende Gesamtsanierung mit GEAK</t>
  </si>
  <si>
    <t>Förderung von umfassenden Gebäudesanierungen mit GEAK ohne Etappierung.&lt;br /&gt;&lt;br /&gt;&lt;strong&gt;Förderbeitrag:&lt;/strong&gt;&lt;br /&gt;- Abhängig von der GEAK-Klasse, dem Gebäudetyp und der EBF zwischen 60 und 140 Fr. pro m&lt;sup&gt;2&lt;/sup&gt;</t>
  </si>
  <si>
    <t>Boni zur Förderung von umfassenden Gebäudehüllensanierungen im Zusammenhang mit M-01 Wärmedämmung Fassade, Dach, Wand und Boden gegen Erdreich.&lt;br /&gt;&lt;br /&gt;&lt;span style="text-decoration: underline;"&gt;Förderbeitrag:&lt;/span&gt;&lt;br /&gt;- Verschiedene Varianten mit unterschiedlichen Beiträgen</t>
  </si>
  <si>
    <t>Das Gebäudeprogramm fördert Wärmedämmmassnahmen an bereits im Ausgangszustand beheizte Bauteile für Bauten mit Baubewilligungsjahr vor 2000.&lt;br /&gt;&lt;br /&gt;&lt;strong&gt;Förderbeitrag:&lt;/strong&gt;&lt;br /&gt;- Dach, Wand und Boden gegen aussen, Wand und Boden im Erdreich bis 2 m: 50 Fr. pro m&lt;sup&gt;2&lt;br /&gt;&lt;/sup&gt;- Wand und Boden mehr als 2 m im Erdreich: 50 Fr. pro m&lt;sup&gt;2&lt;/sup&gt;</t>
  </si>
  <si>
    <t>&lt;div id="maincontent_0_htmlDivPortletHolder" class="richtext portlet textPortlet portletid_A3D9C755D5CF41B3B80F7F59ACD2D086"&gt;_x000D_
&lt;p&gt;Der Kanton Luzern fördert Wärmepumpen, wenn diese eine fossile (Öl oder Erdgas) oder elektrische Heizung ersetzen. Förderberechtigt sind Luft-Wasser-, Sole-Wasser- und Wasser-Wasser-Wärmepumpen, die Aussenluft oder Umweltwärme aus dem Untergrund, Grundwasser, Seewasser, Wärme aus Eisspeicher etc. nutzen. Die Bezugsgrösse für die Berechnung des Förderbeitrags ist die thermische Nennleistung der Wärmepumpe (kWth).&lt;br /&gt;&lt;br /&gt;&lt;strong&gt;Förderbeitrag:&lt;br /&gt;&lt;/strong&gt;&lt;br /&gt;- Bis 15 kW: 4000 Fr. (Luft-Wasser-Wärmepumpen)&lt;br /&gt;- Bis 15 kW: 8500 Fr. (Sole-Wasser-, Wasser-Wasser-Wärmepumpen)&lt;br /&gt;&lt;br /&gt;- Ab 15 kW bis 70 kW: 2500 Fr. + 100 Fr. pro kW&lt;sub&gt;th&lt;/sub&gt; (Luft-Wasser-Wärmepumpen)&lt;br /&gt;- Ab 15 kW bis 70 kW: 4000 Fr. + 300 Fr. pro kW&lt;sub&gt;th&lt;/sub&gt; (Sole-Wasser-, Wasser-Wasser-Wärmepumpen)&lt;br /&gt;&lt;br /&gt;- Ab 70 kW: 3200 Fr. + 120 Fr. pro kW&lt;sub&gt;th&lt;/sub&gt; (Luft-Wasser-Wärmepumpen)&lt;br /&gt;- Ab 70 kW: 4800 Fr. + 360 Fr. pro kW&lt;sub&gt;th&lt;/sub&gt; (Sole-Wasser-, Wasser-Wasser-Wärmepumpen)&lt;span style="font-size: 11.0pt; font-family: 'Calibri',sans-serif; mso-fareast-font-family: Calibri; mso-fareast-theme-font: minor-latin; mso-ansi-language: DE-CH; mso-fareast-language: DE-CH; mso-bidi-language: AR-SA;"&gt;&lt;br /&gt;&lt;/span&gt;&lt;/p&gt;_x000D_
&lt;/div&gt;</t>
  </si>
  <si>
    <t>https://uwe.lu.ch/themen/energie/foerderprogramme</t>
  </si>
  <si>
    <t>Standard nachhaltiges Bauen Schweiz (SNBS)</t>
  </si>
  <si>
    <t>Der Kanton Luzern leistet einen Förderbeitrag an die Zertifizierungskosten für den Standard nachhaltiges Bauen Schweiz (SNBS). Der SNBS beurteilt die Nutzung, Effizienz und Umweltfreundlichkeit abhängig vom Standort und der Umgebung. Die Bewertungen reichen von der Planung, über den Bau bis zum Betrieb des Hauses. &lt;br /&gt;&lt;br /&gt;&lt;strong&gt;Förderbeitrag:&lt;/strong&gt;&lt;br /&gt;- 60 % der Zertifizierungskosten</t>
  </si>
  <si>
    <t>Förderung von Wärmedämmungs-Massnahmen an bereits im Ausgangszustand beheizten Bauteilen für Bauten mit Baujahr vor 2000.&lt;br /&gt;&lt;br /&gt;&lt;strong&gt;Förderbeitrag:&lt;/strong&gt;&lt;br /&gt;- Dach, Wand, Boden gegen aussen: 90 Fr. pro m&lt;sup&gt;2&lt;/sup&gt;&lt;br /&gt;- Wand und Boden im Erdreich bis 2m: 90 Fr. pro m&lt;sup&gt;2&lt;/sup&gt;&lt;br /&gt;- Wand und Boden mehr als 2m im Erdreich: 90 Fr. pro m&lt;sup&gt;2&lt;/sup&gt;&lt;br /&gt;- Decke, Wand, Boden gegen unbeheizt: 35 Fr. pro m&lt;sup&gt;2&lt;/sup&gt;&lt;br /&gt;- Fenster (nur zusammen mit umgebender Fläche): 90 Fr. pro m&lt;sup&gt;2&lt;/sup&gt;</t>
  </si>
  <si>
    <t>Stückholz- oder Pelletfeuerung mit Tagesbehälter</t>
  </si>
  <si>
    <t>Gefördert wird der Ersatz von Heizöl-, Erdgas- oder Elektroheizungen durch Stückholz- oder Pelletfeuerung mit Tagesbehälter.&lt;br /&gt;&lt;br /&gt;&lt;strong&gt;Förderbeitrag:&lt;/strong&gt;&lt;br /&gt;- Pro Anlage: 5000 Fr.</t>
  </si>
  <si>
    <t>Gefördert wird die Wärmedämmung von Fassade, Dach, Wand und Boden gegen Erdreich bei Gebäuden mit Baubewilligungsjahr vor 2000.&lt;br /&gt;&lt;br /&gt;&lt;strong&gt;Förderbeitrag:&lt;/strong&gt;&lt;br /&gt;- Fassade, Flach- und Steildach, Wand und Boden gegen Erdreich: 60 Fr. pro m&lt;sup&gt;2&lt;/sup&gt; Dämmfläche &lt;br /&gt;- Mindestförderbeitrag: 3000 Fr.&lt;br /&gt;&lt;span id="page3R_mcid165" class="markedContent"&gt;&lt;/span&gt;</t>
  </si>
  <si>
    <t>Thermische Solarkollektoranlage bis 70 kW&lt;sub&gt;th&lt;/sub&gt;</t>
  </si>
  <si>
    <t>Gefördert werden Solarkollektoranlagen (Neuanlagen oder Erweiterungen).&lt;br /&gt;&lt;br /&gt;&lt;strong&gt;Förderbeitrag:&lt;/strong&gt;&lt;br /&gt;- 2400 Fr. + 1000 Fr. pro kW&lt;sub&gt;th&lt;/sub&gt;</t>
  </si>
  <si>
    <t>Anschluss an ein Wärmenetz bis 70 kW&lt;sub&gt;th&lt;/sub&gt;</t>
  </si>
  <si>
    <t>Gefördert wird der Ersatz von Heizöl-, Erdgas- oder Elektroheizungen durch einen Anschluss an ein Wärmenetz. &lt;br /&gt;&lt;br /&gt;&lt;strong&gt;Förderbeitrag:&lt;/strong&gt;&lt;br /&gt;- Pro Anlage: 4000 Fr. + 200 Fr. pro kW&lt;sub&gt;th&lt;/sub&gt;</t>
  </si>
  <si>
    <t>Luft/Wasser-Wärmepumpe bis 70 kW&lt;sub&gt;th&lt;/sub&gt;</t>
  </si>
  <si>
    <t>Das Gebäudeprogramm unterstützt den Ersatz von Heizöl-, Erdgas- oder Elektroheizungen durch Luft/Wasser-Wärmepumpen.&lt;br /&gt;&lt;br /&gt;&lt;strong&gt;Förderbeitrag:&lt;/strong&gt;&lt;br /&gt;- Pro Anlage: 3200 Fr. + 120 Fr. pro kW&lt;sub&gt;th&lt;/sub&gt;</t>
  </si>
  <si>
    <t>Gesamtsanierung mit Minergie</t>
  </si>
  <si>
    <t>Gefördert werden energieeffiziente Gesamtsanierungen von Gebäuden mit Baubewillingungsjahr vor 2000, die ein Zertifikat Minergie, Minergie-A oder Minergie-P erlangen. &lt;br /&gt;&lt;br /&gt;&lt;strong&gt;Förderbeitrag:&lt;/strong&gt;&lt;br /&gt;- EFH: 100 Fr. pro m&lt;sup&gt;2&lt;/sup&gt; EBF&lt;br /&gt;- MFH: 60 Fr. pro m&lt;sup&gt;2&lt;/sup&gt; EBF&lt;br /&gt;- Andere Gebäude: 40 Fr. pro m&lt;sup&gt;2&lt;/sup&gt; EBF&lt;br /&gt;&lt;br /&gt;&lt;em&gt;EBF = Energiebezugsfläche&lt;/em&gt;</t>
  </si>
  <si>
    <t>Messgeräte für Wärmepumpen</t>
  </si>
  <si>
    <t>Gefördert wird die Installation eines Messgeräts zur Bestimmung der Effizienz von neuen oder bestehenden Wärmepumpen. &lt;br /&gt;&lt;br /&gt;&lt;strong&gt;Förderbeitrag:&lt;/strong&gt; 1500 Fr.&lt;br /&gt;&lt;br /&gt;Voraussetzung ist, dass der/die FörderbeitragsempfängerIn im kostenlosen Online-Tool «Wärmepumpen-Cockpit» folgende Schritte durchführt: &lt;br /&gt;a) Registrieren und Eröffnen eine Kontos &lt;br /&gt;b) Einmalige Eingabe der Gebäudedaten &lt;br /&gt;c) Eingabe der Messdaten (Stromaufnahme und Wärmeproduktion), bevorzugt im Januar, Mai, September und November &lt;br /&gt;&lt;br /&gt;Ab einer Leistung von 100 kW&lt;sub&gt;th&lt;/sub&gt; wird eine fachgerechte Storm- und Wärmemessung vorausgesetzt.</t>
  </si>
  <si>
    <t>https://www.energieagentur-sg.ch/messgeraete-waermepumpen</t>
  </si>
  <si>
    <t>Energiestadtlabel</t>
  </si>
  <si>
    <t>Förderung von energiepolitischen Massnahmen der Gemeinde wie Energiestadt-Label oder Gesamtenergieversorgungskonzept.&lt;br /&gt;&lt;br /&gt;&lt;strong&gt;Förderbeitrag:&lt;/strong&gt;&lt;br /&gt;- Zertifizierung Energiestadt, Energiestadt GOLD: 50 % der Zertifizierungskosten, maximal 7000 Fr.</t>
  </si>
  <si>
    <t>Erschliessung Ladeinfrastruktur</t>
  </si>
  <si>
    <t>Beitrag an die Erschliessungskosten für die Ladeinfrastruktur für Personenwagen in Mehrfamilienhäusern, Industrie/Gewerbe und Bürogebäuden. Die kantonale Verwaltung ist nicht beitragsberechtigt. Hinweis: Die Ladestationen gehören nicht zu den Erschliessungskosten.&lt;br /&gt;&lt;br /&gt;&lt;strong&gt;Förderbeitrag:&lt;/strong&gt;&lt;br /&gt;- Beitrag: 15 % der Investitionskosten</t>
  </si>
  <si>
    <t>Das Gebäudeprogramm fördert den Anschluss an ein Fernwärmenetz, sofern damit eine Heizöl- oder Elektroheizung ersetzt wird.&lt;br /&gt;&lt;br /&gt;&lt;strong&gt;Förderbeitrag:&lt;/strong&gt;&lt;br /&gt;- bis 70 kW: 4000 Fr. plus 20 Fr. pro kW&lt;br /&gt;- ab 70 kW: 8000 Fr. + 40 Fr. pro kW&lt;br /&gt;- ab 500 kW: 18 000 Fr. + 20 Fr. pro kW</t>
  </si>
  <si>
    <t>Certification SNBS</t>
  </si>
  <si>
    <t>Une subvention est accordée pour l’établissement d’une certification selon les critères du standard de construction durable suisse (SNBS).&lt;br /&gt;&lt;br /&gt;&lt;strong&gt;Contribution financière:&lt;/strong&gt;&lt;br /&gt;- 60 % du montant de la certification, mais au maximum 10 000 fr.</t>
  </si>
  <si>
    <t>https://www.vd.ch/prestation/19-2023-demander-une-subvention-pour-la-certification-selon-le-standard-de-construction-durable-suisse-snbs</t>
  </si>
  <si>
    <t>Rénovation complète CECB</t>
  </si>
  <si>
    <t>&lt;p&gt;Cette subvention est allouée pour une rénovation complète atteignant les classes CECB C/B ou B/A.&lt;br /&gt;&lt;br /&gt;&lt;strong&gt;Contribution financière:&lt;/strong&gt;&lt;br /&gt;&lt;br /&gt;CECB® C/B:&lt;br /&gt;- Habitation individuelle: 90 fr. par m&lt;sup&gt;2&lt;/sup&gt; (SRE)&lt;br /&gt;- Habitation collective: 50 fr. par m&lt;sup&gt;2&lt;/sup&gt; (SRE)&lt;br /&gt;- Autre affectations: 35 fr. par m&lt;sup&gt;2&lt;/sup&gt; (SRE)&lt;br /&gt;&lt;br /&gt;CECB® B/A:&lt;br /&gt;- Habitation individuelle: 140 fr. par m&lt;sup&gt;2&lt;/sup&gt; (SRE&lt;br /&gt;- Habitation collective: 80 fr. par m&lt;sup&gt;2&lt;/sup&gt; (SRE)&lt;br /&gt;- Autre affectations: 60 fr. par m&lt;sup&gt;2&lt;/sup&gt; (SRE)&lt;br /&gt;&lt;br /&gt;En cas de première création d’un réseau de distribution hydraulique, une subvention spécifique doit être demandée séparément (nouvelle mesure IP-19).&lt;/p&gt;</t>
  </si>
  <si>
    <t>https://www.vd.ch/prestation/15-demander-une-subvention-pour-une-renovation-complete-avec-certificat-cecbr-m13</t>
  </si>
  <si>
    <t>Isolation thermique des bâtiments</t>
  </si>
  <si>
    <t>Cette subvention est allouée pour l'amélioration de l'isolation thermique de la façade, du toit, des murs et du sol contre terre. Un bonus est octroyé pour l’amélioration du coefficient d’isolation. &lt;br /&gt;&lt;br /&gt;&lt;strong&gt;Contribution financière:&lt;/strong&gt;&lt;br /&gt;_x000D_
&lt;p class="MsoNormal" style="mso-margin-top-alt: auto; mso-margin-bottom-alt: auto;"&gt;&lt;span lang="FR-CH" style="mso-ansi-language: FR-CH;"&gt;Façade, du toit, de sol contre extérieur; sol et mur enterrés à moins de 2 m, montant de la subvention pour un coefficient d’isolation (W/m2K) :&lt;br /&gt;- &lt;/span&gt;&lt;span lang="FR-CH" style="mso-ansi-language: FR-CH;"&gt;U ≤ 0,20: 50 fr. par m&lt;sup&gt;2&lt;br /&gt;&lt;/sup&gt;-&lt;sup&gt; &lt;/sup&gt;&lt;/span&gt;&lt;span lang="FR-CH" style="mso-ansi-language: FR-CH;"&gt;U ≤ 0,15: 80 fr. par m&lt;sup&gt;2&lt;br /&gt;&lt;/sup&gt;-&lt;sup&gt; &lt;/sup&gt;&lt;/span&gt;&lt;span lang="FR-CH" style="mso-ansi-language: FR-CH;"&gt;U ≤ 0,15 + solaire photovoltaïque: 120 fr. par m&lt;sup&gt;2&lt;/sup&gt;&lt;/span&gt;&lt;/p&gt;_x000D_
&lt;p class="MsoNormal" style="mso-margin-top-alt: auto; mso-margin-bottom-alt: auto;"&gt;&lt;span lang="FR-CH" style="mso-ansi-language: FR-CH;"&gt;Murs et sols enterrés de plus de 2 m, montant de la subvention pour un coefficient d’isolation (W/m&lt;sup&gt;2&lt;/sup&gt;K):&lt;br /&gt;&lt;/span&gt;&lt;span lang="FR-CH" style="mso-ansi-language: FR-CH;"&gt;- U ≤ 0,25: 50 fr. par m&lt;sup&gt;2&lt;br /&gt;- &lt;/sup&gt;&lt;/span&gt;&lt;span lang="FR-CH" style="mso-ansi-language: FR-CH;"&gt;U ≤ 0,15: 80 fr. par m&lt;sup&gt;2&lt;/sup&gt;&lt;/span&gt;&lt;/p&gt;</t>
  </si>
  <si>
    <t>https://www.vd.ch/prestation/02-demander-une-subvention-pour-lisolation-thermique-m01</t>
  </si>
  <si>
    <t>Pompe à chaleur air-eau ≤ 70 KW</t>
  </si>
  <si>
    <t>Cette subvention est allouée pour l’installation d’une pompe à chaleur air/eau en remplacement d’un chauffage principal au mazout, au gaz naturel ou d’un chauffage électrique fixe à résistance.&lt;br /&gt;&lt;br /&gt;&lt;strong&gt;Contribution financière:&lt;/strong&gt;&lt;br /&gt;- Habitation individuelle ou Puissance ≤ 15 kW : 5000 fr.&lt;br /&gt;- Autres affectations et Puissance &amp;gt; 15 kW : 400 fr. par kW&lt;br /&gt;&lt;br /&gt;En cas de première création d’un réseau de distribution hydraulique, une subvention spécifique doit être demandée séparément (nouvelle mesure IP-19).</t>
  </si>
  <si>
    <t>https://www.vd.ch/prestation/09-demander-une-subvention-pour-une-pompe-a-chaleur-air-eau-m05</t>
  </si>
  <si>
    <t>Chauffage à bois avec réservoir journalier (bûches ou pellets)</t>
  </si>
  <si>
    <t>Cette subvention est allouée pour l’installation d’un poêle à bois, d’un poêle à pellets avec réservoir journalier ou d’une chaudière à bûches, mais uniquement comme chauffage principal avec une distribution hydraulique, et en remplacement d’un chauffage principal au mazout, au gaz naturel ou d’un chauffage électrique fixe à résistance.&lt;br /&gt;&lt;br /&gt;&lt;strong&gt;Contribution financière&lt;/strong&gt;&lt;br /&gt;- 4500 fr.&lt;br /&gt;&lt;br /&gt;En cas de première création d’un réseau de distribution hydraulique, une subvention spécifique doit être demandée séparément (nouvelle mesure IP-19).</t>
  </si>
  <si>
    <t>https://www.vd.ch/prestation/05-demander-une-subvention-pour-linstallation-de-chauffage-a-buches-ou-de-chauffage-a-pellets-avec-reservoir-journalier-m02</t>
  </si>
  <si>
    <t>Etudes de faisabilité (énergies renouvelables et réseaux thermiques)</t>
  </si>
  <si>
    <t>Une subvention peut être octroyée pour des études de faisabilité concernant les grandes installations de production d’énergie utilisant des ressources renouvelables, les réseaux de distribution d’énergie thermique, électrique ou de transport de combustible ainsi que dans le domaine de l’efficacité énergétique, présentant un intérêt public prépondérant.&lt;br /&gt;&lt;br /&gt;&lt;strong&gt;Contribution financière:&lt;/strong&gt;&lt;br /&gt;- La subvention peut couvrir jusqu’à 60 % des coûts de l’étude de faisabilité. La subvention est plafonnée à 30'000 fr.</t>
  </si>
  <si>
    <t>https://www.vd.ch/prestation/21-2023-demander-une-subvention-pour-une-etude-de-faisabilite-installation-de-production-denergies-renouvelables-et-reseaux-de-distribution</t>
  </si>
  <si>
    <t>Bonus pour l'efficacité de l’enveloppe du bâtiment</t>
  </si>
  <si>
    <t>Ce bonus est accordé en complément à la mesure M01 ("Isolation thermique du bâtiment") en cas de rénovation globale. &lt;br /&gt;&lt;br /&gt;&lt;strong&gt;Contribution financière:&lt;/strong&gt;&lt;br /&gt;- En fonction de la variante choisie, de la classe CECB et de la surface isolée</t>
  </si>
  <si>
    <t>https://www.vd.ch/prestation/03-demander-un-bonus-pour-renovation-globale-de-lenveloppe-du-batiment-en-complement-a-la-mesure-m01-m14</t>
  </si>
  <si>
    <t>Le Programme Bâtiments soutien l'isolation thermique de la façade, du toit, des murs et du sol contre terre. Donnent droit à une contribution les bâtiments ayant obtenu l'autorisation de construire avant 2000. Les éléments de construction faisant l'objet de la demande se trouvent autour de parties de bâtiments déjà chauffées. Les nouvelles constructions, les agrandissements ainsi que les surélévations ne donnent droit à aucune contribution.&lt;br /&gt;&lt;br /&gt;&lt;strong&gt;Contribution financière&lt;/strong&gt;&lt;br /&gt;- 70 fr. par m&lt;sup&gt;2 &lt;/sup&gt;d'enveloppe isolée</t>
  </si>
  <si>
    <t>https://www.vs.ch/web/energie/m-01</t>
  </si>
  <si>
    <t>Une amélioration de l'enveloppe du bâtiment et de l'efficacité énergétique globale est promu sur la base des classes d'efficacité CECB.&lt;br /&gt;&lt;br /&gt;&lt;strong&gt;Contribution d'encouragement&lt;/strong&gt;&lt;br /&gt;- Dépend du type de bâtiment, de l'amélioration (nombre de classes CECB) et de la SRE.</t>
  </si>
  <si>
    <t>https://www.vs.ch/web/energie/m-10</t>
  </si>
  <si>
    <t>Nouvelle construction avec CECB A/A</t>
  </si>
  <si>
    <t>Les bâtiments qui atteignent la classe d'efficacité A du CECB pour l'enveloppe du bâtiment et pour l'efficacité énergétique globale sont promus.&lt;br /&gt;&lt;br /&gt;&lt;strong&gt;Contribution financière&lt;/strong&gt;&lt;br /&gt;- Habitat individuel et collectif: 150 fr. par m&lt;sup&gt;2&lt;/sup&gt; SRE&lt;br /&gt;- Autres catégories de construction: 60 fr. par m&lt;sup&gt;2&lt;/sup&gt; SRE</t>
  </si>
  <si>
    <t>https://www.vs.ch/web/energie/m%E2%80%9017</t>
  </si>
  <si>
    <t>Pauschal 500 Fr.</t>
  </si>
  <si>
    <t>https://www.fraubrunnen.ch/dienstleistungen/98956</t>
  </si>
  <si>
    <t>Wärmepumpe (Heizungsersatz)</t>
  </si>
  <si>
    <t>Installation von Wasser-Wasser- oder Erdsonden-Wärmepumpe&lt;br /&gt;&lt;br /&gt;Pauschal Fr. 2000.-&lt;br /&gt;&lt;br /&gt;Das neue Heizsystem muss eine fest installierte Heizung ersetzen. Der Wärmebedarf wird zu 100 % über die neue Heizung oder weitere erneuerbare Energien gedeckt.</t>
  </si>
  <si>
    <t>Efficacité énergétique dans les PME</t>
  </si>
  <si>
    <t>https://www.equiwatt-lausanne.ch/profil/#entreprises</t>
  </si>
  <si>
    <t>Optimisation dans le domaine de la ventilation et de la production de froid</t>
  </si>
  <si>
    <t>Ersatz von Antriebsmotoren</t>
  </si>
  <si>
    <t>Ziel des Förderprogramms Bergbahnen 2.0 ist es, den Stromverbrauch von Bergbahnen zu senken. Ersatz von Antriebsgruppen: bis zu 15% der Investitionen.</t>
  </si>
  <si>
    <t>https://www.grischconsulta.ch/energiemanagement/prokilowatt/</t>
  </si>
  <si>
    <t>Ersatz von energieintensiven Schneeerzeugern</t>
  </si>
  <si>
    <t>Ziel des Förderprogramms Bergbahnen 2.0 ist es, den Stromverbrauch von Bergbahnen zu senken. Ersatz von Schneeerzeuger: bis zu 20% der Investitionen.</t>
  </si>
  <si>
    <t>Bedarfsabhängiger Betrieb</t>
  </si>
  <si>
    <t>Ziel des Förderprogramms Bergbahnen 2.0 ist es, den Stromverbrauch von Bergbahnen zu senken. Bedarfsabhängiger Betrieb: bis zu 30% der Investitionen.</t>
  </si>
  <si>
    <t>E-Cargobikes</t>
  </si>
  <si>
    <t>Der Kauf eines E-Cargobikes wird mit bis zu 2000 Fr. unterstützt, jedoch maximal 30 % des Verkaufspreises.</t>
  </si>
  <si>
    <t>Velo-Gross-Anhänger mit integrierten Bremsen</t>
  </si>
  <si>
    <t>Der Kauf eines Velo-Gross-Anhänger mit integrierten Bremsen wird mit bis zu 2000 Fr. unterstützt, jedoch maximal 30 % des Verkaufspreises.</t>
  </si>
  <si>
    <t>Energie Wasser Bern und der Ökofonds für erneuerbare Energien unterstützen den Bau einer Photovoltaikanlage mit einem einmaligen Betrag.</t>
  </si>
  <si>
    <t>https://www.ewb.ch/angebot/foerderprogramme/foerderprogramm-pv-anlagen.php</t>
  </si>
  <si>
    <t>Anschluss an ein Nah- oder Fernwärmenetz</t>
  </si>
  <si>
    <t>Es werden Anschlüsse an ein Nah- oder Fernwärmenetz in der Stadt Bern gefördert, die den Anteil erneuerbarer Energie, entsprechend dem Richtplan Energie der Stadt Bern, von mindestens 70 Prozent anstreben.&lt;br /&gt;&lt;br /&gt;Melden Sie sich bei der Energieberatung Stadt Bern (&lt;a href="http://www.energieberatungstadtbern.ch" target="_blank" rel="noopener"&gt;www.energieberatungstadtbern.ch&lt;/a&gt;) für eine Beratung.</t>
  </si>
  <si>
    <t>https://www.ewb.ch/angebot/foerderprogramme/foerderprogramm-nah-und-fernwaerme.php</t>
  </si>
  <si>
    <t>Efficience+</t>
  </si>
  <si>
    <t>Notre programme EFFICIENCE+ fournit à nos entreprises participantes un appui financier pour la mise en oeuvre de mesures d’amélioration qui concernent l’électricité. Il suffit à nos participants de proposer des mesures via notre outil de check-up. Les appuis financiers prévus vont de 500 à 90 000 francs par mesure.&lt;br /&gt;&lt;br /&gt;EFFICIENCE+ est un programme de ProKilowatt.</t>
  </si>
  <si>
    <t>https://enaw.ch/fr/angebot/efficience-plus/</t>
  </si>
  <si>
    <t>ProELEVA: Des ascenseurs à haute efficacité énergétique</t>
  </si>
  <si>
    <t>Les mesures encouragées portent sur les installations existantes et de remplacement. Le client final bénéficie de la totalité du montant de la subvention. ProEleva subventionne les mesures suivantes: Équipement et modernisation de installations d'ascenseurs avec des récupérateurs, Réduction de la consommation en mode veille et Installation de nouvelles technologies de propulsion plus efficaces.&lt;br /&gt;&lt;br /&gt;ProEleva est un programme de ProKilowatt.</t>
  </si>
  <si>
    <t>https://proeleva.enerprice.ch/home-fr/</t>
  </si>
  <si>
    <t>ProELA: Systèmes de ventilation à haute efficacité énergétique</t>
  </si>
  <si>
    <t>Le programme de promotion ProELA encourage les investissements dans des installations de ventilation et d'aspiration efficaces sur le plan énergétique. Les mesures prises sur les installations de ventilation existantes ainsi que leur remplacement sont encouragés.&lt;br /&gt;&lt;br /&gt;ProELA est un programme de ProKilowatt.</t>
  </si>
  <si>
    <t>https://proela.enerprice.ch/home-fr/</t>
  </si>
  <si>
    <t>ProKIBE: Mesures d'efficacité énergétique dans l'industrie du bâtiment</t>
  </si>
  <si>
    <t>Le programme de financement ProKiBe soutient les investissements dans des installations efficaces sur le plan énergétique dans les gravières, les centrales de revêtement et les centrales à béton. Sept mesures sont subventionnées : 1. remplacement du moteur/entraînement électrique 2. remplacement des ventilateurs 3. remplacement des pompes 4. remplacement des ventilateurs de chauffage par des appareils split (pompes à chaleur) 5. réduction/remplacement des ampoules 6. remplacement des compresseurs 7. installation de convertisseurs de fréquence</t>
  </si>
  <si>
    <t>https://prokibe.enerprice.ch/home-fr/</t>
  </si>
  <si>
    <t>ProFrio: Installations frigorifiques à haute efficacité énergétique</t>
  </si>
  <si>
    <t>ProFrio est un programme d'encouragement pour la construction d'installations frigorifiques économes en énergie et pour l'optimisation d'installations frigorifiques et de systèmes de climatisation à partir de 5 kW (froid). Ce programme d'encouragement s'adresse aux propriétaires et exploitants d'installations frigorifiques et de systèmes de climatisation, ainsi qu'aux entreprises et concepteurs spécialisés dans le secteur du froid.&lt;br /&gt;&lt;br /&gt;ProFRIO est un programme de ProKilowatt.</t>
  </si>
  <si>
    <t>https://profrio.enerprice.ch/home-fr/</t>
  </si>
  <si>
    <t>Bergbahnen 3.0: Effizienzmassnahmen bei Bergbahnen</t>
  </si>
  <si>
    <t>Ziel ist es, den Stromverbrauch von Bergbahnen zu senken. Bei ungenügenden finanziellen Ressourcen müssen Investitionen in energietechnische Optimierungen und für den Ersatz von älteren Geräten oftmals aufgeschoben werden. Das Förderprogramm ermöglicht den frühzeitigeren Ersatz und damit frühzeitig laufende Kosteneinsparungen im Betrieb.&lt;br /&gt;&lt;br /&gt;Das Programm unterstützt folgende 4 Massnahmen:&lt;br /&gt;- Der vorzeitige Ersatz von Antriebsmotoren&lt;br /&gt;- Der vorzeitige Ersatz von energieintensiven Schneeerzeuger&lt;br /&gt;- Die Einführung eines bedarfsabhängigen Betriebes von Umlaufbahnen&lt;br /&gt;- Die Regelung und Steuerung von Schachtheizungen&lt;br /&gt;&lt;br /&gt;Bergbahnen 3.0 ist ein Förderprogramm von ProKilowatt.</t>
  </si>
  <si>
    <t>https://bergbahnen-sparen-strom.ch/</t>
  </si>
  <si>
    <t>ShopWatt: Strom sparen im Detailhandel</t>
  </si>
  <si>
    <t>Le programme de promotion ShopWatt aide les entreprises de commerce de détail et les magasins à économiser de l'électricité. Lors du remplacement d'anciens appareils et installations, vous bénéficiez de subventions importantes. L'éclairage et les installations frigorifiques font partie des mesures pouvant être subventionnées.&lt;br /&gt;&lt;br /&gt;ShopWatt est un programme de ProKilowatt.</t>
  </si>
  <si>
    <t>https://www.ebp.global/ch-en/projects/shopwatt</t>
  </si>
  <si>
    <t>Energiesprechstunde (kostenlose Kurzberatung)</t>
  </si>
  <si>
    <t>Alle Fragen zur Nutzung erneuerbarer Energien, zum Energiesparen im Alltag oder zur Beschaffung sparsamer Geräte, Fahrzeuge, Leuchtmittel und Haushaltselektronik werden im Rahmen der Energiesprechstunde beantwortet. Diese Kurzberatung dauert maximal eine Stunde. Die Kosten der Beratung übernimmt die Gemeinde Thalwil einmalig je Gesuchsteller oder Liegenschaft.</t>
  </si>
  <si>
    <t>Wirtschaft unter Strom</t>
  </si>
  <si>
    <t>Der Gewerbeverband hat zusammen mit dem Amt für Umwelt und Energie Basel-Stadt und IWB ein Förderprogramm für Elektrofahrzeuge für Basler Unternehmen lanciert. Um die Vorbehalte gegenüber der E-Mobilität abzubauen und den Absatz tatsächlich zu steigern, werden verfügbare Fahrzeugmodelle über eine Online-Plattform für eine Woche kostenlos zur Verfügung gestellt. Interessierte Unternehmen können ihr favorisiertes Modell für eine bestimmte Woche ohne Aufwand buchen. Die jeweilige Autovertretung bringt das Fahrzeug im Unternehmen vorbei und holt es da auch wieder ab. Anschliessend erhalten die Unternehmen beim Kauf jedes betrieblich genutzten Elektrofahrzeuges bis zu 7000 CHF Förderung.</t>
  </si>
  <si>
    <t>https://gewerbe-basel.ch/wirtschaft-unter-strom/</t>
  </si>
  <si>
    <t>Vorzeitiger Ersatz von Öl- und Gasheizungen</t>
  </si>
  <si>
    <t>Legen Sie jetzt vorzeitig Ihre Öl- oder Gasheizung still, und schliessen Sie Ihr Gebäude an einen klimafreundlichen Energieverbund an, wie z. B die Fernwärme oder See-Energie Luzern. Damit sparen Sie Unterhalt und Wartung, tragen zur 2000 Watt-Gesellschaft bei und profitieren erst noch von Förderbeiträgen der Stadt.</t>
  </si>
  <si>
    <t>https://www.stadtluzern.ch/dienstleistungeninformation/20792</t>
  </si>
  <si>
    <t>Für Personen mit Wohnsitz in Stäfa, besteht die Möglichkeit, eine kostenlosen Energieberatung vor Ort im Umfang von bis zu maximal 2 Stunden in Anspruch zu nehmen.</t>
  </si>
  <si>
    <t>https://www.gws.ch/energieberatungen/#energief%C3%B6rderung</t>
  </si>
  <si>
    <t>Es werden nur Erdsonden und Grundwasser-Wärmepumpen gefördert.</t>
  </si>
  <si>
    <t>KMU-Energieberatung nach PEIK</t>
  </si>
  <si>
    <t>Beratungen aus dem PEIK-Programm von Energie Schweiz werden durch das Förderprogramm Energie Winterthur mit einem Kostenanteil von 1000 Franken gefördert.</t>
  </si>
  <si>
    <t>https://stadtwerk.winterthur.ch/Kundendienst/Dienstleistungen/Energieberatung/Professionelle-Beratung-fuer-KMU-mit-PEIK</t>
  </si>
  <si>
    <t>Certification selon SNBS (standard Construction durable suisse)</t>
  </si>
  <si>
    <t>Bénéficient de subventions les certifications de SNBS à partir du 01.01.2019.&lt;br /&gt;&lt;br /&gt;&lt;strong&gt;Contribution financière:&lt;/strong&gt;&lt;br /&gt;- 100 % des frais de certification</t>
  </si>
  <si>
    <t>GEAK-Plus</t>
  </si>
  <si>
    <t>GEAK-Plus: Zusätzlich 50% des Förderbeitrags des Kt. ZH&lt;br /&gt;&lt;br /&gt;Umfassendes Energiecoaching bei der Massnahmenplanung/-projektierung*:&lt;br /&gt;- Für Private: kostenlos bis maximal 1500 Fr. pro Coaching&lt;br /&gt;- Für KMU/Unternehmen: kostenlos bis maximal 1500 Fr. pro Coaching&lt;br /&gt;&lt;br /&gt;* Die Förderung des Coachings zielt insbesondere auf Beratungen zu Massnahmen/Anlagen/Projekte, die nicht Teil des GEAK-Plus sind.</t>
  </si>
  <si>
    <t>Remplacement chauffage électrique, mazout ou gaz par pompe à chaleur (PAC)</t>
  </si>
  <si>
    <t>Le remplacement d'un chauffage électrique, au mazout ou au gaz par une pompe à chaleur est encouragé.&lt;strong&gt;&lt;br /&gt;&lt;br /&gt;Contribution financière:&lt;br /&gt;&lt;/strong&gt;&lt;br /&gt;Remplacement par une pompe à chaleur air-eau: &lt;br /&gt;- Nouveau chauffage ≤ 15 kW: 6000 fr. &lt;br /&gt;- Nouveau chauffage &amp;gt; 15 kW: 4500 fr. + 100 fr./kW&lt;br /&gt;- Nouveau chauffage &amp;gt; 70 kW: 3200 fr. + 120 fr./kW&lt;br /&gt;&lt;br /&gt;Remplacement par une pompe à chaleur sol-eau ou eau-eau: &lt;br /&gt;- Nouveau chauffage ≤ 15 kW: 10'000 fr. &lt;br /&gt;- Nouveau chauffage &amp;gt; 15 kW: 4800 fr. + 360 fr./kW&lt;br /&gt;- Nouveau chauffage &amp;gt; 500 kW: 84'800 fr. + 200 fr./kW&lt;br /&gt;&lt;br /&gt;- Contribution supplémentaire pour la première installation d'un système de distribution de chaleur: SRE &amp;lt; 250 m&lt;sup&gt;2&lt;/sup&gt;: 15'000 fr. / SRE ≥ 250 m&lt;sup&gt;2&lt;/sup&gt;: 60 fr. m&lt;sup&gt;2&lt;/sup&gt;/SRE</t>
  </si>
  <si>
    <t>ProIMMO: Économies d'énergie dans l'immobilier</t>
  </si>
  <si>
    <t>Ce programme s'adresse aux propriétaires ou exploitants de biens immobiliers. Les mesures pour les économies d'énergie dans les propriétés existantes sont encouragées.&lt;br /&gt;&lt;br /&gt;ProImmo est un programme de ProKilowatt.</t>
  </si>
  <si>
    <t>https://proimmo.enerprice.ch/home-fr/</t>
  </si>
  <si>
    <t>SportWatt: Mesures d'économie d'électricité dans les installations sportives intérieures</t>
  </si>
  <si>
    <t>Le programme de promotion SportWatt aide les centres sportifs en salle à économiser de l'électricité. Lors du remplacement d'anciens appareils et installations, vous bénéficiez de subventions importantes. Parmi les mesures éligibles figurent l'éclairage, les installations de ventilation et de refroidissement et les installations de pompage.&lt;br /&gt;&lt;br /&gt;SportWatt est un programme de ProKilowatt.</t>
  </si>
  <si>
    <t>https://www.ebp.global/ch-en/projects/sportwatt</t>
  </si>
  <si>
    <t>Ausbaukonzept Ladeinfrastruktur</t>
  </si>
  <si>
    <t>Förderobergrenze: Maximal 50 % der Kosten zur Konzepterstellung und maximal 2000 Fr. pro Gesuch.</t>
  </si>
  <si>
    <t>Das Gebäudeprogramm fördert die Wärmedämmung von Fassade, Dach, Wand und Boden gegen Erdreich und einen Bonus für das Dach bei gleichzeitiger Installation einer Photovoltaikanlage.&lt;br /&gt;&lt;br /&gt;&lt;strong&gt;Förderbeitrag&lt;/strong&gt;&lt;br /&gt;- 60 Fr. pro m&lt;sup&gt;2&lt;/sup&gt; Aussenwand&lt;br /&gt;- 40 Fr. pro m&lt;sup&gt;2&lt;/sup&gt; Dach sowie Wand und Boden gegen Erdreich&lt;strong&gt;&lt;br /&gt;&lt;/strong&gt;</t>
  </si>
  <si>
    <t>Gesamtmodernisierung: Bonus Gebäudehülleneffizienz</t>
  </si>
  <si>
    <t>Das Gebäudeprogramm gewährt bei Gesamtmodernisierungen unter gewissen Bedingungen für eine Verbesserung der Gebäudehülleneffizienz oder der Gesamtenergieeffizienz des Gebäudes einen zusätzlichen Förderbeitrag (Bonus).&lt;br /&gt;&lt;br /&gt;&lt;strong&gt;Förderbeitrag&lt;/strong&gt;&lt;br /&gt;- 60 Fr. pro m&lt;sup&gt;2&lt;/sup&gt;</t>
  </si>
  <si>
    <t>Ersatz von Öl- und Gasheizungen durch Luft/Wasser-Wärmepumpe</t>
  </si>
  <si>
    <t>Gesuche können ab sofort eingereicht, der Förderbeitrag aber frühestens nach dem 1. Mai 2020 gesprochen werden.</t>
  </si>
  <si>
    <t>Ersatz von Öl-, Gas- und Elektrodirektheizungen</t>
  </si>
  <si>
    <t>Die Gemeinde Muri bei Bern fördert den Ersatz von Öl-, Gas- und Elektrodirektheizungen durch Heizsysteme mit erneuerbaren Energien oder durch einen Fernwärmeanschluss.</t>
  </si>
  <si>
    <t>https://www.muri-guemligen.ch/wohnen-arbeiten/klima-energie/foerderprogramm-klima-energie.html/118</t>
  </si>
  <si>
    <t>Ladeinfrastruktur für die Elektromobilität</t>
  </si>
  <si>
    <t>Der Ökologiefonds leistet einen Beitrag von maximal 500 Franken pro Standort an die Lastgangmessung von Mehrfamilienhäusern, wenn die Ladeinfrastruktur danach auch umgesetzt wurde.</t>
  </si>
  <si>
    <t>Energieeffiziente Haushaltgeräte</t>
  </si>
  <si>
    <t>Gefördert werden energieeffizente Geräte mit dem Topten Label (bis zu 30% des Kaufpreises).&lt;br /&gt;&lt;br /&gt;Fördergeldrechner: &lt;a href="https://rechner.energie-foerderung.ch/zs" target="_blank" rel="noopener"&gt;energie-foerderung.ch&lt;/a&gt;&lt;br /&gt;&lt;a href="https://www.stadt-zuerich.ch/portal/de/index/politik_u_recht/amtliche_sammlung/inhaltsverzeichnis/7/732/361-ausfuehrungsbestimmungen-zur-verordnung-ueber-gemeinwirtscha.html" target="_blank" rel="noopener"&gt;Bestimmungen&lt;/a&gt;</t>
  </si>
  <si>
    <t>https://www.topten.ch/private/page/ewz-gr</t>
  </si>
  <si>
    <t>Förderbeiträge für energieeffiziente Topten-Geräte</t>
  </si>
  <si>
    <t>Alle aus der Stadt Zürich und dem Kanton Graubünden können Förderbeiträge für Geräte mit dem Topten-Label erhalten, insbesondere für Kühl- und Gefriergeräte, Induktions-Kochfelder, Geschirrspüler, Waschmaschinen, Tumbler, Komfort-Ventilatoren, TVs und Wärmepumpen-Boiler.</t>
  </si>
  <si>
    <t>https://www.topten.ch/private/page/ewz</t>
  </si>
  <si>
    <t>Die Gemeinde Turbenthal unterstützt die Erstellung eines GEAK mit einem Betrag zwischen 300.- + 800.- Franken.</t>
  </si>
  <si>
    <t>https://www.energiestadt-turbenthal.ch/unterstuetzung</t>
  </si>
  <si>
    <t>Energetische Sanierung der Gebäudehülle</t>
  </si>
  <si>
    <t>Die energetische Sanierung der Gebäudehülle wird in Ergänzung des nationalen Gebäudeprogrammes finanziell unterstützt, wenn mindestens zwei Elemente der Hülle modernisiert werden. Der Beitrag beläuft sich bei EFH auf 50% des Beitrages des nationalen Gebäudesanierungsprogrammes, maximal 5000.- Fr. und bei MFH und Gewerbebauten auf 35% des nationalen Gebäudesanierungsprogrammes, maximal 15'000.- Fr.</t>
  </si>
  <si>
    <t>Der Einbau von Warmwasserkollektoren wird finanziell unterstützt: EFH 1000.- Fr., MFH ab 3 Wohnungen 2000.- Fr.</t>
  </si>
  <si>
    <t>https://www.energiestadt-turbenthal.ch/unterstuetzung/</t>
  </si>
  <si>
    <t>Die Erstellung von Photovoltaikanlagen wird mit einem finanziellen Beitrag unterstützt, unabhängig davon, ob die produzierte Energie selber verwendet oder ins Netz eingespiesen wird.</t>
  </si>
  <si>
    <t>Förderbeitrag: &lt;br /&gt;- bis 40 kW: pauschal 4000 Fr.&lt;br /&gt;- ab 40 kW: 100 Fr. pro kW</t>
  </si>
  <si>
    <t>Anschluss an Wärmeverbünde</t>
  </si>
  <si>
    <t>Unterstützt werden Anschlüsse an Wärmenetze, bei denen die Wärme zu mindestens 80% aus erneuerbaren Energien (Holz, Biogas, Erd-/Umweltwärme) stammt. Wärmepumpen müssen eine Jahresarbeitszahl (JAZ) von mindestens 4 erreichen.</t>
  </si>
  <si>
    <t>Ersatz einer Öl-, Gas- oder Elektroheizung durch eine Luft-Wasser-Wärmepumpe.&lt;br /&gt;&lt;br /&gt;&lt;strong&gt;Förderbeitrag:&lt;/strong&gt;&lt;br /&gt;- Bis 15 kW&lt;sub&gt;th&lt;/sub&gt;: 2900 Fr. + 350 Fr. (WPSM-Zertifikat)&lt;br /&gt;- Ab 15 kW&lt;sub&gt;th&lt;/sub&gt;: 2900 Fr. + 160 Fr. pro zusätzlicher kW&lt;sub&gt;th&lt;/sub&gt; + 350 Fr. (WPSM-Zertifikat)</t>
  </si>
  <si>
    <t>Sole-Wasser- und Wasser-Wasser-Wärmepumpe</t>
  </si>
  <si>
    <t>Ersatz einer Öl-, Gas- oder Elektroheizung durch eine Sole-Wasser- oder Wasser-Wasser-Wärmepumpe.&lt;br /&gt;&lt;br /&gt;&lt;strong&gt;Förderbeitrag:&lt;/strong&gt;&lt;br /&gt;- bis 15 kW&lt;sub&gt;th&lt;/sub&gt;: 6800 Fr. + 350 Fr. (WPSM-Zertifikat)&lt;br /&gt;- mehr als 15 kW&lt;sub&gt;th&lt;/sub&gt;: 6800 Fr. + 420 Fr. pro zusätzlicher kW&lt;sub&gt;th&lt;/sub&gt; + 350 Fr. (WPSM-Zertifikat)&lt;br /&gt;- Zusatzbeitrag Erdsondenregeneration oder Verzicht auf Frostschutzmittel bis 70 kW: 3000 Fr. plus 100 Fr. pro zusätzlicher kW&lt;sub&gt;th&lt;br /&gt;&lt;/sub&gt;</t>
  </si>
  <si>
    <t>Ersatz einer Öl-, Gas- oder Elektroheizung durch den Anschluss an ein Wärmenetz.&lt;br /&gt;&lt;br /&gt;&lt;strong&gt;Förderbeitrag:&lt;/strong&gt;&lt;br /&gt;- Bis 15 kW&lt;sub&gt;th&lt;/sub&gt;: 5200 Fr.&lt;br /&gt;- Mehr als 15 kW&lt;sub&gt;th&lt;/sub&gt;: 5200 Fr. + 100 Fr. pro zusätzlicher kW&lt;sub&gt;th&lt;/sub&gt;</t>
  </si>
  <si>
    <t>Installation von Lademöglichkeiten in Tiefgaragen und/oder Garagenboxen</t>
  </si>
  <si>
    <t>https://rorschacherberg.ch/umwelt-und-mobilitaet/energiefoerdermassnahmen/</t>
  </si>
  <si>
    <t>http://www.rorschacherberg.ch/de/mobilitaetumweltusicherheit/mobilitaetundumwelt/energiestadt/</t>
  </si>
  <si>
    <t>Chauffages au bois (pellets, copeaux, bûches – autres sur demande)</t>
  </si>
  <si>
    <t>Vous recevez une « prime climat » pour le remplacement d'un système de chauffage fossile (mazout ou gaz) par un système de chauffage au bois. Le soutien financier s'élève à 18 centimes par kWh ou à 1,80 francs par litre de mazout ou m&lt;sup&gt;3&lt;/sup&gt; de gaz naturel économisé. Cela correspond à environ 360 francs par kW de puissance du nouveau chauffage - sans limite supérieure. Le financement est disponible pour les systèmes de chauffage dans les immeubles collectifs ainsi que dans les bâtiments administratifs, industriels, commerciaux et commerciaux sont éligibles à cette aide. Outre le chauffage des locaux, la production de chaleur industrielle renouvelable est également éligible.</t>
  </si>
  <si>
    <t>https://foerderplattform.ch/fr/soutien/primeclimat/</t>
  </si>
  <si>
    <t>Visite Conseil Villa</t>
  </si>
  <si>
    <t>Diagnostic et accompagnement. Uniquement pour les villas (bâtiment entièrement d’habitation à un ou deux logements). Les prestataires de ces diagnostics sont agréés par SIG-éco21. Contact: eco21.visite-villa@sig-ge.ch</t>
  </si>
  <si>
    <t>https://www.ge-energie.ch/visite-conseil-villa</t>
  </si>
  <si>
    <t>Assistance à maîtrise d'ouvrage énergie</t>
  </si>
  <si>
    <t>Recours à un accompagnement avec un AMOen pour toutes les étapes de la rénovation de l’enveloppe du bâtiment.&lt;br /&gt;&lt;br /&gt;&lt;strong&gt;Contribution financière&lt;/strong&gt;&lt;br /&gt;- Dépend de la SRE</t>
  </si>
  <si>
    <t>https://www.ge-energie.ch/index.php/coaching-energetique-assistance-maitrise-douvrage-energie-amoen-projet</t>
  </si>
  <si>
    <t>Assistance à maîtrise d'ouvrage énergie – Bonus aux résultats</t>
  </si>
  <si>
    <t>Recours à un assistant à maîtrise d’ouvrage Energie avec bonus lié à l’atteinte des objectifs de performance énergétique.&lt;br /&gt;&lt;br /&gt;&lt;strong&gt;Contribution financière&lt;/strong&gt;&lt;br /&gt;- 10 fr. par m&lt;sup&gt;2&lt;/sup&gt; SRE</t>
  </si>
  <si>
    <t>https://www.ge-energie.ch/optimisations-energetiques-de-lexploitation-assistance-maitrise-douvrage-energie-bonus-amoen</t>
  </si>
  <si>
    <t>Visite expertise pour entreprises</t>
  </si>
  <si>
    <t>Réalisation d’un audit multifluide (énergie électrique, énergie thermique, eau) et identification des actions de réduction de la consommation d’énergie, de CO&lt;sub&gt;2&lt;/sub&gt; et d’eau</t>
  </si>
  <si>
    <t>https://www.ge-energie.ch/visite-expertise-pour-entreprises</t>
  </si>
  <si>
    <t>Suivi énergétique PME</t>
  </si>
  <si>
    <t>Suivi énergétique par un Gestionnaire énergie délégué (GED). L’incitation financière est réservée aux clients fournis en électricité par SIG et qui ont signé un Contrat de participation Optiwatt SIG-éco21 (contrat sous ww2.sig-ge.ch). Contact: eco21.pme@sig-ge.ch</t>
  </si>
  <si>
    <t>https://www.ge-energie.ch/suivi-energetique-pme</t>
  </si>
  <si>
    <t>Diminuez votre consommation d’électricité en rénovant l’éclairage des parties communes des immeubles.</t>
  </si>
  <si>
    <t>https://www.ge-energie.ch/eclairage</t>
  </si>
  <si>
    <t>Circulateurs</t>
  </si>
  <si>
    <t>Seules les pompes de circulation pour le chauffage et l’eau chaude sanitaire peuvent bénéficier de cette incitation financière. Contact: eco21.circulateur@sig-ge.ch</t>
  </si>
  <si>
    <t>https://www.ge-energie.ch/circulateurs</t>
  </si>
  <si>
    <t>Ventilation</t>
  </si>
  <si>
    <t>Seuls les projets calculés à l’aide de l’outil en ligne (https://cvc.eco21.ch) et validés par le comité OCEN-SIG peuvent bénéficier de l’incitation financière. Contact: eco21.ventilation@sig-ge.ch&lt;br /&gt;&lt;br /&gt;C'est un programme de ProKilowatt.</t>
  </si>
  <si>
    <t>https://www.ge-energie.ch/ventilation</t>
  </si>
  <si>
    <t>Formation</t>
  </si>
  <si>
    <t>Ces subventions sont destinées aux entités formatrices ou aux personnes en formation.&lt;br /&gt;&lt;br /&gt;&lt;strong&gt;Contribution financière&lt;/strong&gt;&lt;br /&gt;- Formations courtes: 300 fr. par journée de cours&lt;br /&gt;- Formations certifiantes de type CAS/MAS: 25 % du montant de l'écolage&lt;br /&gt;- Modules de formation constitutifs d'un CAS/MAS: 25 % du montant de l'écolage</t>
  </si>
  <si>
    <t>https://www.ge-energie.ch/formation</t>
  </si>
  <si>
    <t>Ladeinfrastruktur</t>
  </si>
  <si>
    <t>Energie Wasser Bern und der Ökofonds der Stadt Bern unterstützen Sie mit einem einmaligen Beitrag, wenn Sie eine Ladeinfrastruktur installieren, die über Konnektivität verfügt. Gültig in der Stadt Bern.</t>
  </si>
  <si>
    <t xml:space="preserve">https://www.ewb.ch/angebot/foerderprogramme/foerderprogramm-ladeinfrastruktur.php </t>
  </si>
  <si>
    <t>Übergangslösung Heizungsersatz</t>
  </si>
  <si>
    <t>Energie Wasser Bern und der Ökofonds der Stadt Bern unterstützen Übergangslösungen, wenn eine Heizungsanlage ersetzt werden muss, bevor das Nah- oder Fernwärmenetz zur Verfügung steht. Gültig in der Stadt Bern.</t>
  </si>
  <si>
    <t>https://www.ewb.ch/angebot/foerderprogramme/foerderprogramm-heizungsersatz.php</t>
  </si>
  <si>
    <t>Remplacez votre chauffage à énergie fossile ou électrique par une pompe à chaleur et bénéficiez de 4000 fr.</t>
  </si>
  <si>
    <t>https://sid.delemont.ch/sid/SID/Subventions.html</t>
  </si>
  <si>
    <t>Installation bois-énergie</t>
  </si>
  <si>
    <t>Remplacez votre chauffage à énergie fossile ou électrique par une installation bois-énergie et bénéficiez de 4000 fr.</t>
  </si>
  <si>
    <t>Installez des capteurs solaires thermiques et bénéficiez de 4000 fr.</t>
  </si>
  <si>
    <t>Effectuez un CECB Plus pour votre bâtiment et bénéficiez de 50 % de subvention, max. 1000 fr.</t>
  </si>
  <si>
    <t>Vélos électriques</t>
  </si>
  <si>
    <t>Acquérez un vélo électrique et bénéficiez de 15 % de subvention, max 200 fr. ou un vélo cargo électrique et bénéficiez de 15 % de subvention, max 500 fr.</t>
  </si>
  <si>
    <t>Prêts pour projets d'economise énergétique</t>
  </si>
  <si>
    <t>Si l'entreprise ne détient pas le financement nécessaire, équiwatt propose un prêt à 0% d’intérêt, remboursé grâce aux économies d’énergie.  Le projet doit coûter entre fr.10'000 et fr. 100'000. Le retour sur investissement grâce aux économies doit se faire en moins de 8 ans et ceci doit être mesuré par un expert certifié.</t>
  </si>
  <si>
    <t>https://www.equiwatt-lausanne.ch/pret-taux-0/</t>
  </si>
  <si>
    <t>Der Verein energienetz-zug bietet im Auftrag von Kanton und Gemeinden unabhängige Energieberatung an.</t>
  </si>
  <si>
    <t>Optimisation système de chauffage</t>
  </si>
  <si>
    <t>Subvention pour des prestations d’optimisation des systèmes de chauffage des bâtiments d’habitat collectif réalisées par des prestataires agréées par la Ville (équilibrage hydraulique, courbe de charge, température départ/retour, etc.).</t>
  </si>
  <si>
    <t>https://www.ville-fribourg.ch/energie/subventions-energie</t>
  </si>
  <si>
    <t>Installation solaire photovoltaïque</t>
  </si>
  <si>
    <t>Montant: 25 % du montant de la subvention fédérale, maximum CHF 4000</t>
  </si>
  <si>
    <t>Impuls Mobilität</t>
  </si>
  <si>
    <t>Kostenlose Basisberatung</t>
  </si>
  <si>
    <t>https://www.zh.ch/de/mobilitaet/mobilitaetsberatung.html#main_accordion_1288600423</t>
  </si>
  <si>
    <t>Motorfahrzeugsteuer</t>
  </si>
  <si>
    <t>Für besonders umweltfreundliche Motorfahrzeuge sind Ermässigungen möglich. &lt;br /&gt;Die Motorfahrzeugsteuern für Personenwagen werden nach dem Gesamtgewicht bemessen.</t>
  </si>
  <si>
    <t>https://www.ai.ch/themen/mobilitaet-und-verkehr/strassenverkehr/gebuehrentarif-verordnung</t>
  </si>
  <si>
    <t>Fahrzeuge mit ausschliesslich elektrischem Batterieantrieb profitieren ab der 1. Inverkehrsetzung von einer Vergünstigung von 60 % für das laufende und die drei folgenden Jahre.</t>
  </si>
  <si>
    <t>https://www.svsa.sid.be.ch/de/start/fahrzeuge/steuern-gebuehren/fahrzeugsteuer.html#textimage_1928217077</t>
  </si>
  <si>
    <t>Für Personenwagen wird je nach CO&lt;sub&gt;2&lt;/sub&gt;-Ausstoss eine befristete Steuerermässigung für das Jahr der 1. Inverkehrsetzung und die drei folgenden Kalenderjahre gewährt. Die Steuerermässigungen betragen pro Steuerjahr bis zu 300 Fr.</t>
  </si>
  <si>
    <t>https://bl.clex.ch/app/de/texts_of_law/341/versions/2737/art/9</t>
  </si>
  <si>
    <t>Wer leichte und schadstoffarme Personenwagen verwendet, wird steuerlich begünstigt. &lt;br /&gt;Rein elektrisch betriebene Personenwagen werden nur nach dem Leergewicht besteuert und erhalten einen zusätzlichen Steuerrabatt von 50 %, solange der Fahrzeugbestand in Basel-Stadt unter 5 % liegt. Der Rabatt wird während maximal 10 Jahren gewährt.</t>
  </si>
  <si>
    <t>https://www.polizei.bs.ch/verkehr/motorfahrzeugkontrolle/fahrzeuge/steuern/steuerrechner.html</t>
  </si>
  <si>
    <t>Impôt sur les véhicules</t>
  </si>
  <si>
    <t>Les véhicules dont l'étiquette Energie correspond à la catégorie A bénéficient d'une réduction de 30 %. L'étiquette Energie déterminante est celle qui est attribuée par les instances fédérales pour l'année fiscale concernée.&lt;br /&gt;Les véhicules mus exclusivement par l'énergie électrique ou l'hydrogène bénéficient d'une réduction de 30 % et les véhicules mus par une motorisation hybride, à gaz ou assimilable bénéficient d'une réduction de 15 %.&lt;br /&gt;Les deux réductions sont cumulables (60 % maximum).</t>
  </si>
  <si>
    <t>https://www.ocn.ch/fr/conduire/vehicules/impots-sur-les-vehicules</t>
  </si>
  <si>
    <t>Dès le 01.01.2025, les voitures de livraison, camions, motos 100 % électrique ou à hydrogène bénéficient d'un bonus de 50 %.</t>
  </si>
  <si>
    <t>https://www.ge.ch/impot-vehicules</t>
  </si>
  <si>
    <t>Personenwagen der Energieeffizienzkategorie A erhalten 100 % Ermässigung, solche der Kategorie B&lt;br /&gt;75 % (1. Inverkehrsetzung ab 2014, für das laufende Jahr und zusätzliche 2 Kalenderjahre).&lt;br /&gt;Fahrzeuge mit ausschliesslich elektrischem Antrieb sind von der Verkehrssteuer befreit.</t>
  </si>
  <si>
    <t>https://www.gl.ch/verwaltung/sicherheit-und-justiz/justiz/strassenverkehrsamt/steuern-gebuehren/hoehe-und-berechnung-der-allgemeinen-motorfahrzeugsteuer.html/440</t>
  </si>
  <si>
    <t>Elektrofahrzeuge erhalten eine Ermässigung von 80 %. Emissionsarme Personenwagen mit Verbrennungsmotor werden nach dem Hubraum bemessen und je nach CO&lt;sub&gt;2&lt;/sub&gt;-Ausstoss um 60 % bis 80 % ermässigt.</t>
  </si>
  <si>
    <t>https://www.gr.ch/DE/institutionen/verwaltung/djsg/stva/ueberuns/Seiten/Rabatt-auf-emissionsarme-Motorfahrzeuge.aspx</t>
  </si>
  <si>
    <t>50 % de réduction pour les véhicules "propres" tels que les voitures électriques, à gaz naturel ou à hydrogène.</t>
  </si>
  <si>
    <t>https://www.jura.ch/fr/Autorites/Administration/DFI/OVJ/Taxe-et-emoluments/Taxe-et-emoluments.html</t>
  </si>
  <si>
    <t>Les voitures de tourisme neuchâteloises sont taxées selon leurs émissions de CO&lt;sub&gt;2&lt;/sub&gt; et leur âge. Elles sont taxées selon la formule suivante:&lt;br /&gt;&lt;br /&gt;250 (part fixe)&lt;br /&gt;+ [émissions CO&lt;sub&gt;2&lt;/sub&gt; (g/km) x 4]&lt;br /&gt;- [âge du véhicule au 01.01 de l'année en cours (année) x 15]&lt;br /&gt;- 291 (facteur de correction)&lt;br /&gt;= Taxe annuelle (CHF)&lt;br /&gt;&lt;br /&gt;Le montant minimal de taxe annuelle correspond à la part fixe, soit fr. 250 (même si le résultat du calcul est inférieur).</t>
  </si>
  <si>
    <t>https://www.scan-ne.ch/vehicule/taxe/calculer-votre-taxe-automobile-et-remorque/</t>
  </si>
  <si>
    <t>Die Verkehrssteuer wird wie folgt ermässigt:&lt;br /&gt;- auf 50 Prozent der Normalsteuer für Fahrzeuge mit Hybridantrieb, Anhänger und gewerbliche Motorkarren;&lt;br /&gt;- auf 25 Prozent der Normalsteuer für Fahrzeuge mit Erdgas, Biogas, oder einem Alternativantrieb (Elektroantrieb);&lt;br /&gt;- auf 15 Prozent der Normalsteuer für Arbeitsmaschinen, Arbeitskarren, Motoreinachser, Sachentransport-Ausnahmeanhänger und Transportanhängern mit aufgebautem Nutzraum;&lt;br /&gt;- auf 10 Prozent der Normalsteuer für Arbeitsanhänger sowie für landwirtschaftliche Motorfahrzeuge und Anhänger.</t>
  </si>
  <si>
    <t>https://www.vsz.ch/strassenverkehr/steuern-und-gebuehren/steuerverguenstigung-fuer-alternativantriebe</t>
  </si>
  <si>
    <t>Die Verkehrssteuer wird wie folgt ermässigt:&lt;br /&gt;- für 24 Monate ab der 1. Inverkehrsetzung auf 50 Prozent der Normalsteuer für Fahrzeuge mit Hybridantrieb;&lt;br /&gt;- für 24 Monate ab der 1. Inverkehrsetzung auf 30 Prozent der Normalsteuer für Fahrzeuge mit Erdgas, Biogas oder einem anderen Alternativantrieb beziehungsweise Alternativtreibstoff; ausgenommen sind die Alternativtreibstoffe Bioethanol und Biodiesel.</t>
  </si>
  <si>
    <t>Fahrzeuge der Energieeffizienzkategorie A und einem CO&lt;sub&gt;2&lt;/sub&gt;-Ausstoss bis höchstens 95 g/km (NEFZ) bzw. 118 g/km (WLTP) sind im 1. Inverkehrssetzungsjahr (Fahrzeugausweis Feld 36) sowie für die drei folgenden Jahre von der Strassenverkehrssteuer befreit. Für gasbetriebene Fahrzeuge gilt als Kriterium  ein maximaler CO&lt;sub&gt;2&lt;/sub&gt;-Ausstoss von 104 g/km (NEFZ) bzw. 129 g/km (WLTP). Elektrofahrzeuge sind im Verkehrssetzungsjahr und für die drei folgenden Jahre zu 100 %, danach zu 50 % steuerbefreit.&lt;br /&gt;Ab 1. Januar 2026 werden die Personenwagen und Motorräder aufgrund von Gesamtgewicht und Leistung berechnet.</t>
  </si>
  <si>
    <t>https://www.sg.ch/verkehr/strassenverkehr/rechnung_gebuehren.html</t>
  </si>
  <si>
    <t>Fahrzeuge mit ausschliesslich elektrischem Antrieb sind von der Steuerpflicht befreit.</t>
  </si>
  <si>
    <t>https://so.ch/verwaltung/bau-und-justizdepartement/motorfahrzeugkontrolle/steuern-und-gebuehren</t>
  </si>
  <si>
    <t>Im Kanton Thurgau profitieren Personenwagen, welche in der Energieeffizienz-Kategorie A oder B eingeteilt sind, sowie Elektrofahrzeuge und Lastwagen mit der höchsten Euro-Kategorie von einer Reduktion der Strassenverkehrsabgaben um bis zu 50 Prozent. Die Reduktion gilt im Jahr der ersten Inverkehrsetzung und in den vier folgenden Kalenderjahren.</t>
  </si>
  <si>
    <t>https://strassenverkehrsamt.tg.ch/gebuehren-und-steuern/bonus-malus.html/16504</t>
  </si>
  <si>
    <t>Imposta di circolazione</t>
  </si>
  <si>
    <t>&lt;p&gt;L'imposta di circolazione dovuta per le automobili e le automobili pesanti è differenziata a seconda del ciclo di misurazione delle emissioni di CO&lt;sub&gt;2&lt;/sub&gt;. Esistono 2 cicli di misurazione:&lt;br /&gt;&lt;br /&gt;&lt;strong&gt;NEDC: relativo generalmente ai veicoli fabbricati prima del 2019 &lt;br /&gt;&lt;/strong&gt;Formula in base al ciclo NEDC: 120 Fr. + (emissioni CO&lt;sub&gt;2&lt;/sub&gt; g/km - 95 g/km)&lt;sup&gt;1.422&lt;/sup&gt; &lt;br /&gt;Se le emissioni di CO&lt;sub&gt;2&lt;/sub&gt; sono uguali o inferiori a 95 g/km, l'imposta dovuta sarà di 120 Fr., ovvero la sola tassa base.&lt;br /&gt;&lt;br /&gt;&lt;strong&gt;WLTPx: relativo generalmente ai veicoli fabbricati a partire dal 2019&lt;/strong&gt;&lt;br /&gt;Formula in base al ciclo WLTP: 120 Fr. + (emissioni CO&lt;sub&gt;2&lt;/sub&gt; g/km - 118 g/km)&lt;sup&gt;1.422&lt;/sup&gt;  &lt;br /&gt;Se le emissioni di CO&lt;sub&gt;2&lt;/sub&gt; sono uguali o inferiori a 118 g/km, l'imposta dovuta sarà di 120 Fr., ovvero la sola tassa base.&lt;br /&gt;&lt;br /&gt;&lt;strong&gt;Come reperire il valore di emissione di CO&lt;sub&gt;2&lt;/sub&gt;&lt;/strong&gt;&lt;br /&gt;Il valore di emissione di CO&lt;sub&gt;2&lt;/sub&gt; della vostra automobile è reperibile sul sito &lt;a href="http://www.etichettaenergia.ch" target="_blank" rel="noopener"&gt;www.etichettaenergia.ch&lt;/a&gt; allestendo l'etichetta energia. Per la creazione dell'etichetta energia è necessario inserire il codice composto da sei valori (cifre e lettere) dell'approvazione del tipo (si trova alla posizione 24 della licenza di circolazione o può essere richiesto al proprio garagista).&lt;br /&gt;&lt;br /&gt;&lt;strong&gt;Automobili immatricolate prima del 2009&lt;/strong&gt;&lt;br /&gt;&lt;br /&gt;Le automobili e automobili pesanti immatricolate prima del 01.01.2009 beneficiano per il 2023 di una moratoria, ovvero una sospensione della modifica di legge. La loro imposta di circolazione è, quindi, la stessa dovuta nel 2022 e calcolata secondo la precedente formula:&lt;br /&gt;158 Fr. + (massa totale * kW) / 560&lt;/p&gt;</t>
  </si>
  <si>
    <t>https://www4.ti.ch/di/sc/veicoli/imposta-di-circolazione</t>
  </si>
  <si>
    <t>Die Normalsteuer für Personenwagen wird nach dem Gesamtgewicht bemessen, für batterieangetriebene Fahrzeuge und solche, die diesen gleichzustellen sind, wird diese auf zwei Drittel ermässigt.</t>
  </si>
  <si>
    <t>https://rechtsbuch.ur.ch/lexoverview-home/lex-50_1413?effective-from=19980101</t>
  </si>
  <si>
    <t>Personenwagen und Motorräder mit elektrischem Antrieb erhalten eine Ermässigung von 50 % auf die Jahressteuer.</t>
  </si>
  <si>
    <t>https://bgs.zg.ch/app/de/texts_of_law/751.22</t>
  </si>
  <si>
    <t>Fahrzeuge mit ausschliesslich elektrischem Antrieb sind von der Steuer befreit.&lt;br /&gt;Personenwagen der Energieeffizienzkategorie A und einem CO&lt;sub&gt;2&lt;/sub&gt;-Ausstoss von max. 130 g/km erhalten für das Jahr der 1. Inverkehrsetzung und die drei folgenden Kalenderjahre eine Ermässigung von 80 %, solche der Energieeffizienzkategorie B und einem CO&lt;sub&gt;2&lt;/sub&gt;-Ausstoss von max. 130 g/km erhalten 50 % Reduktion.</t>
  </si>
  <si>
    <t>https://www.zh.ch/de/politik-staat/gesetze-beschluesse/gesetzessammlung/zhlex-ls/erlass-741_1-1966_09_11-1967_01_01-103.html</t>
  </si>
  <si>
    <t>La taxe sur les véhicules automobiles est basé sur le poids et la puissance. La taxe est réduite de 75% si les véhicules :&lt;br /&gt;- immatriculés pour la première fois jusqu'au 31 décembre 2020, émettent moins de 120 gr de CO&lt;sub&gt;2&lt;/sub&gt; par km;&lt;br /&gt;- immatriculés pour la première fois dès le 1er janvier 2021, émettent moins de 149 gr de CO&lt;sub&gt;2&lt;/sub&gt; par km;&lt;br /&gt;- fonctionnent au gaz ou à un carburant naturel (colza, bioéthanol, etc.) et sont spécifiquement équipés pour l'usage de ce genre de carburant.&lt;br /&gt;&lt;br /&gt;La taxe pour les véhicules électriques (sauf cyclomoteurs et motocycles) est de 25 Fr.</t>
  </si>
  <si>
    <t>https://www.vd.ch/themes/mobilite/automobile/taxe-sur-les-vehicules-automobiles/</t>
  </si>
  <si>
    <t>Baubewilligungsgebühren</t>
  </si>
  <si>
    <t>Nach Vorliegen einer rechtskräftigen Baubewilligung werden die effektiven Kosten der kommunalen Bewilligungsgebühren für Sonnenkollektoren, Holzheizungen, Wärmepumpen, Photovoltaikanlagen und Biogasanlagen zurückerstattet.</t>
  </si>
  <si>
    <t>Electrification des parkings d'habitation collective</t>
  </si>
  <si>
    <t>L’Etat de Genève subventionne le pré-équipement du parking collectif de votre immeuble, facilitant ainsi l’installation de bornes de recharge pour véhicules électriques.&lt;br /&gt;&lt;br /&gt;&lt;strong&gt;Contribution financière&lt;/strong&gt;&lt;br /&gt;- 5 à 10 places électrifiées: 500 fr. par place&lt;br /&gt;- 11 à 30 places électrifiées: 300 fr. par place&lt;br /&gt;- 31 et plus places électrifiées: 250 fr. par place</t>
  </si>
  <si>
    <t>https://www.ge.ch/subventions-electromobilite/electrification-parkings-habitation-collective</t>
  </si>
  <si>
    <t>Borne électromobilité (parking collectif)</t>
  </si>
  <si>
    <t>Cette subvention cible l’équipement électrique qui va du raccordement au compteur électrique jusqu'aux places de stationnement: travaux de raccordement au compteur, achat et installation de l'infrastructure. La subvention est attribuée par place de stationnement électrifiée dans les immeubles d'habitation situés dans le canton de Genève. Sont exclus de la subvention, les demandes de puissance complémentaire, l’achat de la borne et son installation.&lt;br /&gt;&lt;br /&gt;&lt;strong&gt;Contribution financière&lt;br /&gt;&lt;/strong&gt;- La subvention n'excède pas le 50% des frais effectifs&lt;br /&gt;- Le montant maximum est de 20'000.- par parking équipé&lt;br /&gt;- Le montant par place électrifiée est dégressif&lt;br /&gt;&lt;br /&gt;Tarif dégressif pour l'installation de places électrifiées. &lt;br /&gt;Montant par place électrifiée:&lt;br /&gt;5 à 10: 500.-&lt;br /&gt;11 à 30: 300.-&lt;br /&gt;31 et plus: 250.-</t>
  </si>
  <si>
    <t>Acquisto di motoveicoli, quadricicli e tricicli con propulsione totalmente elettrica</t>
  </si>
  <si>
    <t>Condizioni: Acquisto presso un rivenditore in Ticino di un veicolo o un ciclo mai immatricolato in precedenza. Incentivo non cumulabile con l’incentivo di cui all’art. 8.&lt;br /&gt;Importi: 1000 Fr. per l’acquisto di motoveicoli, quadricicli e tricicli aventi una velocità massima superiore a 45 km/h.</t>
  </si>
  <si>
    <t>https://www4.ti.ch/dt/da/spaas/ucd/temi/incentivi/incentivi/incentivi-mobilita-elettrica</t>
  </si>
  <si>
    <t>Stazioni di ricarica per automobili elettriche</t>
  </si>
  <si>
    <t>Condizioni: Incentivo concesso ai datori di lavoro solo se la stazione di ricarica è destinata ad uso del personale. Deve essere fissata al muro o su di un supporto, avere una pot. minima di 3,7 kW ed essere conforme al Modo 3/4.&lt;br /&gt;Importi: 500 Fr. per stazioni monodirezionali; 4000 Fr. per stazioni bidirezionali.</t>
  </si>
  <si>
    <t>https://www.nyon.ch/aide-a-la-mobilite-1754/</t>
  </si>
  <si>
    <t>Vergünstigung für Energieberatung</t>
  </si>
  <si>
    <t>Die Einwohnerinnen und Einwohnern von Dachsen erhalten pro Jahr und Haushalt pauschal 150 Fr. für eine Energieberatung. Darüber hinausgehende Honorare und Dienstleistungen gehen zu Lasten der anfragenenden Person.</t>
  </si>
  <si>
    <t>https://www.dachsen.ch/publikationen/291937</t>
  </si>
  <si>
    <t>Energie Wasser Bern unterstützt die Installation von Wärmepumpenanlagen, wenn ein Anschluss an ein Nah- oder Fernwärmenetz in den nächsten drei Jahren nicht möglich ist.</t>
  </si>
  <si>
    <t>https://www.ewb.ch/angebot/foerderprogramme/foerderprogramm-waermepumpe.php</t>
  </si>
  <si>
    <t>Die kommunalen Beiträge werden aus dem Energiefonds gemäss Art. 67 Abs. 3 des Erschliessungsgesetzes und im Verhältnis zu den rechtskräftigen kantonalen Beiträgen geleistet. Der Gemeindevorstand bestimmt jährlich den Faktor für das Verhältnis zwischen dem kantonalen und dem kommunalen Anteil; dieser liegt zwischen 0.5 und 2.0 des kantonalen Beitrages.&lt;br /&gt;&lt;br /&gt;Die aktuell gültigen kommunalen Förder-Faktoren betragen 0.5 des des kantonalen Förderbeitrages für Photovoltaikanlagen. &lt;br /&gt;&lt;br /&gt;Gesuche werden in der Reihenfolge ihres Eingangs berücksichtigt.</t>
  </si>
  <si>
    <t>https://rhaezuens.ch/ueber-rhaezuens/energiestadt/</t>
  </si>
  <si>
    <t>Die kommunalen Beiträge werden aus dem Energiefonds gemäss Art. 67 Abs. 3 des Erschliessungsgesetzes und im Verhältnis zu den rechtskräftigen kantonalen Beiträgen geleistet. Der Gemeindevorstand bestimmt jährlich den Faktor für das Verhältnis zwischen dem kantonalen und dem kommunalen Anteil; dieser liegt zwischen 0.5 und 2.0 des kantonalen Beitrages.&lt;br /&gt;&lt;br /&gt;Die aktuell gültigen kommunalen Förder-Faktoren betragen 0.5 des des kantonalen Förderbeitrages für thermische Solaranlagen. &lt;br /&gt;&lt;br /&gt;Gesuche werden in der Reihenfolge ihres Eingangs berücksichtigt.</t>
  </si>
  <si>
    <t>Sole/Wasser- oder Wasser/Wasser-Wärmpumpe</t>
  </si>
  <si>
    <t>Die kommunalen Beiträge werden aus dem Energiefonds gemäss Art. 67 Abs. 3 des Erschliessungsgesetzes und im Verhältnis zu den rechtskräftigen kantonalen Beiträgen geleistet. Der Gemeindevorstand bestimmt jährlich den Faktor für das Verhältnis zwischen dem kantonalen und dem kommunalen Anteil; dieser liegt zwischen 0.5 und 2.0 des kantonalen Beitrages.&lt;br /&gt;&lt;br /&gt;Die aktuell gültigen kommunalen Förder-Faktoren betragen 0.5 des des kantonalen Förderbeitrages für Sole/Wasser- oder Wasser/Wasser-Wärmpumpe (Ersatz Ölheizung), max. 4000 Fr.&lt;br /&gt;&lt;br /&gt;Gesuche werden in der Reihenfolge ihres Eingangs berücksichtigt.</t>
  </si>
  <si>
    <t>Der Ersatz einer bestehenden fossil betriebenen Heizung oder Elektroheizung durch eine Wärmepumpe (Luft/Wasser, Sole/Wasser oder Wasser/Wasser) wird gefördert.&lt;br /&gt;&lt;br /&gt;&lt;a href="https://www.stadt-zuerich.ch/portal/de/index/politik_u_recht/amtliche_sammlung/inhaltsverzeichnis/7/732/361-ausfuehrungsbestimmungen-zur-verordnung-ueber-gemeinwirtscha.html" target="_blank" rel="noopener"&gt;Bestimmungen&lt;/a&gt;</t>
  </si>
  <si>
    <t xml:space="preserve">https://www.stadt-zuerich.ch/energie/de/index/foerderung/alle-foerderprogramme/waermepumpen.html </t>
  </si>
  <si>
    <t>Anschlüsse an ein thermisches Netz zur Wärmeversorgung</t>
  </si>
  <si>
    <t>Der Ersatz einer bestehenden fossil betriebenen Heizung oder Elektroheizung durch den Anschluss an ein thermisches Netz zur Wärmeversorgung mit Gebietsauftrag, Gebietskonzession oder einer vergleichbaren Legitimation wird gefördert.&lt;br /&gt;&lt;br /&gt;&lt;a href="https://www.stadt-zuerich.ch/portal/de/index/politik_u_recht/amtliche_sammlung/inhaltsverzeichnis/7/732/361-ausfuehrungsbestimmungen-zur-verordnung-ueber-gemeinwirtscha.html" target="_blank" rel="noopener"&gt;Bestimmungen&lt;/a&gt;</t>
  </si>
  <si>
    <t xml:space="preserve">https://www.stadt-zuerich.ch/energie/de/index/foerderung/alle-foerderprogramme/energieverbunde.html </t>
  </si>
  <si>
    <t>Fördergeldrechner: &lt;a href="https://rechner.energie-foerderung.ch/zs" target="_blank" rel="noopener"&gt;energie-foerderung.ch&lt;/a&gt;&lt;br /&gt;&lt;a href="https://www.stadt-zuerich.ch/portal/de/index/politik_u_recht/amtliche_sammlung/inhaltsverzeichnis/7/732/361-ausfuehrungsbestimmungen-zur-verordnung-ueber-gemeinwirtscha.html" target="_blank" rel="noopener"&gt;Bestimmungen&lt;/a&gt;&lt;br /&gt;&lt;br /&gt;Um die maximale Fördersumme zu erhalten, reichen Sie zwingend bei Pronovo ein separates Gesuch ein: &lt;a href="http://www.pronovo.ch" target="_blank" rel="noopener"&gt;www.pronovo.ch&lt;/a&gt;</t>
  </si>
  <si>
    <t xml:space="preserve">https://www.stadt-zuerich.ch/energie/de/index/foerderung/alle-foerderprogramme/photovoltaik.html </t>
  </si>
  <si>
    <t>Panneaux solaires photovoltaïque</t>
  </si>
  <si>
    <t>40% de la petite rétribution unique (PRU)&lt;br /&gt;max CHF 3’500.-</t>
  </si>
  <si>
    <t>https://www.pully.ch/ecowatt</t>
  </si>
  <si>
    <t>40% de la subvention cantonale&lt;br /&gt;max CHF 3’500.-</t>
  </si>
  <si>
    <t>Pompe à chaleur (changement)</t>
  </si>
  <si>
    <t>Certificat Energétique Cantonal des Bâtiments: 40% de la subvention cantonale</t>
  </si>
  <si>
    <t>Im Auftrag der Einwohnergemeinde Oberägeri führt der «Verein energienetz-zug» eine Vorgehensberatung durch. Diese Beratung ist kostenlos.</t>
  </si>
  <si>
    <t>Die Errichtung von solarthermischen Anlagen für die Wärmeerzeugung in bestehenden Bauten wird mit einem Beitrag pro Quadratmeter Kollektorfläche unterstützt. &lt;br /&gt;Beim Ersatz bestehender solarthermischer Anlagen wird nur für die zusätzlich installierte Kollektorfläche ein Förderbeitrag geleistet. &lt;br /&gt;&lt;br /&gt;Selektiv verglaste Sonnenkollektoren (Faktor 1.0): 1000 Fr. Pauschalbeitrag + 250 Fr.pro m&lt;sup&gt;2&lt;/sup&gt; Kollektorfläche &lt;br /&gt;Vakuumröhren-Kollektoren (Faktor 1.3): 1000 Fr. Pauschalbeitrag + 330 Fr. pro m&lt;sup&gt;2&lt;/sup&gt; Kollektorfläche</t>
  </si>
  <si>
    <t>Gebäude-Standards für Neubauten oder Sanierungen</t>
  </si>
  <si>
    <t>Minergie-zertifizierte Neubauten oder Sanierungen werden mit einem Beitrag von 2000 Fr. unterstützt.&lt;br /&gt;Bei anderen Standards für Neubauten oder Sanierungen (z.B. LNBS/SNBS, DGNB/SGNI, BREEAM, LEED, SIA Effizienzpfad Energie, usw.) wird an die Massnahmen ebenfalls einen Beitrag von 2000 Fr. entrichtet.</t>
  </si>
  <si>
    <t>Abzüge für energetische Sanierungen</t>
  </si>
  <si>
    <t>Kosten für energiesparende und dem Umweltschutz dienende Massnahmen in bestehenden Gebäuden können bei der direkten Bundessteuer und in den meisten Kantonen als Liegenschaftsunterhalt vom steuerbaren Einkommen abgezogen werden, allenfalls über mehrere Steuerperioden. Im Gegenzug sind Förderbeiträge als Einnahmen zu versteuern. Welche energetischen Massnahmen abzugsfähig sind, unterscheidet sich kantonal. Informieren Sie sich beim Steueramt des Kantons.</t>
  </si>
  <si>
    <t>https://www.zh.ch/de/steuern-finanzen/steuern/treuhaender/steuerbuch/steuerbuch-definition/zstb-30-4.html</t>
  </si>
  <si>
    <t>https://www.baselland.ch/politik-und-behorden/direktionen/finanz-und-kirchendirektion/steuerverwaltung/steuererklaerung-natuerliche-personen-und-e-tax-bl/einkuenfte</t>
  </si>
  <si>
    <t>https://www.steuerverwaltung.bs.ch/</t>
  </si>
  <si>
    <t>https://www.ag.ch/media/kanton-aargau/dfr/dokumente/steuern/natuerliche-personen/merkblaetter-zu-steuern-natuerliche-personen/liegenschaftsunterhalt-luk-stand-22-08-2024.pdf</t>
  </si>
  <si>
    <t>https://www.ar.ch/verwaltung/departement-bau-und-volkswirtschaft/amt-fuer-umwelt/energie/foerderung/steuerliche-abzuege-fuer-energetische-investitionen/</t>
  </si>
  <si>
    <t>https://www.ai.ch/themen/steuern/publikationen</t>
  </si>
  <si>
    <t>Déductions pour les rénovations énergétiques</t>
  </si>
  <si>
    <t>Les coûts des mesures mises en oeuvre dans les bâtiments existants pour économiser l’énergie et protéger l’environnement peuvent être déduits du revenu imposable dans le cadre de l’impôt fédéral direct et à titre d’entretien d’immeuble. Cela vaut uniquement pour les coûts ne pouvant bénéficier de subventions. Ce sont les cantons qui déterminent quelles mesures énergétiques sont déductibles. Les informations peuvent être obtenues auprès des autorités fiscales cantonales.</t>
  </si>
  <si>
    <t>https://www.taxinfo.sv.fin.be.ch/taxinfo/display/taxinfofr/Frais+d%27investissement+destin%C3%A9s+%C3%A0+%C3%A9conomiser+l%27%C3%A9nergie+et+%C3%A0+m%C3%A9nager+l%27environnement</t>
  </si>
  <si>
    <t>Les coûts des mesures mises en oeuvre dans les bâtiments existants pour économiser l’énergie et protéger l’environnement peuvent être déduits du revenu imposable dans le cadre de l’impôt fédéral direct et , dans la plupart des cantons, à titre d’entretien d’immeuble, le cas échéant sur plusieurs périodes fiscales. En contrepartie, les contributions d’encouragement sont imposables en tant que recettes. Les mesures énergétiques déductibles varient d’un canton à l’autre. Renseignez-vous auprès de l’administration fiscale de votre canton.</t>
  </si>
  <si>
    <t>https://bdlf.fr.ch/app/fr/texts_of_law/631.421</t>
  </si>
  <si>
    <t>https://www.ge.ch/energie-aides-financieres</t>
  </si>
  <si>
    <t>https://www.gl.ch/verwaltung/finanzen-und-gesundheit/steuern.html/507</t>
  </si>
  <si>
    <t>https://www.zg.ch/behoerden/finanzdirektion/steuerverwaltung/steuerbuch-zug/erlaeuterung-zu-a7-29-kosten-fuer-das-bewegliche-unbewegliche-privatvermoegen/gebaeudeunterhaltskosten/steuerliche-erleichterungen-fuer-energiesparende-massnahmen</t>
  </si>
  <si>
    <t>https://www.vs.ch/web/scc/directives</t>
  </si>
  <si>
    <t>https://www.gr.ch/DE/institutionen/verwaltung/dfg/stv/dokumentation/praxis/PraxisEinkommenVermgen/035-01.pdf</t>
  </si>
  <si>
    <t>https://steuerverwaltung.tg.ch/informationen/lebensbereiche/liegenschaftenbesitz/merkblatt-liegenschaftenunterhalt.html/4492</t>
  </si>
  <si>
    <t>https://www.ur.ch/_doc/406369</t>
  </si>
  <si>
    <t>https://www.sg.ch/content/dam/sgch/steuern-finanzen/steuern/steuerbuch/art-29-52-stg/044_5.pdf.ocFile/044_5.pdf</t>
  </si>
  <si>
    <t>Kosten für energiesparende und dem Umweltschutz dienende Massnahmen in bestehenden Gebäuden können bei der direkten Bundessteuer und in den meisten Kantonen als Liegenschaftsunterhalt vom steuerbaren Einkommen abgezogen werden, allenfalls über mehrere Steuerperioden. Im Gegenzug sind Förderbeiträge als Einnahmen zu versteuern. Welche energetischen Massnahmen abzugsfähig sind, unterscheidet sich kantonal. Informieren Sie sich beim Steueramt des Kantons. &lt;br /&gt;Der Abzug ist nur bei bestehenden Gebäuden möglich.</t>
  </si>
  <si>
    <t>https://bgs.so.ch/app/de/texts_of_law/614.159.16</t>
  </si>
  <si>
    <t>https://www.sz.ch/public/upload/assets/17031/merkblatt_Anlage-_und_Unterhaltskosten_20230626.pdf?fp=11</t>
  </si>
  <si>
    <t xml:space="preserve">https://sh.lexican.cloud/Project/Details/KArfO5bFd0CkaahGqsNmbQ/article/HouQprMhFPLVyovm </t>
  </si>
  <si>
    <t>https://gdb.ow.ch/app/de/texts_of_law/641.413</t>
  </si>
  <si>
    <t>https://www.steuern-nw.ch/app/uploads/2020/01/RL_Liegenschaftskosten_20240916.pdf</t>
  </si>
  <si>
    <t>https://steuerbuch.lu.ch/band1/einkommenssteuer/tatsaechliche_liegenschaftsunterhalts_und_verwaltungskosten</t>
  </si>
  <si>
    <t>https://www.google.com/url?sa=t&amp;rct=j&amp;q=&amp;esrc=s&amp;source=web&amp;cd=&amp;ved=2ahUKEwirvJev7M3tAhWBxqQKHQ7DCfsQFjAAegQIAxAC&amp;url=https%3A%2F%2Frsju.jura.ch%2Ffr%2Fviewdocument.html%3Fidn%3D20113%26id%3D28939%26download%3D1&amp;usg=AOvVaw0j3krsJacVSXZpvgci-HAs</t>
  </si>
  <si>
    <t>https://www.ne.ch/autorites/DFS/SCCO/immobiliers/Pages/accueil.aspx</t>
  </si>
  <si>
    <t>https://prestations.vd.ch/pub/blv-publication/actes/consolide/642.11.2?id=2b6dad22-dd98-4f32-a03f-552acd08bfd6</t>
  </si>
  <si>
    <t>Deduzioni fiscali per interventi in ambito energetico</t>
  </si>
  <si>
    <t>I costi delle misure di risparmio energetico e di protezione dell’ambiente negli edifici esistenti che possono essere detratti dal reddito imponibile nelle imposte federali dirette e come manutenzione degli immobili, tuttavia solo se riguardanti una parte che non ha beneficiato di sovvenzioni. Le informazioni possono essere richieste agli uffici fiscali cantonali.</t>
  </si>
  <si>
    <t>https://www.ticinoenergia.ch/it/incentivi/deduzioni-fiscali-in-ambito-energetico.html</t>
  </si>
  <si>
    <t>PEIK: Audit énergétique pour les PME</t>
  </si>
  <si>
    <t>PEIK, le conseil en énergie de SuisseEnergie, offre aux PME un audit subventionné pour économiser 10–15 % des coûts énergétiques. Le processus se déroule comme suit :&lt;br /&gt;- Entretien initial (gratuit) : première analyse (1–2 h).&lt;br /&gt;- Audit PEIK : rapport détaillé, 50 % pris en charge (max. 2500 Fr.).&lt;br /&gt;- Mise en œuvre : accompagnement, 50 % pris en charge (max. 13 000 Fr.).</t>
  </si>
  <si>
    <t>https://www.peik.ch/fr/</t>
  </si>
  <si>
    <t>&lt;p&gt;Wird Wärme aus einem Fernwärmenetz bezogen, die zu mindestens 20 % aus erneuerbaren Quellen oder nicht anders nutzbarer Abwärme besteht, so ist der Anschluss an das Wärmenetz förderbeitragsberechtigt. Typischerweise sind dies das Fernwärmenetz Basel sowie die Fernwärme Riehen. Anschlüsse an rein fossil betriebene Netze sind nicht förderbeitragsberechtigt.&lt;br /&gt;&lt;br /&gt;&lt;/p&gt;_x000D_
&lt;p&gt;&lt;strong&gt;Förderbeitrag:&lt;/strong&gt;&lt;br /&gt;- bis 500 kW: 4000 Fr. + 200 Fr. pro kW&lt;br /&gt;- über 500 kW: 54 000 Fr. + 100 Fr. pro kW&lt;/p&gt;</t>
  </si>
  <si>
    <t>https://www.bs.ch/wsu/aue/abteilung-energie/foerderbeitraege-energie/fernwaerme</t>
  </si>
  <si>
    <t>Neubau oder Erweiterung von grossen Wärmezentralen mit Wärmenetzen</t>
  </si>
  <si>
    <t>Das Baselbieter Energiepaket fördert die Erweiterung von Wärmenetzen sowie grosse Wärmeerzeugungsanlagen mit Holz (über 300 kW&lt;sub&gt;FL&lt;/sub&gt;), Wärmepumpen (über 200 kW&lt;sub&gt;th&lt;/sub&gt;) oder Sonnenenergie für Wärmeverbunde.&lt;br /&gt;&lt;br /&gt;&lt;strong&gt;Förderbeitrag:&lt;/strong&gt;&lt;br /&gt;- Fallweise Beurteilung</t>
  </si>
  <si>
    <t>https://www.energiepaket-bl.ch/foerdermassnahmen/heizung-warmwasser/neubau-erweiterung-grosse-waermeerzeugungsanlage-mit-waermenetz-1</t>
  </si>
  <si>
    <t>Biogasheizung</t>
  </si>
  <si>
    <t>Förderbeitrag pauschal 1500.- Fr.</t>
  </si>
  <si>
    <t>Neubau oder Erweiterung von Wärmenetzen</t>
  </si>
  <si>
    <t>Der maximale Beitrag der kommunalen Zusatzförderung beträgt 25% des kantonalen Beitrags, höchstens jedoch 10'000 Fr.</t>
  </si>
  <si>
    <t>Beiträge an Umbau bestehender Gebäude, Baujahr früher 1990</t>
  </si>
  <si>
    <t>Batteriespeicher für Solarstromanlage</t>
  </si>
  <si>
    <t>Der Förderbeitrag beträgt pro kWh 200 Fr., maximaler Beitrag: 2000 Fr.</t>
  </si>
  <si>
    <t>Ersatz einer Öl- oder Gasheizung durch Anschluss an Wärmeverbund oder Einbau Stückholzheizung, Schnitzelheizung oder Holzpelletheizung</t>
  </si>
  <si>
    <t>Anforderungen gemäss Förderprogramm Kanton TG</t>
  </si>
  <si>
    <t>https://www.hohentannen.ch/energie/foerdergelder.html</t>
  </si>
  <si>
    <t>Anforderungen gemäss Förderprogramm Kanton TG. Der Förderbeitrag der Gemeinde beträgt: &lt;br /&gt;Warmwasser: 600 Fr. &lt;br /&gt;Heizung: 600 Fr.&lt;br /&gt;Kombiniert: 1000 Fr.</t>
  </si>
  <si>
    <t>Photovoltaikanlagen (bei neuen und bestehenden Bauten) inkl. KEV-Anlagen. Anforderungen gemäss Förderprogramm Kanton TG bzw. Bund. Unterlagen: Rechnungskopie, Abnahmeprotokoll: 500 Fr. pro kWp, max. 2000 Fr.</t>
  </si>
  <si>
    <t>https://www.hohentannen.ch/energie/energiekommission-enko/energiekommission.html</t>
  </si>
  <si>
    <t>Stromspeicher für PV-Anlagen</t>
  </si>
  <si>
    <t>Maximale Leistung: 80% der PV-Anlage&lt;br /&gt;Förderbeitrag pauschal 200 Fr.</t>
  </si>
  <si>
    <t>https://www.hohentannen.ch/userdata/foerderbeitraege-hohentannen-stand-01.01.2023.pdf</t>
  </si>
  <si>
    <t>Gesamtsanierung nach GEAK oder Minergie</t>
  </si>
  <si>
    <t>https://energiekreuzlingen.ch/services/energieberatung</t>
  </si>
  <si>
    <t>Minergie-P oder Minergie-A</t>
  </si>
  <si>
    <t>Gefördert werden Neubauten, die nach Minergie-P oder Minergie-A zertifiziert sind.</t>
  </si>
  <si>
    <t>Gefördert werden thermische Solaranlagen zur Wassererwärmung oder Heizungsunterstützung</t>
  </si>
  <si>
    <t>Wärmepumpenboiler (Ersatz Elektroboiler)</t>
  </si>
  <si>
    <t>Einmaliger Beitrag pro Gerät: 450 Fr. Es gelten die kantonalen Förderbedingungen.</t>
  </si>
  <si>
    <t>Ersatz von Umwälzpumpen in Wohnbauten</t>
  </si>
  <si>
    <t>Einmaliger Beitrag pro Pumpe: 150 Fr. (EFH), 200 Fr. (MFH)</t>
  </si>
  <si>
    <t>Gefördert wird die Erstellung von Gebäudeenergienachweisen mit Beratungsbericht (GEAK Plus) für bestehende Gebäude.</t>
  </si>
  <si>
    <t>Gefördert werden Machbarkeitsstudien zum Ersatz von Elektroheizungen oder hydraulischen Wärmeverteilsystemem sowie die Umsetzung der Ergebnisse des GEAK Plus</t>
  </si>
  <si>
    <t>Gebäudesanierung</t>
  </si>
  <si>
    <t>Der Förderbeitrag der Gemeinde beträgt 30% des Kantonsbeitrags, pro Objekt max. 7’500 Fr.</t>
  </si>
  <si>
    <t>https://www.roggwil-tg.ch/portraet/energiestadt-roggwil.html/132</t>
  </si>
  <si>
    <t>Der Förderbeitrag der Gemeinde beträgt 30% des Kantonsbeitrags, pro Objekt max. 3000 Fr.</t>
  </si>
  <si>
    <t>Solaranlage</t>
  </si>
  <si>
    <t>Gefördert werden thermische Sonnenkollektoren, Photovoltaik und Batteriespeicher. Der Förderbeitrag der Gemeinde beträgt 30% des Kantons- bzw. Bundesbeitrags, pro Gesuch max. 3000 Fr.</t>
  </si>
  <si>
    <t>Elektrofahrzeug</t>
  </si>
  <si>
    <t>Der Förderbeitrag der Gemeinde beträgt 30% des Kantonsbeitrags, pro Gesuch max. 3000 Fr.</t>
  </si>
  <si>
    <t>Ausserordentliche Projekte</t>
  </si>
  <si>
    <t>Die Gemeinde fördert ausserordentliche Projekte, die Effizienz, Effektivität und Innovation in Zusammenhang mit der Energiestrategie der Gemeinde umsetzen. Dies können beispielsweise Eigenverbrauchsgesellschaften, Energie-Monitoring, o.ä. sein. Der Gemeinderat entscheidet über die Gesuche auf Antrag der Energiekommissionund überprüft die Ausführung. Der Förderbeitrag der Gemeinde beträgt max. 25% der Gesamtinvestition, pro Projekt max. 5000 Fr.</t>
  </si>
  <si>
    <t>GEAK (Gebäudeenergieausweis der Kantone) mit Beratungsbericht, einmaliger Beitrag von 200 Fr. für Wohnbauten, 300 Fr. für Nicht-Wohnbauten</t>
  </si>
  <si>
    <t>https://www.steckborn.ch/energiestadt</t>
  </si>
  <si>
    <t>Gefördert werden thermische Sonnenkollektoranlagen in bestehenden Gebäuden. Grundbeitrag pro Anlage: 1000 Fr.</t>
  </si>
  <si>
    <t>Lastenvelo mit und ohne Antrieb</t>
  </si>
  <si>
    <t>Beitrag von 10% des Kaufpreises jedoch max. 400 Fr.</t>
  </si>
  <si>
    <t>Ersatz Elektro-Wassererwärmer</t>
  </si>
  <si>
    <t>Fördersatz: 1000.- Fr. einmaliger Beitrag pro ersetztem Elektro-Wassererwärmer</t>
  </si>
  <si>
    <t>https://www.weinfelden.ch/services/verwaltung/versorgung/energieberatung.html/50#Energiesparen</t>
  </si>
  <si>
    <t>Beratungs-Dienstleistungen für Hauseigentümer. Fördersatz (einmaliger Beitrag pro GEAK Plus): &lt;br /&gt;500.- Fr.  für Ein- oder Zweifamilienhäuser&lt;br /&gt;1000.- Fr. für Mehrfamilienhäuser und Nichtwohnbauten</t>
  </si>
  <si>
    <t>Der Fördersatz beträgt 20% der vom Kanton geleisteten Beiträge; maximal 15‘000.- Fr. pro Objekt.</t>
  </si>
  <si>
    <t>Anschlüsse bestehender Gebäude an Wärmenetze</t>
  </si>
  <si>
    <t>Chauffage à bois automatique &amp;gt; 70 kW</t>
  </si>
  <si>
    <t>Le remplacement de chauffages au pétrole, au gaz naturel ou électriques par un chauffage automatique au bois d'une puissance maximale de 70 kW est promu.&lt;br /&gt;&lt;br /&gt;&lt;strong&gt;Contribution financière&lt;br /&gt;&lt;/strong&gt;- Jusqu' à 500 kW&lt;sub&gt;th&lt;/sub&gt;: 700 fr. par kW&lt;sub&gt;th&lt;/sub&gt;&lt;br /&gt;- A partir de 500 kW&lt;sub&gt;th&lt;/sub&gt;: 80 000 fr. + 540 Fr. par kW&lt;sub&gt;th&lt;/sub&gt;&lt;strong&gt;&lt;br /&gt;&lt;br /&gt;&lt;/strong&gt;</t>
  </si>
  <si>
    <t>https://www.vs.ch/web/energie/ip-04</t>
  </si>
  <si>
    <t>Der Zusatzbeitrag der Gemeinde zur kantonalen Förderung beträgt 25% der Flächenbeiträge, maximal 10'000 Fr. pro Gesuch. Die kommunalen Förderbeiträge werden automatisch beantragt, wenn ein entsprechendes Gesuch beim Kanton eingereicht wird.</t>
  </si>
  <si>
    <t>https://neuhausen.ch/bauen_wohnen</t>
  </si>
  <si>
    <t>Der Zusatzbeitrag der Gemeinde zur kantonalen Förderung beträgt maximal 25%, maximal 10'000 Fr. pro Gesuch.</t>
  </si>
  <si>
    <t>https://thayngen.ch/CMS/Webseite/Home/Gemeinde-Thayngen-2265570-DE.html</t>
  </si>
  <si>
    <t>CECB Plus (audit énergétiques)</t>
  </si>
  <si>
    <t>CECB Plus (audits énergétiques pour les bâtiments)</t>
  </si>
  <si>
    <t>https://www.nyon.ch/demarches/subventions-energie-13357</t>
  </si>
  <si>
    <t>Pompes à chaleur (en cas de remplacement d'un chauffage électrique, d'une chaudière à gaz ou à mazout)</t>
  </si>
  <si>
    <t>Chauffages à distance</t>
  </si>
  <si>
    <t>Rénovations Minergie</t>
  </si>
  <si>
    <t>Rénovations MINERGIE(-P/-P-ECO) et des constructions MINERGIE-P(-ECO)</t>
  </si>
  <si>
    <t>Réparation ou l'amélioration d'un appareil électroménager ou électronique</t>
  </si>
  <si>
    <t>https://www.nyon.ch/demarches/subvention-pour-la-reparation-ou-l-amelioration-d-un-appareil-electromenager-ou-electronique-13641</t>
  </si>
  <si>
    <t>Formation énergie</t>
  </si>
  <si>
    <t>formations en lien avec l'énergie</t>
  </si>
  <si>
    <t>energoAdvanced (optimisation énergétique)</t>
  </si>
  <si>
    <t>Programmes  energoAdvanced d'optimisation énergétique des bâtiments ou installations techniques</t>
  </si>
  <si>
    <t>Couplage chaleur-force</t>
  </si>
  <si>
    <t>Panneaux solaires thermiques: 10 % du prix des panneaux, mais au maximum Fr. 1'500.-</t>
  </si>
  <si>
    <t>https://www.aclens.ch/net/Net_Aclens.asp?NoOFS=5621&amp;Sty=&amp;NumStr=35.20</t>
  </si>
  <si>
    <t>Panneaux solaires photovoltaïques: 10 % du prix des panneaux, mais au maximum Fr. 1'500.-</t>
  </si>
  <si>
    <t>Remplacement des chauffages</t>
  </si>
  <si>
    <t>&lt;strong&gt;Remplacement des chauffages centraux à mazout, à gaz, électrique et au charbon :&lt;/strong&gt;_x000D_
&lt;p&gt; &lt;/p&gt;_x000D_
&lt;table border="0" width="100%" cellspacing="1" cellpadding="1"&gt;_x000D_
&lt;tbody&gt;_x000D_
&lt;tr&gt;_x000D_
&lt;td width="250"&gt;par une chaudière à bois *&lt;/td&gt;_x000D_
&lt;td&gt;10 % du prix de la chaudière, mais au maximum Fr. 4'000.-&lt;/td&gt;_x000D_
&lt;/tr&gt;_x000D_
&lt;tr&gt;_x000D_
&lt;td&gt;par une pompe à chaleur (sol - eau)&lt;/td&gt;_x000D_
&lt;td&gt;10% du prix de la PAC, mais au maximum Fr. 4'000.-&lt;/td&gt;_x000D_
&lt;/tr&gt;_x000D_
&lt;tr&gt;_x000D_
&lt;td&gt;par une pompe à chaleur (air - eau)&lt;/td&gt;_x000D_
&lt;td&gt;10% du prix de la PAC, mais au maximum Fr. 2?500.-&lt;/td&gt;_x000D_
&lt;/tr&gt;_x000D_
&lt;/tbody&gt;_x000D_
&lt;/table&gt;_x000D_
&lt;em&gt;* Cheminées et poêles d?agrément exclus&lt;/em&gt;</t>
  </si>
  <si>
    <t>Isolation du bâtiment</t>
  </si>
  <si>
    <t>Isolation du bâtiment 5% des travaux, mais au maximum Fr. 5'000. - &lt;br /&gt;( Toit, murs et sol avec U &amp;lt; 0,20 W/m 2 K)</t>
  </si>
  <si>
    <t>Remplacement des fenêtres: 15 % du prix des fenêtres, mais au maximum Fr. 2'000.- &lt;br /&gt;( avec Uvitrage &amp;lt; 0,7 W/m2 K )</t>
  </si>
  <si>
    <t>Obtention des Label Minergie</t>
  </si>
  <si>
    <t>Obtention des Label Minergie:&lt;br /&gt;- catégorie d'ouvrage SIA I et II: Remboursement du montant payé à Minergie pour le label, à concurrence de Fr. 3'000.&lt;br /&gt;- catégorie d'ouvrage SIA III à XI: Sur demande</t>
  </si>
  <si>
    <t>Vélos électriques, mécaniques, spéciaux, neufs ou d’occasions</t>
  </si>
  <si>
    <t>Heizung und Warmwasser</t>
  </si>
  <si>
    <t>https://www.inden.ch/energieimbaufoerdermittel</t>
  </si>
  <si>
    <t>&lt;section class="neos-nodetypes-text nodetypes-content"&gt;_x000D_
&lt;div&gt;_x000D_
&lt;p&gt;Lors de l'établissement d'un certificat CECB Plus, une subvention de&lt;strong&gt; 800.- Fr.&lt;/strong&gt; est offerte. Grâce aux mesures préconisées dans le rapport CECB Plus, tu réalises par la suite d'importantes économies.&lt;/p&gt;_x000D_
&lt;p&gt;&lt;strong&gt;Participation sur l’achat sur présentation de la facture et d’une attestation de paiement, pour un achat fait après le 01.09.2020&lt;/strong&gt;&lt;/p&gt;_x000D_
&lt;/div&gt;_x000D_
&lt;/section&gt;</t>
  </si>
  <si>
    <t>https://www.bulleverte.ch/subventions</t>
  </si>
  <si>
    <t>&lt;section class="neos-nodetypes-text nodetypes-content"&gt;_x000D_
&lt;div&gt;_x000D_
&lt;p&gt;Économise &lt;strong&gt;10%&lt;/strong&gt; à l'achat de ton vélo électrique. Afin d'obtenir la remise, la facture du vélo doit être présentée en guise de preuve. Le remboursement se fait uniquement sur le vélo et non les accessoires qui accompagnent le vélo. La subvention est valable pour une personne tous les cinq ans.&lt;/p&gt;_x000D_
&lt;p&gt;&lt;strong&gt;Important: un montant maximum de CHF 350.- est pris en charge et ton vélo doit être acheté dans un magasin de la ville de Bulle.&lt;/strong&gt;&lt;/p&gt;_x000D_
&lt;p&gt;&lt;strong&gt;Participation sur l’achat sur présentation de la facture et d’une attestation de paiement, pour un achat fait après le 01.09.2020&lt;/strong&gt;&lt;/p&gt;_x000D_
&lt;/div&gt;_x000D_
&lt;/section&gt;</t>
  </si>
  <si>
    <t>https://www.bulleverte.ch/subventions#7cdd6c3e-1a95-4ca9-bf7c-3320ecce06eb</t>
  </si>
  <si>
    <t>Réparation d'un vélo</t>
  </si>
  <si>
    <t>&lt;section class="neos-nodetypes-text nodetypes-content"&gt;_x000D_
&lt;div&gt;_x000D_
&lt;p&gt;Un montant de &lt;strong&gt;CHF 50.-&lt;/strong&gt; est remboursé pour la réparation ou remise en état de ton vélo. A la place d'investir dans un nouveau vélo alors que le tien n'est pas si ancien, profite d'un service pour le remettre sur roue! La subvention est valable pour une personne tous les cinq ans.&lt;br /&gt;&lt;br /&gt;&lt;strong&gt;Important: la remise en état doit être effectuée dans un commerce de la commune de Bulle. &lt;br /&gt;&lt;/strong&gt;&lt;/p&gt;_x000D_
&lt;p&gt;&lt;strong&gt;Participation sur l’achat sur présentation de la facture et d’une attestation de paiement, pour un achat fait après le 01.09.2020&lt;/strong&gt;&lt;/p&gt;_x000D_
&lt;/div&gt;_x000D_
&lt;/section&gt;</t>
  </si>
  <si>
    <t>Borne de recharge</t>
  </si>
  <si>
    <t>&lt;section class="neos-nodetypes-text nodetypes-content"&gt;_x000D_
&lt;div&gt;_x000D_
&lt;p&gt;La subvention versée s'adapte en fonction du type de borne achetée. Lors de l'achat d'une borne une prise, &lt;strong&gt;CHF 350&lt;/strong&gt;.- sont pris en charge. En cas d'achat d'une borne de recharge deux prises, &lt;strong&gt;CHF 700&lt;/strong&gt;.- sont remboursés par la subvention. En installant une borne de recharge privée, tu charges ta voiture en tout confort à la maison (sans perdre du temps à attendre dans un endroit public), en toute sécurité et plus efficacement qu'avec une prise traditionnelle. &lt;/p&gt;_x000D_
&lt;p&gt;&lt;strong&gt;Participation sur l’achat sur présentation de la facture et d’une attestation de paiement, pour un achat fait après le 01.09.2020.&lt;/strong&gt;&lt;/p&gt;_x000D_
&lt;/div&gt;_x000D_
&lt;/section&gt;</t>
  </si>
  <si>
    <t>https://www.bulleverte.ch/subventions#e41ca892-f3bf-41b8-81dd-786ff2e2ce84</t>
  </si>
  <si>
    <t>Transports publics</t>
  </si>
  <si>
    <t>&lt;section class="neos-nodetypes-text nodetypes-content"&gt;_x000D_
&lt;div&gt;_x000D_
&lt;p&gt;Le &lt;strong&gt;15%&lt;/strong&gt; de ton abonnement (tarif adulte) est pris en charge par la subvention,  soit&lt;strong&gt; CHF 92.- &lt;/strong&gt;par année sur le réseau Mobul (zone 30). L'offre s'applique pour un abonnement annuel et par personne (non cumulable). Se déplacer en bus offre de nombreux avantages : tu évites les bouchons, pas de problème pour se parquer ou boire un verre sans se soucier de retour en voiture !&lt;/p&gt;_x000D_
&lt;p&gt;&lt;strong&gt;Participation sur l’achat sur présentation de la facture et d’une attestation de paiement, pour un achat fait après le 01.09.2020.&lt;/strong&gt;&lt;/p&gt;_x000D_
&lt;/div&gt;_x000D_
&lt;/section&gt;</t>
  </si>
  <si>
    <t>https://www.bulleverte.ch/subventions#57d4b6b3-ab12-4faa-9226-a3750f9d03e1</t>
  </si>
  <si>
    <t>&lt;section class="neos-nodetypes-text nodetypes-content"&gt;_x000D_
&lt;div&gt;_x000D_
&lt;p&gt;Si tu n'es pas encore convaincu par l'offre Mobility, l'abonnement d'essai des quatre premiers mois t'est offert, soit un montant de &lt;strong&gt;CHF 43.-. Attention, l'abonnement est pris en charge par compte, chaque trajet effectué est à ta propre charge. &lt;/strong&gt;Avec Mobility tu gagnes du temps et de l’argent : en t’épargnant les frais d’un véhicule privé, en choisissant tes créneaux horaires pour la location , en bénéficiant de points de retraits et de dépôts dans des endroits stratégiques  !&lt;/p&gt;_x000D_
&lt;p&gt;&lt;strong&gt;Participation sur l’achat sur présentation de la facture et d’une attestation de paiement, pour un achat fait après le 01.09.2020.&lt;/strong&gt;&lt;/p&gt;_x000D_
&lt;/div&gt;_x000D_
&lt;/section&gt;</t>
  </si>
  <si>
    <t>https://www.bulleverte.ch/subventions#79044a1c-fd32-4a2f-aff8-abd81162eb9e</t>
  </si>
  <si>
    <t>Ersatz von fossilen und elektrischen Heizungen mit Fernwärme, Wärmepumpen und Holzheizungen. Zusätzlich 50 % zum Förderbeitrag des Kantons.</t>
  </si>
  <si>
    <t>http://www.baden.ch/energiefoerderung</t>
  </si>
  <si>
    <t>Solarthermie</t>
  </si>
  <si>
    <t>Ersatz von fossilen und elektrischen Heizungen durch Solarthermie. Zusätzlich zum Kanton: 750 Fr. Grundbeitrag plus 500 Fr. pro Wohnung.</t>
  </si>
  <si>
    <t>&lt;p&gt;Der Bund fördert Photovoltaikanlagen über einen einmaligen Investitionsbeitrag, die sogenannte Einmalvergütung (EIV). Die Stadt Baden erhöht die EIV um 50 Prozent. Die Fördermittelbewirtschaftung für den Bund führt die Pronovo AG durch. Informationen zur Fördermittelhöhe und zur Antragstellung sind auf deren &lt;a href="https://pronovo.ch/de/foerderung/einmalverguetung-eiv/" target="_blank" rel="noopener"&gt;Webseite&lt;/a&gt; publiziert. Basis des Förderantrags an die Stadt Baden ist die Anmeldung der Anlage bei der Pronovo AG und die zugehörige Bestätigung der EIV.&lt;/p&gt;_x000D_
&lt;p&gt;Beantragen Sie den zusätzlichen Förderbeitrag bei der Stadt Baden sobald Sie von der Pronovo AG die definitive Bestätigung über die Höhe der EIV erhalten haben.&lt;/p&gt;</t>
  </si>
  <si>
    <t>Gebäudehülle</t>
  </si>
  <si>
    <t>Kerndämmung von Zweischalenmauerwerken (mit bestehendem Hohlraum)&lt;br /&gt;Förderbeitrag: 2000.- Fr. pro Objekt</t>
  </si>
  <si>
    <t>Autoveicoli e motoveicoli elettrici</t>
  </si>
  <si>
    <t>Benzina Alchilata, apparecchi da giardinaggio con motore elettrico e compostaggio</t>
  </si>
  <si>
    <t>Installations solaires photovoltaiques</t>
  </si>
  <si>
    <t>Les installations solaires photovoltaïques (500 francs par kW installé)</t>
  </si>
  <si>
    <t>https://www.neuchatelville.ch/fr/vivre-a-neuchatel/developpement-durable/strategie-energetique-2035/#panel-2895-3</t>
  </si>
  <si>
    <t>Les installations solaires thermiques (500 francs par kW installé)</t>
  </si>
  <si>
    <t>L’isolation thermique des bâtiments (bonus de 15 % sur le Programme Bâtiments)</t>
  </si>
  <si>
    <t>CECB+</t>
  </si>
  <si>
    <t>40 % du coût de l’établissement d’un CECB+&lt;br /&gt;Max. CHF 2000.- par étude</t>
  </si>
  <si>
    <t>https://www.monthey.ch/N9049/programme-de-subventions-efficacite-energetique-et-energies-renouvelables.html</t>
  </si>
  <si>
    <t>CHF 100.-/m&lt;sup&gt;2&lt;/sup&gt;, max. CHF 3000.-</t>
  </si>
  <si>
    <t>max. CHF 3'000.- par installation</t>
  </si>
  <si>
    <t>Voiture électrique</t>
  </si>
  <si>
    <t>5 % du prix d’achat, max. CHF 1500.-</t>
  </si>
  <si>
    <t>Cartes CFF</t>
  </si>
  <si>
    <t>https://www.monthey.ch/cartejournaliere</t>
  </si>
  <si>
    <t>20 % du prix d'achat, max. CHF 300.-</t>
  </si>
  <si>
    <t>https://www.monthey.ch/velos-electriques</t>
  </si>
  <si>
    <t>Förderbeiträge:&lt;br /&gt;- Doppel- und Einfamilienhaus 500 Fr.&lt;br /&gt;- Mehrfamilienhaus und Gewerbeliegenschaft 1000 Fr.&lt;br /&gt;</t>
  </si>
  <si>
    <t>https://www.herisau.ch/wirtschenenergiefoerderprogramm</t>
  </si>
  <si>
    <t>&lt;span style="font-size: 11.0pt; font-family: 'Calibri',sans-serif; mso-fareast-font-family: Calibri; mso-fareast-theme-font: minor-latin; mso-ansi-language: DE-CH; mso-fareast-language: DE-CH; mso-bidi-language: AR-SA;"&gt;Die kommunale Energieberatung in Rüschlikon (8803) ist kostenlos. Die Beratung (Erst- und Vorgehensberatung) ist in der ersten Stunde gratis, die nachfolgenden Stunden (max. 3 Stunden) werden zu 100 Fr./h verrechnet.&lt;/span&gt;</t>
  </si>
  <si>
    <t>https://www.rueschlikon.ch/energiewasser/24911</t>
  </si>
  <si>
    <t>Dämmung Fassaden und/oder Dach</t>
  </si>
  <si>
    <t>Dämmung Fassaden und/oder Dach auf gesetzlichen Wert (Nachdämmung)</t>
  </si>
  <si>
    <t>Förderung nur wenn Kanton auch Beitrag leistet.&lt;br /&gt;</t>
  </si>
  <si>
    <t>Wärmeverbund-Anschluss</t>
  </si>
  <si>
    <t>Anschluss an einen Wärmeverbund, der hauptsächlich mit Abwärme oder erneuerbaren Energien betrieben wird &lt;br /&gt;</t>
  </si>
  <si>
    <t>Ersatzneubau nach Minergie-P/-A</t>
  </si>
  <si>
    <t>Die Gemeinde Ennetbaden fördert den Ersatzneubau nach Minergie-P/-A, wenn dieser auch vom Kanton gefördert wird. Die Beitragshöhe der Gemeinde beträgt 70 % des Kantonsbeitrags.</t>
  </si>
  <si>
    <t>Die Gemeinde leistet einen zusätzlichen Förderbeitrag für die Errichtung von Photovoltaikanlagen, sofern diese nicht zusammen mit einem Neubauprojekt, sondern nach Ablauf von zehn Jahren seit Rechtskraft der Baubewilligung auf einem bestehenden Gebäude installiert werden. Die zusätzliche Beitragshöhe der Gemeinde beträgt 50 % des Pronovo-Förderbeitrags.</t>
  </si>
  <si>
    <t>Elektromobilitätstarif (Finanzierung Smartmeter)</t>
  </si>
  <si>
    <t>Strombedarf muss mit der Stromqualität Primeo Standard oder Grün gedeckt werden&lt;br /&gt;&lt;br /&gt;Beitragsbemessung: pro Eingabe 200 Fr. (Pauschalbeitrag)</t>
  </si>
  <si>
    <t>https://www.primeo-energie.ch/magnolia/dam/jcr:3ae97707-0072-4ffe-b704-149911ff2707/PE_FS_Reglement_Energiefonds.pdf</t>
  </si>
  <si>
    <t>Ladepunkte in Einstellhallen</t>
  </si>
  <si>
    <t>∙ Ausführung gemäss SIA-Norm MB 2060 («C1 = power to garage»)&lt;br /&gt;∙ Steckertyp AC: Typ 2&lt;br /&gt;∙ Steckertyp DC: CCS oder CHAdeMo&lt;br /&gt;∙ Anschluss an MOVE-Ladenetz oder Integration in Primeo Energie ZEV-Dienstleistungspaket&lt;br /&gt;&lt;br /&gt;Beitragsbemessung: 500 Fr. pro Ladepunkt pauschal</t>
  </si>
  <si>
    <t>Erhöhung Anteil erneuerbare Energie im Wärmenetz</t>
  </si>
  <si>
    <t>∙ Wärmeverbund ist mehrheitlich im Besitz der Primeo Wärme AG&lt;br /&gt;∙ Erhöhung des Anteils erneuerbarer Energie auf mindestens 50 %&lt;br /&gt;∙ Wärmeverbund von mindestens 3 Gebäuden bzw.Versorgung von mindestens drei Parzellen&lt;br /&gt;∙ Erzeugte thermische Energie beträgt &amp;lt;= 200 MWh&lt;br /&gt;&lt;br /&gt;Beitragsbemessung: 3000 Fr. pauschal pro Projekt und 100 Fr. pro MWh, im Maximum 15'000 Fr.</t>
  </si>
  <si>
    <t>Diverse Projekte (Erneuerbare Energien, CO&lt;sub&gt;2&lt;/sub&gt;-Reduktion, Stärkung Versorgungssicherheit)</t>
  </si>
  <si>
    <t>Primeo Energie unterstützt diverse Projekte zur Förderung von erneuerbaren Energien, zur Reduktion von CO&lt;sub&gt;2&lt;/sub&gt;-Emissionen und zur Stärkung der Versorgungssicherheit. Ob und in welchem Umfang ein Projekt unterstützt wird, entscheidet Primeo Energie je Projekt. Fragen und Gesuche (Projektbeschrieb mit Wirtschaftlichkeitsrechnung) an energieberatung@primeo-energie.ch.</t>
  </si>
  <si>
    <t>Speichersysteme (Batterien)</t>
  </si>
  <si>
    <t>Unterstützung in Kombination mit PV-Anlagen</t>
  </si>
  <si>
    <t>Wand/Dach/Boden gegen Aussenklima 30 Fr. pro m&lt;sup&gt;2 &lt;/sup&gt;</t>
  </si>
  <si>
    <t>Kostenlose Energieberatung</t>
  </si>
  <si>
    <t>Neutrale und kostenlose Erstberatung (60 Minuten) und Informationsmaterial zu allen Energiefragen: Gebäudesanierung, Heizungsersatz, Fördergelder, Nutzung erneuerbarer Energien, Offertenvergleich, effiziente Geräte und Beleuchtung etc.</t>
  </si>
  <si>
    <t>https://www.eb-region-winterthur.ch/</t>
  </si>
  <si>
    <t>Ladestation Elektromobilität</t>
  </si>
  <si>
    <t>Die Erstellung einer öffentlichen und nicht öffentlichen Ladestation auf Liegenschaften wird gefördert. &lt;br /&gt;&lt;br /&gt;&lt;a href="https://www.stadt-zuerich.ch/portal/de/index/politik_u_recht/amtliche_sammlung/inhaltsverzeichnis/7/732/361-ausfuehrungsbestimmungen-zur-verordnung-ueber-gemeinwirtscha.html" target="_blank" rel="noopener"&gt;Bestimmungen&lt;/a&gt;</t>
  </si>
  <si>
    <t>https://www.stadt-zuerich.ch/energie/de/index/foerderung/alle-foerderprogramme/ladeinfrastruktur-elektrofahrzeuge.html</t>
  </si>
  <si>
    <t>Audit PEIK (soutien financier supplémentaire)</t>
  </si>
  <si>
    <t>Le plan d’action équiwatt PME propose une subvention pour un rapport d’audit PEK. Si vous réalisez au moins une des recommandations de ce dernier, équiwatt propose une subvention d’un montant allant jusqu’à CHF 2000.-</t>
  </si>
  <si>
    <t>https://www.equiwatt-lausanne.ch/audits-energetiques/</t>
  </si>
  <si>
    <t>Isolation thermique&lt;br /&gt;&lt;br /&gt;Aides financières: 21 CHF par m&lt;sup&gt;2 &lt;/sup&gt;isolé</t>
  </si>
  <si>
    <t>https://www.sion.ch/eauetenergie/18187</t>
  </si>
  <si>
    <t>Installation solaire thermique</t>
  </si>
  <si>
    <t>Aides financières: &lt;br /&gt;&lt;br /&gt;- contribution base: 800 CHF&lt;br /&gt;- contribution variable: de 120 à 300 CHF/m&lt;sup&gt;2&lt;/sup&gt;</t>
  </si>
  <si>
    <t>https://www.sion.ch/eauetenergie/18190</t>
  </si>
  <si>
    <t>Réalisation d’un CECB+&lt;br /&gt;&lt;br /&gt;Aides financières:&lt;br /&gt;- Villa: 300 CHF&lt;br /&gt;- Immeuble: 300 CHF + 20 CHF par logements&lt;br /&gt;</t>
  </si>
  <si>
    <t>https://www.sion.ch/eauetenergie/18193</t>
  </si>
  <si>
    <t>CHF 500.- Habitat Individuel / CHF 750.- habitat collectif, administration et école</t>
  </si>
  <si>
    <t>https://www.yverdon-energies.ch/equiwatt/audit-energetique-cecb-plus/</t>
  </si>
  <si>
    <t>Assainissement de l'enveloppe du bâtiment</t>
  </si>
  <si>
    <t>25% de la subvention cantonale, max CHF 10’000.-</t>
  </si>
  <si>
    <t>https://www.yverdon-energies.ch/equiwatt/batiments/</t>
  </si>
  <si>
    <t>Remplacement chauffe eau électrique</t>
  </si>
  <si>
    <t>Subvention communale pour le remplacement d'un chauffe eau 100% électrique par un chauffe-eau pompe à chaleur</t>
  </si>
  <si>
    <t>https://www.yverdon-energies.ch/programmes/installer-un-chauffeur-eau-pac/</t>
  </si>
  <si>
    <t>Véhicules 100% électriques</t>
  </si>
  <si>
    <t>Subvention pour l'achat de véhicules 100% électrique&lt;br /&gt;_x000D_
&lt;ul&gt;_x000D_
&lt;li&gt;Forfait de 1000 fr. pour les véhicules 100% électriques (max 10% prix d’achat)&lt;/li&gt;_x000D_
&lt;li&gt;Forfait à 500 fr. pour les scooters et motos 100% électriques (max 20% du prix d’achat)&lt;/li&gt;_x000D_
&lt;/ul&gt;_x000D_
&lt;p&gt;&lt;em&gt;L’aide financière s’adresse exclusivement aux habitants de la commune d’Yverdon-les-Bains.&lt;/em&gt;&lt;/p&gt;</t>
  </si>
  <si>
    <t>https://www.yverdon-energies.ch/equiwatt/vehicule-electrique-gaz/</t>
  </si>
  <si>
    <t>Certificat énergétique des bâtiments avec rapport de conseil (CECB Plus)</t>
  </si>
  <si>
    <t>Une subvention est accordée aux propriétaires de bâtiments construits avant 2000 pour l’établissement d’un Certificat énergétique cantonal des bâtiments Plus (CECB Plus). Le CECB Plus permet aux propriétaires d’établir un diagnostic énergétique de leur bâtiment et de recevoir des propositions chiffrées d’amélioration énergétique à mettre en œuvre.&lt;br /&gt;&lt;br /&gt;&lt;strong&gt;Contribution financiére&lt;/strong&gt;&lt;br /&gt;_x000D_
&lt;div class="clipped"&gt;- Habitat individuel: 750 fr.&lt;br /&gt;- Autres catégories: 1500 fr.&lt;/div&gt;</t>
  </si>
  <si>
    <t>https://www.ge-energie.ch/certificat-energetique-des-batiments-avec-rapport-de-conseil-cecb-plus</t>
  </si>
  <si>
    <t>Isolation thermique de la façade, du toit, des murs et du sol contre terre</t>
  </si>
  <si>
    <t>Cette subvention est allouée pour l’amélioration de l’isolation thermique.&lt;br /&gt;&lt;br /&gt;&lt;strong&gt;Contribution financère&lt;/strong&gt;&lt;br /&gt;- Élément de construction extérieur: 140 fr. par m&lt;sup&gt;2&lt;/sup&gt; (U &amp;lt; 0,2 W/m&lt;sup&gt;2&lt;/sup&gt;.K)&lt;br /&gt;- Murs et sols enterrés à plus de 2m: 80 fr. par m&lt;sup&gt;2&lt;/sup&gt; (U &amp;lt; 0,2 W/m&lt;sup&gt;2&lt;/sup&gt;.K)&lt;br /&gt;- Bonus: intégration capteurs solaires en toiture d'un bâtiment protégé: + 40 fr. par m&lt;sup&gt;2&lt;/sup&gt; de toiture isolée</t>
  </si>
  <si>
    <t>https://www.ge-energie.ch/isolation-thermique-de-la-facade-du-toit-des-murs-et-du-sol-contre-terre</t>
  </si>
  <si>
    <t>Cette subvention est allouée pour une rénovation complète obtenant le label Minergie ou Minergie-P.&lt;br /&gt;&lt;br /&gt;&lt;strong&gt;Contribution financière&lt;br /&gt;&lt;/strong&gt;- Habitat individuel &amp;lt; 250 m&lt;sup&gt;2&lt;/sup&gt;: 195 fr. par m&lt;sup&gt;2&lt;/sup&gt; SRE&lt;br /&gt;- Habitat individuel &amp;gt; 250 m&lt;sup&gt;2&lt;/sup&gt;: 22 500 fr. + 105 fr. par m&lt;sup&gt;2&lt;/sup&gt; SRE&lt;br /&gt;- Habitat collectif: 105 fr. par m&lt;sup&gt;2&lt;/sup&gt; SRE&lt;br /&gt;- Autre bâtiment: 75 fr. par m&lt;sup&gt;2&lt;/sup&gt; SRE&lt;br /&gt;- Bonus "Eco": 10 fr. par m&lt;sup&gt;2&lt;/sup&gt; SRE</t>
  </si>
  <si>
    <t>https://www.ge-energie.ch/index.php/hpe-renovation-variante-minergier</t>
  </si>
  <si>
    <t>Une subvention est accordée pour l’établissement d’une certification selon les critères du standard de construction durable suisse.&lt;br /&gt;&lt;br /&gt;&lt;strong&gt;Contribution financière&lt;/strong&gt;&lt;br /&gt;- Montants octroyés sur mesure</t>
  </si>
  <si>
    <t>https://www.ge-energie.ch/certification-snbs</t>
  </si>
  <si>
    <t>Information et conseil</t>
  </si>
  <si>
    <t>Subventions aux personnes ou aux entreprises employeurs.&lt;br /&gt;&lt;br /&gt;&lt;strong&gt;Contribution financière&lt;/strong&gt;&lt;br /&gt;- Montant octroyés sur mesure</t>
  </si>
  <si>
    <t>https://www.ge-energie.ch/mesures</t>
  </si>
  <si>
    <t>Pompe à chaleur sol-eau et eau-eau &amp;lt;70 kW</t>
  </si>
  <si>
    <t>Cette subvention est allouée pour l’installation d’une pompe à chaleur eau-eau en remplacement d’un chauffage au mazout, au gaz naturel ou d’un chauffage électrique fixe à résistance d'une puissance inférieure à 70kW.&lt;br /&gt;&lt;br /&gt;&lt;strong&gt;Contribution financière&lt;/strong&gt;&lt;br /&gt;- 3000 fr. + 800 fr. par kW&lt;br /&gt;- Bonus pour pose de compteur de chaleur: + 1000 fr.</t>
  </si>
  <si>
    <t>https://www.ge-energie.ch/pompe-chaleur-pac-sol-eau-avec-forage-geothermique-70-kw-et-pac-eau-eau-avec-source-toujours</t>
  </si>
  <si>
    <t>Nouvelle construction/extension du réseau de chaleur (sans financement à double)</t>
  </si>
  <si>
    <t>&lt;div class="col-lg-6"&gt;_x000D_
&lt;p&gt;Nouvelle construction/extension de l’installation de production de chaleur (au bénéfice de bâtiments existants). Une subvention est accordée pour le déploiement du réseau et de l’installation de production de chaleur. Sans financement à double M-07/M-18.&lt;br /&gt;&lt;br /&gt;&lt;strong&gt;Contribution financière&lt;/strong&gt;&lt;br /&gt;- 150 fr. par MWh/a part de renouvelable &lt;br /&gt;- 130 fr. par MWh/a part de renouvelable&lt;/p&gt;_x000D_
&lt;/div&gt;</t>
  </si>
  <si>
    <t>Raccordement a un réseau de chauffage (bâtiments existants) &amp;lt;70 kW</t>
  </si>
  <si>
    <t>Une subvention est accordée pour le raccordement des bâtiments aux réseaux thermiques de chauffage pour une puissance inférieure à 70 kW.&lt;br /&gt;&lt;br /&gt;&lt;strong&gt;Contribution financière&lt;/strong&gt;&lt;br /&gt;- 8000 fr. + 200 fr. par kW</t>
  </si>
  <si>
    <t>https://www.ge-energie.ch/index.php/raccordement-un-reseau-de-chauffage-batiments-existants-70kw</t>
  </si>
  <si>
    <t>Autres installations techniques</t>
  </si>
  <si>
    <t>Aide financière pour tout type d’action de réduction de la consommation d’énergie et/ou d’émissions de CO&lt;sub&gt;2&lt;/sub&gt; réalisée par une PME, une organisation, une fondation ou un propriétaire immobilier.</t>
  </si>
  <si>
    <t>https://www.ge-energie.ch/autres-installations-techniques</t>
  </si>
  <si>
    <t>Assistance à maîtrise d'usage</t>
  </si>
  <si>
    <t>Conseil d’un·e spécialiste AMU pour vous accompagner sur tous les aspects énergétiques d’un projet de rénovation.&lt;br /&gt;&lt;br /&gt;&lt;strong&gt;Contribution financière&lt;/strong&gt;&lt;br /&gt;- Dépend de la SRE</t>
  </si>
  <si>
    <t>https://www.ge-energie.ch/index.php/assistance-maitrise-dusage</t>
  </si>
  <si>
    <t>Une subvention est accordée pour l’établissement d’unecertification selon les critères de construction durablesuisse SNBS.</t>
  </si>
  <si>
    <t>https://ww2.sig-ge.ch/entreprises/optimisation-energetique-et-environnementale/eco21-entreprises/ambition-negawatt</t>
  </si>
  <si>
    <t>Vsl</t>
  </si>
  <si>
    <t>Repar</t>
  </si>
  <si>
    <t>Véhicules électriques</t>
  </si>
  <si>
    <t>CECB</t>
  </si>
  <si>
    <t>Stratégie et planification énergétique</t>
  </si>
  <si>
    <t>Infrastructure de recharge</t>
  </si>
  <si>
    <t>Nouvelle construction</t>
  </si>
  <si>
    <t>https://www.amb.ch/privati/servizi-energetici/incentivi/</t>
  </si>
  <si>
    <t>Niedergösgen</t>
  </si>
  <si>
    <t>Obergösgen</t>
  </si>
  <si>
    <t>Stüsslingen</t>
  </si>
  <si>
    <t>Trimbach</t>
  </si>
  <si>
    <t>Winznau</t>
  </si>
  <si>
    <t>Wisen (SO)</t>
  </si>
  <si>
    <t>Erlinsbach (SO)</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</si>
  <si>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</si>
  <si>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</si>
  <si>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</si>
  <si>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</si>
  <si>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</si>
  <si>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</si>
  <si>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</si>
  <si>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</si>
  <si>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</si>
  <si>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</si>
  <si>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</si>
  <si>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</si>
  <si>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</si>
  <si>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</si>
  <si>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</si>
  <si>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</si>
  <si>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</si>
  <si>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</si>
  <si>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</si>
  <si>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Balm bei Günsberg</t>
  </si>
  <si>
    <t>Bellach</t>
  </si>
  <si>
    <t>Bettlach</t>
  </si>
  <si>
    <t>Feldbrunnen-St. Niklaus</t>
  </si>
  <si>
    <t>Flumenthal</t>
  </si>
  <si>
    <t>Grenchen</t>
  </si>
  <si>
    <t>Günsberg</t>
  </si>
  <si>
    <t>Hubersdorf</t>
  </si>
  <si>
    <t>Kammersrohr</t>
  </si>
  <si>
    <t>Langendorf</t>
  </si>
  <si>
    <t>Lommiswil</t>
  </si>
  <si>
    <t>Oberdorf (SO)</t>
  </si>
  <si>
    <t>Riedholz</t>
  </si>
  <si>
    <t>Rüttenen</t>
  </si>
  <si>
    <t>Selzach</t>
  </si>
  <si>
    <t>Boningen</t>
  </si>
  <si>
    <t>Däniken</t>
  </si>
  <si>
    <t>Dulliken</t>
  </si>
  <si>
    <t>Eppenberg-Wöschnau</t>
  </si>
  <si>
    <t>Fulenbach</t>
  </si>
  <si>
    <t>Gretzenbach</t>
  </si>
  <si>
    <t>Gunzgen</t>
  </si>
  <si>
    <t>Hägendorf</t>
  </si>
  <si>
    <t>Kappel (SO)</t>
  </si>
  <si>
    <t>Olten</t>
  </si>
  <si>
    <t>Rickenbach (SO)</t>
  </si>
  <si>
    <t>Schönenwerd</t>
  </si>
  <si>
    <t>Starrkirch-Wil</t>
  </si>
  <si>
    <t>Walterswil (SO)</t>
  </si>
  <si>
    <t>Wangen bei Olten</t>
  </si>
  <si>
    <t>Bärschwil</t>
  </si>
  <si>
    <t>Beinwil (SO)</t>
  </si>
  <si>
    <t>Breitenbach</t>
  </si>
  <si>
    <t>Büsserach</t>
  </si>
  <si>
    <t>Erschwil</t>
  </si>
  <si>
    <t>Fehren</t>
  </si>
  <si>
    <t>Grindel</t>
  </si>
  <si>
    <t>Himmelried</t>
  </si>
  <si>
    <t>Kleinlützel</t>
  </si>
  <si>
    <t>Meltingen</t>
  </si>
  <si>
    <t>Nunningen</t>
  </si>
  <si>
    <t>Zullwil</t>
  </si>
  <si>
    <t>Basel</t>
  </si>
  <si>
    <t>Bettingen</t>
  </si>
  <si>
    <t>Riehen</t>
  </si>
  <si>
    <t>Aesch (BL)</t>
  </si>
  <si>
    <t>Allschwil</t>
  </si>
  <si>
    <t>Arlesheim</t>
  </si>
  <si>
    <t>Biel-Benken</t>
  </si>
  <si>
    <t>Binningen</t>
  </si>
  <si>
    <t>Birsfelden</t>
  </si>
  <si>
    <t>Bottmingen</t>
  </si>
  <si>
    <t>Ettingen</t>
  </si>
  <si>
    <t>Münchenstein</t>
  </si>
  <si>
    <t>Muttenz</t>
  </si>
  <si>
    <t>Oberwil (BL)</t>
  </si>
  <si>
    <t>Pfeffingen</t>
  </si>
  <si>
    <t>Reinach (BL)</t>
  </si>
  <si>
    <t>Schönenbuch</t>
  </si>
  <si>
    <t>Therwil</t>
  </si>
  <si>
    <t>Blauen</t>
  </si>
  <si>
    <t>Brislach</t>
  </si>
  <si>
    <t>Burg im Leimental</t>
  </si>
  <si>
    <t>Dittingen</t>
  </si>
  <si>
    <t>Duggingen</t>
  </si>
  <si>
    <t>Grellingen</t>
  </si>
  <si>
    <t>Laufen</t>
  </si>
  <si>
    <t>Liesberg</t>
  </si>
  <si>
    <t>Nenzlingen</t>
  </si>
  <si>
    <t>Roggenburg</t>
  </si>
  <si>
    <t>Röschenz</t>
  </si>
  <si>
    <t>Wahlen</t>
  </si>
  <si>
    <t>Zwingen</t>
  </si>
  <si>
    <t>Arisdorf</t>
  </si>
  <si>
    <t>Augst</t>
  </si>
  <si>
    <t>Bubendorf</t>
  </si>
  <si>
    <t>Frenkendorf</t>
  </si>
  <si>
    <t>Füllinsdorf</t>
  </si>
  <si>
    <t>Giebenach</t>
  </si>
  <si>
    <t>Hersberg</t>
  </si>
  <si>
    <t>Lausen</t>
  </si>
  <si>
    <t>Liestal</t>
  </si>
  <si>
    <t>Lupsingen</t>
  </si>
  <si>
    <t>Pratteln</t>
  </si>
  <si>
    <t>Ramlinsburg</t>
  </si>
  <si>
    <t>Seltisberg</t>
  </si>
  <si>
    <t>Ziefen</t>
  </si>
  <si>
    <t>Anwil</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</si>
  <si>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</si>
  <si>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</si>
  <si>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</si>
  <si>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</si>
  <si>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</si>
  <si>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</si>
  <si>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</si>
  <si>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</si>
  <si>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</si>
  <si>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</si>
  <si>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</si>
  <si>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</si>
  <si>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</si>
  <si>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</si>
  <si>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</si>
  <si>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</si>
  <si>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</si>
  <si>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</si>
  <si>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</si>
  <si>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</si>
  <si>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</si>
  <si>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</si>
  <si>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</si>
  <si>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</si>
  <si>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</si>
  <si>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</si>
  <si>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</si>
  <si>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</si>
  <si>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</si>
  <si>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Bennwil</t>
  </si>
  <si>
    <t>Bretzwil</t>
  </si>
  <si>
    <t>Diegten</t>
  </si>
  <si>
    <t>Eptingen</t>
  </si>
  <si>
    <t>Hölstein</t>
  </si>
  <si>
    <t>Lampenberg</t>
  </si>
  <si>
    <t>Langenbruck</t>
  </si>
  <si>
    <t>Lauwil</t>
  </si>
  <si>
    <t>Liedertswil</t>
  </si>
  <si>
    <t>Niederdorf</t>
  </si>
  <si>
    <t>Oberdorf (BL)</t>
  </si>
  <si>
    <t>Reigoldswil</t>
  </si>
  <si>
    <t>Titterten</t>
  </si>
  <si>
    <t>Waldenburg</t>
  </si>
  <si>
    <t>Gächlingen</t>
  </si>
  <si>
    <t>Löhningen</t>
  </si>
  <si>
    <t>Neunkirch</t>
  </si>
  <si>
    <t>Büttenhardt</t>
  </si>
  <si>
    <t>Dörflingen</t>
  </si>
  <si>
    <t>Lohn (SH)</t>
  </si>
  <si>
    <t>Stetten (SH)</t>
  </si>
  <si>
    <t>Thayngen</t>
  </si>
  <si>
    <t>Bargen (SH)</t>
  </si>
  <si>
    <t>Beringen</t>
  </si>
  <si>
    <t>Buchberg</t>
  </si>
  <si>
    <t>Merishausen</t>
  </si>
  <si>
    <t>Neuhausen am Rheinfall</t>
  </si>
  <si>
    <t>Rüdlingen</t>
  </si>
  <si>
    <t>Beggingen</t>
  </si>
  <si>
    <t>Schleitheim</t>
  </si>
  <si>
    <t>Siblingen</t>
  </si>
  <si>
    <t>Buch (SH)</t>
  </si>
  <si>
    <t>Hemishofen</t>
  </si>
  <si>
    <t>Ramsen</t>
  </si>
  <si>
    <t>Stein am Rhein</t>
  </si>
  <si>
    <t>Hallau</t>
  </si>
  <si>
    <t>Oberhallau</t>
  </si>
  <si>
    <t>Trasadingen</t>
  </si>
  <si>
    <t>Wilchingen</t>
  </si>
  <si>
    <t>Herisau</t>
  </si>
  <si>
    <t>Hundwil</t>
  </si>
  <si>
    <t>Schönengrund</t>
  </si>
  <si>
    <t>Schwellbrunn</t>
  </si>
  <si>
    <t>Stein (AR)</t>
  </si>
  <si>
    <t>Urnäsch</t>
  </si>
  <si>
    <t>Waldstatt</t>
  </si>
  <si>
    <t>Bühler</t>
  </si>
  <si>
    <t>Gais</t>
  </si>
  <si>
    <t>Speicher</t>
  </si>
  <si>
    <t>Teufen (AR)</t>
  </si>
  <si>
    <t>Trogen</t>
  </si>
  <si>
    <t>Grub (AR)</t>
  </si>
  <si>
    <t>Heiden</t>
  </si>
  <si>
    <t>Lutzenberg</t>
  </si>
  <si>
    <t>Rehetobel</t>
  </si>
  <si>
    <t>Reute (AR)</t>
  </si>
  <si>
    <t>Wald (AR)</t>
  </si>
  <si>
    <t>Walzenhausen</t>
  </si>
  <si>
    <t>Wolfhalden</t>
  </si>
  <si>
    <t>Appenzell</t>
  </si>
  <si>
    <t>Gonten</t>
  </si>
  <si>
    <t>Schlatt-Haslen</t>
  </si>
  <si>
    <t>Oberegg</t>
  </si>
  <si>
    <t>Schwende-Rüte</t>
  </si>
  <si>
    <t>Häggenschwil</t>
  </si>
  <si>
    <t>Muolen</t>
  </si>
  <si>
    <t>St. Gallen</t>
  </si>
  <si>
    <t>Wittenbach</t>
  </si>
  <si>
    <t>Berg (SG)</t>
  </si>
  <si>
    <t>Eggersriet</t>
  </si>
  <si>
    <t>Goldach</t>
  </si>
  <si>
    <t>Mörschwil</t>
  </si>
  <si>
    <t>Rorschach</t>
  </si>
  <si>
    <t>Rorschacherberg</t>
  </si>
  <si>
    <t>Steinach</t>
  </si>
  <si>
    <t>Tübach</t>
  </si>
  <si>
    <t>Untereggen</t>
  </si>
  <si>
    <t>Au (SG)</t>
  </si>
  <si>
    <t>Balgach</t>
  </si>
  <si>
    <t>Berneck</t>
  </si>
  <si>
    <t>Diepoldsau</t>
  </si>
  <si>
    <t>Rheineck</t>
  </si>
  <si>
    <t>St. Margrethen</t>
  </si>
  <si>
    <t>Thal</t>
  </si>
  <si>
    <t>Widnau</t>
  </si>
  <si>
    <t>Altstätten</t>
  </si>
  <si>
    <t>Eichberg</t>
  </si>
  <si>
    <t>Marbach (SG)</t>
  </si>
  <si>
    <t>Oberriet (SG)</t>
  </si>
  <si>
    <t>Rebstein</t>
  </si>
  <si>
    <t>Rüthi (SG)</t>
  </si>
  <si>
    <t>Buchs (SG)</t>
  </si>
  <si>
    <t>Gams</t>
  </si>
  <si>
    <t>Grabs</t>
  </si>
  <si>
    <t>Sennwald</t>
  </si>
  <si>
    <t>Sevelen</t>
  </si>
  <si>
    <t>Wartau</t>
  </si>
  <si>
    <t>Bad Ragaz</t>
  </si>
  <si>
    <t>Flums</t>
  </si>
  <si>
    <t>Mels</t>
  </si>
  <si>
    <t>Pfäfers</t>
  </si>
  <si>
    <t>Quarten</t>
  </si>
  <si>
    <t>Sargans</t>
  </si>
  <si>
    <t>Vilters-Wangs</t>
  </si>
  <si>
    <t>Walenstadt</t>
  </si>
  <si>
    <t>Amden</t>
  </si>
  <si>
    <t>Benken (SG)</t>
  </si>
  <si>
    <t>Kaltbrunn</t>
  </si>
  <si>
    <t>Schänis</t>
  </si>
  <si>
    <t>Weesen</t>
  </si>
  <si>
    <t>Schmerikon</t>
  </si>
  <si>
    <t>Uznach</t>
  </si>
  <si>
    <t>Rapperswil-Jona</t>
  </si>
  <si>
    <t>Gommiswald</t>
  </si>
  <si>
    <t>Eschenbach (SG)</t>
  </si>
  <si>
    <t>Ebnat-Kappel</t>
  </si>
  <si>
    <t>Wildhaus-Alt St. Johann</t>
  </si>
  <si>
    <t>Nesslau</t>
  </si>
  <si>
    <t>Lichtensteig</t>
  </si>
  <si>
    <t>Wattwil</t>
  </si>
  <si>
    <t>Kirchberg (SG)</t>
  </si>
  <si>
    <t>Lütisburg</t>
  </si>
  <si>
    <t>Mosnang</t>
  </si>
  <si>
    <t>Bütschwil-Ganterschwil</t>
  </si>
  <si>
    <t>Neckertal</t>
  </si>
  <si>
    <t>Degersheim</t>
  </si>
  <si>
    <t>Flawil</t>
  </si>
  <si>
    <t>Jonschwil</t>
  </si>
  <si>
    <t>Oberuzwil</t>
  </si>
  <si>
    <t>Uzwil</t>
  </si>
  <si>
    <t>Niederbüren</t>
  </si>
  <si>
    <t>Niederhelfenschwil</t>
  </si>
  <si>
    <t>Oberbüren</t>
  </si>
  <si>
    <t>Zuzwil (SG)</t>
  </si>
  <si>
    <t>Wil (SG)</t>
  </si>
  <si>
    <t>Andwil (SG)</t>
  </si>
  <si>
    <t>Gaiserwald</t>
  </si>
  <si>
    <t>Gossau (SG)</t>
  </si>
  <si>
    <t>Waldkirch</t>
  </si>
  <si>
    <t>Vaz/Obervaz</t>
  </si>
  <si>
    <t>Lantsch/Lenz</t>
  </si>
  <si>
    <t>Schmitten (GR)</t>
  </si>
  <si>
    <t>Albula/Alvra</t>
  </si>
  <si>
    <t>Surses</t>
  </si>
  <si>
    <t>Bergün Filisur</t>
  </si>
  <si>
    <t>Brusio</t>
  </si>
  <si>
    <t>Poschiavo</t>
  </si>
  <si>
    <t>Falera</t>
  </si>
  <si>
    <t>Laax</t>
  </si>
  <si>
    <t>Sagogn</t>
  </si>
  <si>
    <t>Schluein</t>
  </si>
  <si>
    <t>Vals</t>
  </si>
  <si>
    <t>Lumnezia</t>
  </si>
  <si>
    <t>Ilanz/Glion</t>
  </si>
  <si>
    <t>Fürstenau</t>
  </si>
  <si>
    <t>Rothenbrunnen</t>
  </si>
  <si>
    <t>Scharans</t>
  </si>
  <si>
    <t>Sils im Domleschg</t>
  </si>
  <si>
    <t>Cazis</t>
  </si>
  <si>
    <t>Flerden</t>
  </si>
  <si>
    <t>Masein</t>
  </si>
  <si>
    <t>Thusis</t>
  </si>
  <si>
    <t>Tschappina</t>
  </si>
  <si>
    <t>Urmein</t>
  </si>
  <si>
    <t>Safiental</t>
  </si>
  <si>
    <t>Domleschg</t>
  </si>
  <si>
    <t>Avers</t>
  </si>
  <si>
    <t>Sufers</t>
  </si>
  <si>
    <t>Andeer</t>
  </si>
  <si>
    <t>Rongellen</t>
  </si>
  <si>
    <t>Zillis-Reischen</t>
  </si>
  <si>
    <t>Ferrera</t>
  </si>
  <si>
    <t>Rheinwald</t>
  </si>
  <si>
    <t>Muntogna da Schons</t>
  </si>
  <si>
    <t>Bonaduz</t>
  </si>
  <si>
    <t>Domat/Ems</t>
  </si>
  <si>
    <t>Rhäzüns</t>
  </si>
  <si>
    <t>Felsberg</t>
  </si>
  <si>
    <t>Flims</t>
  </si>
  <si>
    <t>Tamins</t>
  </si>
  <si>
    <t>Trin</t>
  </si>
  <si>
    <t>Zernez</t>
  </si>
  <si>
    <t>Samnaun</t>
  </si>
  <si>
    <t>Scuol</t>
  </si>
  <si>
    <t>Valsot</t>
  </si>
  <si>
    <t>Bever</t>
  </si>
  <si>
    <t>Celerina/Schlarigna</t>
  </si>
  <si>
    <t>Madulain</t>
  </si>
  <si>
    <t>Pontresina</t>
  </si>
  <si>
    <t>La Punt Chamues-ch</t>
  </si>
  <si>
    <t>Samedan</t>
  </si>
  <si>
    <t>St. Moritz</t>
  </si>
  <si>
    <t>S-chanf</t>
  </si>
  <si>
    <t>Sils im Engadin/Segl</t>
  </si>
  <si>
    <t>Silvaplana</t>
  </si>
  <si>
    <t>Zuoz</t>
  </si>
  <si>
    <t>Bregaglia</t>
  </si>
  <si>
    <t>Buseno</t>
  </si>
  <si>
    <t>Castaneda</t>
  </si>
  <si>
    <t>Rossa</t>
  </si>
  <si>
    <t>Santa Maria in Calanca</t>
  </si>
  <si>
    <t>Lostallo</t>
  </si>
  <si>
    <t>Mesocco</t>
  </si>
  <si>
    <t>Soazza</t>
  </si>
  <si>
    <t>Cama</t>
  </si>
  <si>
    <t>Grono</t>
  </si>
  <si>
    <t>Roveredo (GR)</t>
  </si>
  <si>
    <t>San Vittore</t>
  </si>
  <si>
    <t>Calanca</t>
  </si>
  <si>
    <t>Val Müstair</t>
  </si>
  <si>
    <t>Davos</t>
  </si>
  <si>
    <t>Fideris</t>
  </si>
  <si>
    <t>Furna</t>
  </si>
  <si>
    <t>Jenaz</t>
  </si>
  <si>
    <t>Klosters</t>
  </si>
  <si>
    <t>Conters im Prättigau</t>
  </si>
  <si>
    <t>Küblis</t>
  </si>
  <si>
    <t>Luzein</t>
  </si>
  <si>
    <t>Chur</t>
  </si>
  <si>
    <t>Churwalden</t>
  </si>
  <si>
    <t>Arosa</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</si>
  <si>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</si>
  <si>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</si>
  <si>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</si>
  <si>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</si>
  <si>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</si>
  <si>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</si>
  <si>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</si>
  <si>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</si>
  <si>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</si>
  <si>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</si>
  <si>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</si>
  <si>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</si>
  <si>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</si>
  <si>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</si>
  <si>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</si>
  <si>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</si>
  <si>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</si>
  <si>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Obersaxen Mundaun</t>
  </si>
  <si>
    <t>Aarau</t>
  </si>
  <si>
    <t>Biberstein</t>
  </si>
  <si>
    <t>Buchs (AG)</t>
  </si>
  <si>
    <t>Densbüren</t>
  </si>
  <si>
    <t>Erlinsbach (AG)</t>
  </si>
  <si>
    <t>Gränichen</t>
  </si>
  <si>
    <t>Hirschthal</t>
  </si>
  <si>
    <t>Küttigen</t>
  </si>
  <si>
    <t>Muhen</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</si>
  <si>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</si>
  <si>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</si>
  <si>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</si>
  <si>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</si>
  <si>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</si>
  <si>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</si>
  <si>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</si>
  <si>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</si>
  <si>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</si>
  <si>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</si>
  <si>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</si>
  <si>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</si>
  <si>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</si>
  <si>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</si>
  <si>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</si>
  <si>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</si>
  <si>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</si>
  <si>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</si>
  <si>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</si>
  <si>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</si>
  <si>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</si>
  <si>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</si>
  <si>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Untersiggenthal</t>
  </si>
  <si>
    <t>Wettingen</t>
  </si>
  <si>
    <t>Wohlenschwil</t>
  </si>
  <si>
    <t>Würenlingen</t>
  </si>
  <si>
    <t>Würenlos</t>
  </si>
  <si>
    <t>Ehrendingen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</si>
  <si>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</si>
  <si>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</si>
  <si>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</si>
  <si>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</si>
  <si>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</si>
  <si>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</si>
  <si>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</si>
  <si>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</si>
  <si>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</si>
  <si>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</si>
  <si>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</si>
  <si>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</si>
  <si>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</si>
  <si>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</si>
  <si>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</si>
  <si>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</si>
  <si>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</si>
  <si>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</si>
  <si>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</si>
  <si>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</si>
  <si>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</si>
  <si>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</si>
  <si>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Auenstein</t>
  </si>
  <si>
    <t>Birr</t>
  </si>
  <si>
    <t>Birrhard</t>
  </si>
  <si>
    <t>Brugg</t>
  </si>
  <si>
    <t>Habsburg</t>
  </si>
  <si>
    <t>Hausen (AG)</t>
  </si>
  <si>
    <t>Lupfig</t>
  </si>
  <si>
    <t>Mandach</t>
  </si>
  <si>
    <t>Mönthal</t>
  </si>
  <si>
    <t>Mülligen</t>
  </si>
  <si>
    <t>Remigen</t>
  </si>
  <si>
    <t>Riniken</t>
  </si>
  <si>
    <t>Rüfenach</t>
  </si>
  <si>
    <t>Thalheim (AG)</t>
  </si>
  <si>
    <t>Veltheim (AG)</t>
  </si>
  <si>
    <t>Villigen</t>
  </si>
  <si>
    <t>Villnachern</t>
  </si>
  <si>
    <t>Windisch</t>
  </si>
  <si>
    <t>Bözberg</t>
  </si>
  <si>
    <t>Schinznach</t>
  </si>
  <si>
    <t>Beinwil am See</t>
  </si>
  <si>
    <t>Birrwil</t>
  </si>
  <si>
    <t>Dürrenäsch</t>
  </si>
  <si>
    <t>Gontenschwil</t>
  </si>
  <si>
    <t>Holziken</t>
  </si>
  <si>
    <t>Leimbach (AG)</t>
  </si>
  <si>
    <t>Leutwil</t>
  </si>
  <si>
    <t>Menziken</t>
  </si>
  <si>
    <t>Oberkulm</t>
  </si>
  <si>
    <t>Reinach (AG)</t>
  </si>
  <si>
    <t>Schlossrued</t>
  </si>
  <si>
    <t>Schmiedrued</t>
  </si>
  <si>
    <t>Schöftland</t>
  </si>
  <si>
    <t>Teufenthal (AG)</t>
  </si>
  <si>
    <t>Unterkulm</t>
  </si>
  <si>
    <t>Zetzwil</t>
  </si>
  <si>
    <t>Eiken</t>
  </si>
  <si>
    <t>Frick</t>
  </si>
  <si>
    <t>Gansingen</t>
  </si>
  <si>
    <t>Gipf-Oberfrick</t>
  </si>
  <si>
    <t>Kaisten</t>
  </si>
  <si>
    <t>Laufenburg</t>
  </si>
  <si>
    <t>Münchwilen (AG)</t>
  </si>
  <si>
    <t>Oberhof</t>
  </si>
  <si>
    <t>Oeschgen</t>
  </si>
  <si>
    <t>Schwaderloch</t>
  </si>
  <si>
    <t>Sisseln</t>
  </si>
  <si>
    <t>Wittnau</t>
  </si>
  <si>
    <t>Wölflinswil</t>
  </si>
  <si>
    <t>Zeihen</t>
  </si>
  <si>
    <t>Mettauertal</t>
  </si>
  <si>
    <t>Böztal</t>
  </si>
  <si>
    <t>Herznach-Ueken</t>
  </si>
  <si>
    <t>Ammerswil</t>
  </si>
  <si>
    <t>Boniswil</t>
  </si>
  <si>
    <t>Brunegg</t>
  </si>
  <si>
    <t>Dintikon</t>
  </si>
  <si>
    <t>Egliswil</t>
  </si>
  <si>
    <t>Fahrwangen</t>
  </si>
  <si>
    <t>Hallwil</t>
  </si>
  <si>
    <t>Hendschiken</t>
  </si>
  <si>
    <t>Holderbank (AG)</t>
  </si>
  <si>
    <t>Hunzenschwil</t>
  </si>
  <si>
    <t>Lenzburg</t>
  </si>
  <si>
    <t>Meisterschwanden</t>
  </si>
  <si>
    <t>Möriken-Wildegg</t>
  </si>
  <si>
    <t>Niederlenz</t>
  </si>
  <si>
    <t>Othmarsingen</t>
  </si>
  <si>
    <t>Rupperswil</t>
  </si>
  <si>
    <t>Schafisheim</t>
  </si>
  <si>
    <t>Seengen</t>
  </si>
  <si>
    <t>Seon</t>
  </si>
  <si>
    <t>Staufen</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</si>
  <si>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</si>
  <si>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</si>
  <si>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</si>
  <si>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</si>
  <si>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</si>
  <si>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</si>
  <si>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</si>
  <si>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</si>
  <si>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</si>
  <si>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</si>
  <si>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</si>
  <si>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</si>
  <si>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</si>
  <si>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</si>
  <si>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</si>
  <si>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</si>
  <si>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</si>
  <si>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</si>
  <si>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</si>
  <si>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Hellikon</t>
  </si>
  <si>
    <t>Kaiseraugst</t>
  </si>
  <si>
    <t>Magden</t>
  </si>
  <si>
    <t>Möhlin</t>
  </si>
  <si>
    <t>Mumpf</t>
  </si>
  <si>
    <t>Obermumpf</t>
  </si>
  <si>
    <t>Olsberg</t>
  </si>
  <si>
    <t>Rheinfelden</t>
  </si>
  <si>
    <t>Schupfart</t>
  </si>
  <si>
    <t>Stein (AG)</t>
  </si>
  <si>
    <t>Wallbach</t>
  </si>
  <si>
    <t>Wegenstetten</t>
  </si>
  <si>
    <t>Zeiningen</t>
  </si>
  <si>
    <t>Zuzgen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</si>
  <si>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</si>
  <si>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</si>
  <si>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</si>
  <si>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</si>
  <si>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</si>
  <si>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</si>
  <si>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</si>
  <si>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</si>
  <si>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</si>
  <si>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</si>
  <si>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</si>
  <si>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</si>
  <si>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</si>
  <si>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</si>
  <si>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</si>
  <si>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</si>
  <si>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Zofingen</t>
  </si>
  <si>
    <t>Böttstein</t>
  </si>
  <si>
    <t>Döttingen</t>
  </si>
  <si>
    <t>Endingen</t>
  </si>
  <si>
    <t>Fisibach</t>
  </si>
  <si>
    <t>Full-Reuenthal</t>
  </si>
  <si>
    <t>Klingnau</t>
  </si>
  <si>
    <t>Koblenz</t>
  </si>
  <si>
    <t>Leibstadt</t>
  </si>
  <si>
    <t>Lengnau (AG)</t>
  </si>
  <si>
    <t>Leuggern</t>
  </si>
  <si>
    <t>Mellikon</t>
  </si>
  <si>
    <t>Schneisingen</t>
  </si>
  <si>
    <t>Siglistorf</t>
  </si>
  <si>
    <t>Tegerfelden</t>
  </si>
  <si>
    <t>Zurzach</t>
  </si>
  <si>
    <t>Arbon</t>
  </si>
  <si>
    <t>Dozwil</t>
  </si>
  <si>
    <t>Egnach</t>
  </si>
  <si>
    <t>Hefenhofen</t>
  </si>
  <si>
    <t>Horn</t>
  </si>
  <si>
    <t>Kesswil</t>
  </si>
  <si>
    <t>Roggwil (TG)</t>
  </si>
  <si>
    <t>Romanshorn</t>
  </si>
  <si>
    <t>Salmsach</t>
  </si>
  <si>
    <t>Sommeri</t>
  </si>
  <si>
    <t>Uttwil</t>
  </si>
  <si>
    <t>Amriswil</t>
  </si>
  <si>
    <t>Bischofszell</t>
  </si>
  <si>
    <t>Erlen</t>
  </si>
  <si>
    <t>Hauptwil-Gottshaus</t>
  </si>
  <si>
    <t>Hohentannen</t>
  </si>
  <si>
    <t>Kradolf-Schönenberg</t>
  </si>
  <si>
    <t>Sulgen</t>
  </si>
  <si>
    <t>Zihlschlacht-Sitterdorf</t>
  </si>
  <si>
    <t>Basadingen-Schlattingen</t>
  </si>
  <si>
    <t>Diessenhofen</t>
  </si>
  <si>
    <t>Schlatt (TG)</t>
  </si>
  <si>
    <t>Aadorf</t>
  </si>
  <si>
    <t>Felben-Wellhausen</t>
  </si>
  <si>
    <t>Frauenfeld</t>
  </si>
  <si>
    <t>Gachnang</t>
  </si>
  <si>
    <t>Hüttlingen</t>
  </si>
  <si>
    <t>Matzingen</t>
  </si>
  <si>
    <t>Neunforn</t>
  </si>
  <si>
    <t>Stettfurt</t>
  </si>
  <si>
    <t>Thundorf</t>
  </si>
  <si>
    <t>Uesslingen-Buch</t>
  </si>
  <si>
    <t>Warth-Weiningen</t>
  </si>
  <si>
    <t>Altnau</t>
  </si>
  <si>
    <t>Bottighofen</t>
  </si>
  <si>
    <t>Ermatingen</t>
  </si>
  <si>
    <t>Gottlieben</t>
  </si>
  <si>
    <t>Güttingen</t>
  </si>
  <si>
    <t>Kemmental</t>
  </si>
  <si>
    <t>Kreuzlingen</t>
  </si>
  <si>
    <t>Langrickenbach</t>
  </si>
  <si>
    <t>Lengwil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</si>
  <si>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</si>
  <si>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</si>
  <si>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</si>
  <si>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</si>
  <si>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</si>
  <si>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</si>
  <si>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</si>
  <si>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</si>
  <si>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</si>
  <si>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</si>
  <si>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</si>
  <si>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</si>
  <si>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</si>
  <si>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</si>
  <si>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</si>
  <si>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</si>
  <si>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</si>
  <si>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</si>
  <si>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</si>
  <si>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</si>
  <si>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</si>
  <si>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</si>
  <si>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</si>
  <si>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</si>
  <si>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</si>
  <si>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</si>
  <si>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</si>
  <si>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</si>
  <si>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</si>
  <si>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</si>
  <si>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</si>
  <si>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</si>
  <si>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</si>
  <si>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</si>
  <si>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</si>
  <si>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</si>
  <si>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Weinfelden</t>
  </si>
  <si>
    <t>Wigoltingen</t>
  </si>
  <si>
    <t>Arbedo-Castione</t>
  </si>
  <si>
    <t>Bellinzona</t>
  </si>
  <si>
    <t>Cadenazzo</t>
  </si>
  <si>
    <t>Isone</t>
  </si>
  <si>
    <t>Lumino</t>
  </si>
  <si>
    <t>Sant'Antonino</t>
  </si>
  <si>
    <t>Acquarossa</t>
  </si>
  <si>
    <t>Blenio</t>
  </si>
  <si>
    <t>Serravalle</t>
  </si>
  <si>
    <t>Airolo</t>
  </si>
  <si>
    <t>Bedretto</t>
  </si>
  <si>
    <t>Bodio</t>
  </si>
  <si>
    <t>Dalpe</t>
  </si>
  <si>
    <t>Faido</t>
  </si>
  <si>
    <t>Giornico</t>
  </si>
  <si>
    <t>Personico</t>
  </si>
  <si>
    <t>Pollegio</t>
  </si>
  <si>
    <t>Prato (Leventina)</t>
  </si>
  <si>
    <t>Quinto</t>
  </si>
  <si>
    <t>Ascona</t>
  </si>
  <si>
    <t>Brione sopra Minusio</t>
  </si>
  <si>
    <t>Brissago</t>
  </si>
  <si>
    <t>Gordola</t>
  </si>
  <si>
    <t>Lavertezzo</t>
  </si>
  <si>
    <t>Locarno</t>
  </si>
  <si>
    <t>Losone</t>
  </si>
  <si>
    <t>Mergoscia</t>
  </si>
  <si>
    <t>Minusio</t>
  </si>
  <si>
    <t>Muralto</t>
  </si>
  <si>
    <t>Orselina</t>
  </si>
  <si>
    <t>Ronco sopra Ascona</t>
  </si>
  <si>
    <t>Tenero-Contra</t>
  </si>
  <si>
    <t>Onsernone</t>
  </si>
  <si>
    <t>Cugnasco-Gerra</t>
  </si>
  <si>
    <t>Agno</t>
  </si>
  <si>
    <t>Aranno</t>
  </si>
  <si>
    <t>Arogno</t>
  </si>
  <si>
    <t>Astano</t>
  </si>
  <si>
    <t>Bedano</t>
  </si>
  <si>
    <t>Bedigliora</t>
  </si>
  <si>
    <t>Bioggio</t>
  </si>
  <si>
    <t>Bissone</t>
  </si>
  <si>
    <t>Brusino Arsizio</t>
  </si>
  <si>
    <t>Cademario</t>
  </si>
  <si>
    <t>Cadempino</t>
  </si>
  <si>
    <t>Canobbio</t>
  </si>
  <si>
    <t>Caslano</t>
  </si>
  <si>
    <t>Comano</t>
  </si>
  <si>
    <t>Cureglia</t>
  </si>
  <si>
    <t>Curio</t>
  </si>
  <si>
    <t>Grancia</t>
  </si>
  <si>
    <t>Gravesano</t>
  </si>
  <si>
    <t>Lamone</t>
  </si>
  <si>
    <t>Lugano</t>
  </si>
  <si>
    <t>Magliaso</t>
  </si>
  <si>
    <t>Manno</t>
  </si>
  <si>
    <t>Massagno</t>
  </si>
  <si>
    <t>Melide</t>
  </si>
  <si>
    <t>Mezzovico-Vira</t>
  </si>
  <si>
    <t>Miglieglia</t>
  </si>
  <si>
    <t>Morcote</t>
  </si>
  <si>
    <t>Muzzano</t>
  </si>
  <si>
    <t>Neggio</t>
  </si>
  <si>
    <t>Novaggio</t>
  </si>
  <si>
    <t>Origlio</t>
  </si>
  <si>
    <t>Paradiso</t>
  </si>
  <si>
    <t>Ponte Capriasca</t>
  </si>
  <si>
    <t>Porza</t>
  </si>
  <si>
    <t>Pura</t>
  </si>
  <si>
    <t>Savosa</t>
  </si>
  <si>
    <t>Sorengo</t>
  </si>
  <si>
    <t>Capriasca</t>
  </si>
  <si>
    <t>Torricella-Taverne</t>
  </si>
  <si>
    <t>Vernate</t>
  </si>
  <si>
    <t>Vezia</t>
  </si>
  <si>
    <t>Vico Morcote</t>
  </si>
  <si>
    <t>Collina d'Oro</t>
  </si>
  <si>
    <t>Alto Malcantone</t>
  </si>
  <si>
    <t>Monteceneri</t>
  </si>
  <si>
    <t>Tresa</t>
  </si>
  <si>
    <t>Val Mara</t>
  </si>
  <si>
    <t>Balerna</t>
  </si>
  <si>
    <t>Castel San Pietro</t>
  </si>
  <si>
    <t>Chiasso</t>
  </si>
  <si>
    <t>Coldrerio</t>
  </si>
  <si>
    <t>Mendrisio</t>
  </si>
  <si>
    <t>Morbio Inferiore</t>
  </si>
  <si>
    <t>Novazzano</t>
  </si>
  <si>
    <t>Riva San Vitale</t>
  </si>
  <si>
    <t>Stabio</t>
  </si>
  <si>
    <t>Vacallo</t>
  </si>
  <si>
    <t>Breggia</t>
  </si>
  <si>
    <t>Biasca</t>
  </si>
  <si>
    <t>Riviera</t>
  </si>
  <si>
    <t>Bosco/Gurin</t>
  </si>
  <si>
    <t>Campo (Vallemaggia)</t>
  </si>
  <si>
    <t>Cerentino</t>
  </si>
  <si>
    <t>Cevio</t>
  </si>
  <si>
    <t>Linescio</t>
  </si>
  <si>
    <t>Maggia</t>
  </si>
  <si>
    <t>Lavizzara</t>
  </si>
  <si>
    <t>Avegno Gordevio</t>
  </si>
  <si>
    <t>Terre di Pedemonte</t>
  </si>
  <si>
    <t>Centovalli</t>
  </si>
  <si>
    <t>Gambarogno</t>
  </si>
  <si>
    <t>Verzasca</t>
  </si>
  <si>
    <t>Aigle</t>
  </si>
  <si>
    <t>Bex</t>
  </si>
  <si>
    <t>Chessel</t>
  </si>
  <si>
    <t>Corbeyrier</t>
  </si>
  <si>
    <t>Gryon</t>
  </si>
  <si>
    <t>Lavey-Morcles</t>
  </si>
  <si>
    <t>Leysin</t>
  </si>
  <si>
    <t>Noville</t>
  </si>
  <si>
    <t>Ollon</t>
  </si>
  <si>
    <t>Ormont-Dessous</t>
  </si>
  <si>
    <t>Ormont-Dessus</t>
  </si>
  <si>
    <t>Rennaz</t>
  </si>
  <si>
    <t>Roche (VD)</t>
  </si>
  <si>
    <t>Villeneuve (VD)</t>
  </si>
  <si>
    <t>Yvorne</t>
  </si>
  <si>
    <t>Aubonne</t>
  </si>
  <si>
    <t>Ballens</t>
  </si>
  <si>
    <t>Berolle</t>
  </si>
  <si>
    <t>Bière</t>
  </si>
  <si>
    <t>Bougy-Villars</t>
  </si>
  <si>
    <t>Féchy</t>
  </si>
  <si>
    <t>Gimel</t>
  </si>
  <si>
    <t>Longirod</t>
  </si>
  <si>
    <t>Marchissy</t>
  </si>
  <si>
    <t>Mollens (VD)</t>
  </si>
  <si>
    <t>Saint-George</t>
  </si>
  <si>
    <t>Saint-Livres</t>
  </si>
  <si>
    <t>Saint-Oyens</t>
  </si>
  <si>
    <t>Saubraz</t>
  </si>
  <si>
    <t>Avenches</t>
  </si>
  <si>
    <t>Cudrefin</t>
  </si>
  <si>
    <t>Faoug</t>
  </si>
  <si>
    <t>Vully-les-Lacs</t>
  </si>
  <si>
    <t>Bettens</t>
  </si>
  <si>
    <t>Bournens</t>
  </si>
  <si>
    <t>Boussens</t>
  </si>
  <si>
    <t>La Chaux (Cossonay)</t>
  </si>
  <si>
    <t>Chavannes-le-Veyron</t>
  </si>
  <si>
    <t>Chevilly</t>
  </si>
  <si>
    <t>Cossonay</t>
  </si>
  <si>
    <t>Cuarnens</t>
  </si>
  <si>
    <t>Daillens</t>
  </si>
  <si>
    <t>Dizy</t>
  </si>
  <si>
    <t>Eclépens</t>
  </si>
  <si>
    <t>Ferreyres</t>
  </si>
  <si>
    <t>Gollion</t>
  </si>
  <si>
    <t>Grancy</t>
  </si>
  <si>
    <t>L'Isle</t>
  </si>
  <si>
    <t>Lussery-Villars</t>
  </si>
  <si>
    <t>Mauraz</t>
  </si>
  <si>
    <t>Mex (VD)</t>
  </si>
  <si>
    <t>Moiry</t>
  </si>
  <si>
    <t>Mont-la-Ville</t>
  </si>
  <si>
    <t>Montricher</t>
  </si>
  <si>
    <t>Orny</t>
  </si>
  <si>
    <t>Penthalaz</t>
  </si>
  <si>
    <t>Penthaz</t>
  </si>
  <si>
    <t>Pompaples</t>
  </si>
  <si>
    <t>La Sarraz</t>
  </si>
  <si>
    <t>Senarclens</t>
  </si>
  <si>
    <t>Sullens</t>
  </si>
  <si>
    <t>Vufflens-la-Ville</t>
  </si>
  <si>
    <t>Assens</t>
  </si>
  <si>
    <t>Bercher</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</si>
  <si>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</si>
  <si>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</si>
  <si>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</si>
  <si>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</si>
  <si>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</si>
  <si>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</si>
  <si>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</si>
  <si>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</si>
  <si>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</si>
  <si>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</si>
  <si>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</si>
  <si>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</si>
  <si>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</si>
  <si>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</si>
  <si>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</si>
  <si>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</si>
  <si>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</si>
  <si>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</si>
  <si>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</si>
  <si>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</si>
  <si>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</si>
  <si>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</si>
  <si>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</si>
  <si>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</si>
  <si>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</si>
  <si>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</si>
  <si>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</si>
  <si>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</si>
  <si>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</si>
  <si>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</si>
  <si>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</si>
  <si>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</si>
  <si>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</si>
  <si>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</si>
  <si>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</si>
  <si>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</si>
  <si>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Belmont-sur-Lausanne</t>
  </si>
  <si>
    <t>Cheseaux-sur-Lausanne</t>
  </si>
  <si>
    <t>Crissier</t>
  </si>
  <si>
    <t>Epalinges</t>
  </si>
  <si>
    <t>Jouxtens-Mézery</t>
  </si>
  <si>
    <t>Lausanne</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</si>
  <si>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</si>
  <si>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</si>
  <si>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</si>
  <si>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</si>
  <si>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</si>
  <si>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</si>
  <si>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</si>
  <si>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</si>
  <si>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</si>
  <si>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</si>
  <si>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</si>
  <si>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</si>
  <si>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</si>
  <si>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</si>
  <si>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</si>
  <si>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</si>
  <si>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</si>
  <si>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</si>
  <si>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Chavannes-près-Renens</t>
  </si>
  <si>
    <t>Chigny</t>
  </si>
  <si>
    <t>Clarmont</t>
  </si>
  <si>
    <t>Denens</t>
  </si>
  <si>
    <t>Denges</t>
  </si>
  <si>
    <t>Echandens</t>
  </si>
  <si>
    <t>Echichens</t>
  </si>
  <si>
    <t>Ecublens (VD)</t>
  </si>
  <si>
    <t>Etoy</t>
  </si>
  <si>
    <t>Lavigny</t>
  </si>
  <si>
    <t>Lonay</t>
  </si>
  <si>
    <t>Lully (VD)</t>
  </si>
  <si>
    <t>Lussy-sur-Morges</t>
  </si>
  <si>
    <t>Morges</t>
  </si>
  <si>
    <t>Préverenges</t>
  </si>
  <si>
    <t>Romanel-sur-Morges</t>
  </si>
  <si>
    <t>Saint-Prex</t>
  </si>
  <si>
    <t>Saint-Sulpice (VD)</t>
  </si>
  <si>
    <t>Tolochenaz</t>
  </si>
  <si>
    <t>Vaux-sur-Morges</t>
  </si>
  <si>
    <t>Villars-Sainte-Croix</t>
  </si>
  <si>
    <t>Villars-sous-Yens</t>
  </si>
  <si>
    <t>Vufflens-le-Château</t>
  </si>
  <si>
    <t>Vullierens</t>
  </si>
  <si>
    <t>Yens</t>
  </si>
  <si>
    <t>Hautemorges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</si>
  <si>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</si>
  <si>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</si>
  <si>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</si>
  <si>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</si>
  <si>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</si>
  <si>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</si>
  <si>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</si>
  <si>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</si>
  <si>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</si>
  <si>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</si>
  <si>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</si>
  <si>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</si>
  <si>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</si>
  <si>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</si>
  <si>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</si>
  <si>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</si>
  <si>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</si>
  <si>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</si>
  <si>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</si>
  <si>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</si>
  <si>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</si>
  <si>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</si>
  <si>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</si>
  <si>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</si>
  <si>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</si>
  <si>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</si>
  <si>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</si>
  <si>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</si>
  <si>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 (VD)</t>
  </si>
  <si>
    <t>Crassier</t>
  </si>
  <si>
    <t>Duillier</t>
  </si>
  <si>
    <t>Eysins</t>
  </si>
  <si>
    <t>Founex</t>
  </si>
  <si>
    <t>Genolier</t>
  </si>
  <si>
    <t>Gingins</t>
  </si>
  <si>
    <t>Givrins</t>
  </si>
  <si>
    <t>Gland</t>
  </si>
  <si>
    <t>Grens</t>
  </si>
  <si>
    <t>Mies</t>
  </si>
  <si>
    <t>Nyon</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</si>
  <si>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</si>
  <si>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</si>
  <si>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</si>
  <si>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</si>
  <si>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</si>
  <si>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</si>
  <si>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</si>
  <si>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</si>
  <si>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</si>
  <si>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</si>
  <si>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</si>
  <si>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</si>
  <si>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</si>
  <si>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</si>
  <si>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</si>
  <si>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</si>
  <si>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</si>
  <si>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</si>
  <si>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</si>
  <si>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</si>
  <si>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</si>
  <si>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</si>
  <si>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</si>
  <si>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</si>
  <si>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</si>
  <si>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</si>
  <si>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</si>
  <si>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</si>
  <si>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</si>
  <si>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</si>
  <si>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</si>
  <si>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</si>
  <si>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</si>
  <si>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</si>
  <si>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</si>
  <si>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</si>
  <si>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</si>
  <si>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</si>
  <si>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</si>
  <si>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</si>
  <si>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</si>
  <si>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</si>
  <si>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</si>
  <si>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</si>
  <si>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</si>
  <si>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</si>
  <si>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</si>
  <si>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</si>
  <si>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</si>
  <si>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</si>
  <si>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</si>
  <si>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</si>
  <si>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</si>
  <si>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</si>
  <si>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</si>
  <si>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</si>
  <si>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</si>
  <si>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</si>
  <si>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</si>
  <si>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</si>
  <si>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</si>
  <si>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</si>
  <si>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</si>
  <si>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</si>
  <si>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</si>
  <si>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</si>
  <si>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</si>
  <si>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</si>
  <si>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</si>
  <si>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</si>
  <si>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</si>
  <si>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Chardonne</t>
  </si>
  <si>
    <t>Corseaux</t>
  </si>
  <si>
    <t>Corsier-sur-Vevey</t>
  </si>
  <si>
    <t>Jongny</t>
  </si>
  <si>
    <t>Montreux</t>
  </si>
  <si>
    <t>La Tour-de-Peilz</t>
  </si>
  <si>
    <t>Vevey</t>
  </si>
  <si>
    <t>Veytaux</t>
  </si>
  <si>
    <t>Blonay - Saint-Légier</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</si>
  <si>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</si>
  <si>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</si>
  <si>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</si>
  <si>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</si>
  <si>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</si>
  <si>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</si>
  <si>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</si>
  <si>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</si>
  <si>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</si>
  <si>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</si>
  <si>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</si>
  <si>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</si>
  <si>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</si>
  <si>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</si>
  <si>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</si>
  <si>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</si>
  <si>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</si>
  <si>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</si>
  <si>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</si>
  <si>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</si>
  <si>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</si>
  <si>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</si>
  <si>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</si>
  <si>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</si>
  <si>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</si>
  <si>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</si>
  <si>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</si>
  <si>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</si>
  <si>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</si>
  <si>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</si>
  <si>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</si>
  <si>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</si>
  <si>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</si>
  <si>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</si>
  <si>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</si>
  <si>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</si>
  <si>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</si>
  <si>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</si>
  <si>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</si>
  <si>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</si>
  <si>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</si>
  <si>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</si>
  <si>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</si>
  <si>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</si>
  <si>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</si>
  <si>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</si>
  <si>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</si>
  <si>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</si>
  <si>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</si>
  <si>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</si>
  <si>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</si>
  <si>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</si>
  <si>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</si>
  <si>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</si>
  <si>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</si>
  <si>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</si>
  <si>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</si>
  <si>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</si>
  <si>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</si>
  <si>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</si>
  <si>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</si>
  <si>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</si>
  <si>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</si>
  <si>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</si>
  <si>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</si>
  <si>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</si>
  <si>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</si>
  <si>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</si>
  <si>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</si>
  <si>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</si>
  <si>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</si>
  <si>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</si>
  <si>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</si>
  <si>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</si>
  <si>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</si>
  <si>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</si>
  <si>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</si>
  <si>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</si>
  <si>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</si>
  <si>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</si>
  <si>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</si>
  <si>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</si>
  <si>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</si>
  <si>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</si>
  <si>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</si>
  <si>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</si>
  <si>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</si>
  <si>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</si>
  <si>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</si>
  <si>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</si>
  <si>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</si>
  <si>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</si>
  <si>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</si>
  <si>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</si>
  <si>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</si>
  <si>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</si>
  <si>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</si>
  <si>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</si>
  <si>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</si>
  <si>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</si>
  <si>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</si>
  <si>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</si>
  <si>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</si>
  <si>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</si>
  <si>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</si>
  <si>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</si>
  <si>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</si>
  <si>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</si>
  <si>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</si>
  <si>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</si>
  <si>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</si>
  <si>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</si>
  <si>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</si>
  <si>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</si>
  <si>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</si>
  <si>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</si>
  <si>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</si>
  <si>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</si>
  <si>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</si>
  <si>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</si>
  <si>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</si>
  <si>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</si>
  <si>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</si>
  <si>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</si>
  <si>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Sierre</t>
  </si>
  <si>
    <t>Anniviers</t>
  </si>
  <si>
    <t>Crans-Montana</t>
  </si>
  <si>
    <t>Noble-Contrée</t>
  </si>
  <si>
    <t>Arbaz</t>
  </si>
  <si>
    <t>Grimisuat</t>
  </si>
  <si>
    <t>Savièse</t>
  </si>
  <si>
    <t>Sion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</si>
  <si>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</si>
  <si>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</si>
  <si>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</si>
  <si>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</si>
  <si>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</si>
  <si>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</si>
  <si>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</si>
  <si>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</si>
  <si>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</si>
  <si>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</si>
  <si>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</si>
  <si>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</si>
  <si>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</si>
  <si>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</si>
  <si>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</si>
  <si>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</si>
  <si>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</si>
  <si>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</si>
  <si>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</si>
  <si>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</si>
  <si>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</si>
  <si>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</si>
  <si>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</si>
  <si>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</si>
  <si>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</si>
  <si>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</si>
  <si>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</si>
  <si>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</si>
  <si>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</si>
  <si>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</si>
  <si>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</si>
  <si>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</si>
  <si>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</si>
  <si>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</si>
  <si>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</si>
  <si>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</si>
  <si>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Le Landeron</t>
  </si>
  <si>
    <t>Lignières</t>
  </si>
  <si>
    <t>Val-de-Ruz</t>
  </si>
  <si>
    <t>La Côte-aux-Fées</t>
  </si>
  <si>
    <t>Les Verrières</t>
  </si>
  <si>
    <t>Val-de-Travers</t>
  </si>
  <si>
    <t>Laténa</t>
  </si>
  <si>
    <t>Aire-la-Ville</t>
  </si>
  <si>
    <t>Anières</t>
  </si>
  <si>
    <t>Avully</t>
  </si>
  <si>
    <t>Avusy</t>
  </si>
  <si>
    <t>Bardonnex</t>
  </si>
  <si>
    <t>Bellevue</t>
  </si>
  <si>
    <t>Bernex</t>
  </si>
  <si>
    <t>Carouge (GE)</t>
  </si>
  <si>
    <t>Cartigny</t>
  </si>
  <si>
    <t>Céligny</t>
  </si>
  <si>
    <t>Chancy</t>
  </si>
  <si>
    <t>Chêne-Bougeries</t>
  </si>
  <si>
    <t>Chêne-Bourg</t>
  </si>
  <si>
    <t>Choulex</t>
  </si>
  <si>
    <t>Collex-Bossy</t>
  </si>
  <si>
    <t>Collonge-Bellerive</t>
  </si>
  <si>
    <t>Cologny</t>
  </si>
  <si>
    <t>Confignon</t>
  </si>
  <si>
    <t>Corsier (GE)</t>
  </si>
  <si>
    <t>Dardagny</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</si>
  <si>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</si>
  <si>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</si>
  <si>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</si>
  <si>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</si>
  <si>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</si>
  <si>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</si>
  <si>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</si>
  <si>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</si>
  <si>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</si>
  <si>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</si>
  <si>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</si>
  <si>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</si>
  <si>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</si>
  <si>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</si>
  <si>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</si>
  <si>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</si>
  <si>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</si>
  <si>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</si>
  <si>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</si>
  <si>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</si>
  <si>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</si>
  <si>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</si>
  <si>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</si>
  <si>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</si>
  <si>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Boécourt</t>
  </si>
  <si>
    <t>Bourrignon</t>
  </si>
  <si>
    <t>Châtillon (JU)</t>
  </si>
  <si>
    <t>Courchapoix</t>
  </si>
  <si>
    <t>Courrendlin</t>
  </si>
  <si>
    <t>Courroux</t>
  </si>
  <si>
    <t>Courtételle</t>
  </si>
  <si>
    <t>Delémont</t>
  </si>
  <si>
    <t>Develier</t>
  </si>
  <si>
    <t>Ederswiler</t>
  </si>
  <si>
    <t>Mervelier</t>
  </si>
  <si>
    <t>Mettembert</t>
  </si>
  <si>
    <t>Movelier</t>
  </si>
  <si>
    <t>Pleigne</t>
  </si>
  <si>
    <t>Rossemaison</t>
  </si>
  <si>
    <t>Saulcy</t>
  </si>
  <si>
    <t>Soyhières</t>
  </si>
  <si>
    <t>Haute-Sorne</t>
  </si>
  <si>
    <t>Val Terbi</t>
  </si>
  <si>
    <t>Le Bémont (JU)</t>
  </si>
  <si>
    <t>Les Bois</t>
  </si>
  <si>
    <t>Les Breuleux</t>
  </si>
  <si>
    <t>Les Enfers</t>
  </si>
  <si>
    <t>Les Genevez (JU)</t>
  </si>
  <si>
    <t>Lajoux (JU)</t>
  </si>
  <si>
    <t>Montfaucon</t>
  </si>
  <si>
    <t>Muriaux</t>
  </si>
  <si>
    <t>Le Noirmont</t>
  </si>
  <si>
    <t>Saignelégier</t>
  </si>
  <si>
    <t>Saint-Brais</t>
  </si>
  <si>
    <t>Soubey</t>
  </si>
  <si>
    <t>Alle</t>
  </si>
  <si>
    <t>Boncourt</t>
  </si>
  <si>
    <t>Bure</t>
  </si>
  <si>
    <t>Coeuve</t>
  </si>
  <si>
    <t>Cornol</t>
  </si>
  <si>
    <t>Courchavon</t>
  </si>
  <si>
    <t>Courgenay</t>
  </si>
  <si>
    <t>Courtedoux</t>
  </si>
  <si>
    <t>Fahy</t>
  </si>
  <si>
    <t>Fontenais</t>
  </si>
  <si>
    <t>Grandfontaine</t>
  </si>
  <si>
    <t>Porrentruy</t>
  </si>
  <si>
    <t>Vendlincourt</t>
  </si>
  <si>
    <t>Basse-Allaine</t>
  </si>
  <si>
    <t>Clos du Doubs</t>
  </si>
  <si>
    <t>Haute-Ajoie</t>
  </si>
  <si>
    <t>La Baroche</t>
  </si>
  <si>
    <t>Damphreux-Lugnez</t>
  </si>
  <si>
    <t>Basse-Vendline</t>
  </si>
  <si>
    <t>sector</t>
  </si>
  <si>
    <t>group_id</t>
  </si>
  <si>
    <t>group_name</t>
  </si>
  <si>
    <t>key</t>
  </si>
  <si>
    <t>available_for</t>
  </si>
  <si>
    <t>building</t>
  </si>
  <si>
    <t>Conseils</t>
  </si>
  <si>
    <t>beratung</t>
  </si>
  <si>
    <t>personal</t>
  </si>
  <si>
    <t>business</t>
  </si>
  <si>
    <t>Production d’électricité</t>
  </si>
  <si>
    <t>stromerzeugung</t>
  </si>
  <si>
    <t>communes</t>
  </si>
  <si>
    <t>Génération de chaleur</t>
  </si>
  <si>
    <t>waermeerzeugung</t>
  </si>
  <si>
    <t>Assainissement de l’enveloppe du bâtiment</t>
  </si>
  <si>
    <t>gebaeudehuelle-sanierung</t>
  </si>
  <si>
    <t>gebaeudehuelle</t>
  </si>
  <si>
    <t>Eau chaude</t>
  </si>
  <si>
    <t>warmwasser</t>
  </si>
  <si>
    <t>Chauffage</t>
  </si>
  <si>
    <t>heizung</t>
  </si>
  <si>
    <t>neubau</t>
  </si>
  <si>
    <t>Ventilation, refroidissement, climatisation</t>
  </si>
  <si>
    <t>lueftung-kaelte-klima</t>
  </si>
  <si>
    <t>mobility</t>
  </si>
  <si>
    <t>elektrofahrzeuge</t>
  </si>
  <si>
    <t>beleuchtung</t>
  </si>
  <si>
    <t>Appareils ménagers, éclairage</t>
  </si>
  <si>
    <t>geraete-beleuchtung</t>
  </si>
  <si>
    <t>Technique des procédés</t>
  </si>
  <si>
    <t>prozesstechnik</t>
  </si>
  <si>
    <t>Installations et processus</t>
  </si>
  <si>
    <t>anlagen-und-prozesse</t>
  </si>
  <si>
    <t>lueftung</t>
  </si>
  <si>
    <t>Systèmes de propulsion alternatifs</t>
  </si>
  <si>
    <t>alternative-antriebe</t>
  </si>
  <si>
    <t>Conseils en mobilité</t>
  </si>
  <si>
    <t>mobilitaetsberatung</t>
  </si>
  <si>
    <t>Gestion de la mobilité</t>
  </si>
  <si>
    <t>mobilitaetsmanagement</t>
  </si>
  <si>
    <t>ladeinfrastruktur</t>
  </si>
  <si>
    <t>Covoiturage, vélo et transports publics</t>
  </si>
  <si>
    <t>carsharing-und-oev</t>
  </si>
  <si>
    <t>carsharing-velo-und-oev</t>
  </si>
  <si>
    <t>development</t>
  </si>
  <si>
    <t>Études</t>
  </si>
  <si>
    <t>studien</t>
  </si>
  <si>
    <t>Allègements fiscaux</t>
  </si>
  <si>
    <t>steuererleichterungen</t>
  </si>
  <si>
    <t>strategie-und-energieplanung</t>
  </si>
  <si>
    <t>Communication</t>
  </si>
  <si>
    <t>kommunikation</t>
  </si>
  <si>
    <t>Éducation</t>
  </si>
  <si>
    <t>bildung</t>
  </si>
  <si>
    <t>Certification</t>
  </si>
  <si>
    <t>zertifizierung</t>
  </si>
  <si>
    <t>contributor_name</t>
  </si>
  <si>
    <t>remarque</t>
  </si>
  <si>
    <t>not_state_entity</t>
  </si>
  <si>
    <t>Stadt Zürich</t>
  </si>
  <si>
    <t>Kanton Zürich</t>
  </si>
  <si>
    <t>Pronovo</t>
  </si>
  <si>
    <t>Kanton St. Gallen</t>
  </si>
  <si>
    <t>EKZ Elektrizitätswerke des Kantons Zürich</t>
  </si>
  <si>
    <t>Gemeindeverwaltung Horgen</t>
  </si>
  <si>
    <t>Infrastruktur Zürichsee AG</t>
  </si>
  <si>
    <t xml:space="preserve">Energie Opfikon AG </t>
  </si>
  <si>
    <t>Kanton Aargau</t>
  </si>
  <si>
    <t>Stadt Aarau</t>
  </si>
  <si>
    <t>Kanton Basel-Stadt</t>
  </si>
  <si>
    <t>Kanton Basel-Landschaft</t>
  </si>
  <si>
    <t>Canton de Berne</t>
  </si>
  <si>
    <t>Energie Service Biel/Bienne</t>
  </si>
  <si>
    <t>Kanton Solothurn</t>
  </si>
  <si>
    <t>Kanton Luzern</t>
  </si>
  <si>
    <t>Stadt Luzern</t>
  </si>
  <si>
    <t>Gemeinde Horw</t>
  </si>
  <si>
    <t>Kanton Schaffhausen</t>
  </si>
  <si>
    <t>autres communes = erreur</t>
  </si>
  <si>
    <t>Stadt Zug</t>
  </si>
  <si>
    <t>Einwohnergemeinde Cham</t>
  </si>
  <si>
    <t>Einwohnergemeinde Baar</t>
  </si>
  <si>
    <t>Gemeinde Steinhausen</t>
  </si>
  <si>
    <t>Kanton Uri</t>
  </si>
  <si>
    <t>Kanton Nidwalden</t>
  </si>
  <si>
    <t>EWN - Kantonales Elektrizitätswerk Nidwalden</t>
  </si>
  <si>
    <t>Kanton Glarus</t>
  </si>
  <si>
    <t>EW Höfe AG</t>
  </si>
  <si>
    <t>https://www.ewh.ch/ueber-uns</t>
  </si>
  <si>
    <t>Kanton Graubünden</t>
  </si>
  <si>
    <t>Kanton Appenzell Ausserrhoden</t>
  </si>
  <si>
    <t>Kanton Appenzell Innerrhoden</t>
  </si>
  <si>
    <t>Stadt St. Gallen</t>
  </si>
  <si>
    <t>Stadt Wil</t>
  </si>
  <si>
    <t>Rheintaler Energie-Initiative</t>
  </si>
  <si>
    <t>agglo : https://regionrheintal.ch/energie/</t>
  </si>
  <si>
    <t>Kanton Thurgau</t>
  </si>
  <si>
    <t>Roggwil</t>
  </si>
  <si>
    <t>Canton du Valais</t>
  </si>
  <si>
    <t>Gemeindewerke Erstfeld</t>
  </si>
  <si>
    <t>Stein</t>
  </si>
  <si>
    <t>Erlenbach</t>
  </si>
  <si>
    <t>Stadtwerk Winterthur</t>
  </si>
  <si>
    <t>Canton du Jura</t>
  </si>
  <si>
    <t>Canton de Fribourg</t>
  </si>
  <si>
    <t>Service des automobiles et de la navigation du canton de Neuchâtel</t>
  </si>
  <si>
    <t>Canton de Vaud</t>
  </si>
  <si>
    <t>Canton de Genève</t>
  </si>
  <si>
    <t>francsenergie indique que les subventions de Montreux sont aussi valables à Veytaux, mais selon https://veytaux.ch/subventions-communales, cela ne semble pas être le cas</t>
  </si>
  <si>
    <t>Services Industriels Lausanne</t>
  </si>
  <si>
    <t>Kanton Obwalden</t>
  </si>
  <si>
    <t>Buchs AG = erreur</t>
  </si>
  <si>
    <t>Buchs</t>
  </si>
  <si>
    <t>Energieberatung Stadt Bern</t>
  </si>
  <si>
    <t>Energie Thun AG</t>
  </si>
  <si>
    <t>étendue subvention pas claire -&gt; mis que Thun</t>
  </si>
  <si>
    <t>Gemeinde Schwyz</t>
  </si>
  <si>
    <t>Rüti</t>
  </si>
  <si>
    <t>Kanton Schwyz</t>
  </si>
  <si>
    <t>ewz Förderungen Graubünden</t>
  </si>
  <si>
    <t>https://www.topten.ch/private/page/ewz-gr-fr</t>
  </si>
  <si>
    <t>Gossau</t>
  </si>
  <si>
    <t>Glattwerk AG</t>
  </si>
  <si>
    <t>2 autres communes = erreur</t>
  </si>
  <si>
    <t>Region Amriswil</t>
  </si>
  <si>
    <t>selon https://www.eteam-tg.ch/kontakt/, pour tout le canton</t>
  </si>
  <si>
    <t>Energie Uster AG</t>
  </si>
  <si>
    <t>Herrliberg ZH</t>
  </si>
  <si>
    <t>Gemeinde Entlebuch</t>
  </si>
  <si>
    <t>Aesch BL</t>
  </si>
  <si>
    <t>Solarstrom-Pool Thurgau</t>
  </si>
  <si>
    <t xml:space="preserve">à TG, mais ne semble pas être lié au canton (Verein not for profit)  https://solarstrom-pool.ch/_x000D_
</t>
  </si>
  <si>
    <t>Stadtgemeinde Diessenhofen</t>
  </si>
  <si>
    <t>EW Ursern</t>
  </si>
  <si>
    <t>Gemeinde Ennetbaden</t>
  </si>
  <si>
    <t>ebs Energie AG</t>
  </si>
  <si>
    <t>https://www.ebs.swiss/privatkunden/ueber-uns/portraet/versorgungsgebiet/</t>
  </si>
  <si>
    <t>Eniwa AG</t>
  </si>
  <si>
    <t>https://eniwa.ch/de/ueber-uns/versorgungsgebiet</t>
  </si>
  <si>
    <t>Stadt Wallisellen</t>
  </si>
  <si>
    <t>Energieberatung Region Winterthur</t>
  </si>
  <si>
    <t>https://www.eb-region-winterthur.ch/uber-uns/</t>
  </si>
  <si>
    <t>Energietal Toggenburg</t>
  </si>
  <si>
    <t>ONG pas lié canton / commune https://energietal-toggenburg.ch/das-sind-wir/partner-sponsoren/</t>
  </si>
  <si>
    <t>Gossau ZH</t>
  </si>
  <si>
    <t>Hergiswil</t>
  </si>
  <si>
    <t>Fondation KliK</t>
  </si>
  <si>
    <t>Lausen BL</t>
  </si>
  <si>
    <t>Gemeinde Freienbach</t>
  </si>
  <si>
    <t>Einwohnergemeinde Neuheim</t>
  </si>
  <si>
    <t>association privée https://www.energienetz-zug.ch/mitglieder/</t>
  </si>
  <si>
    <t>Einwohnergemeinde Oberägeri</t>
  </si>
  <si>
    <t>Energie Zukunft Schweiz</t>
  </si>
  <si>
    <t>Enerprice Partners AG</t>
  </si>
  <si>
    <t>Topten</t>
  </si>
  <si>
    <t>EWK Herzogenbuchsee</t>
  </si>
  <si>
    <t>myclimate</t>
  </si>
  <si>
    <t>AgroCleanTech</t>
  </si>
  <si>
    <t>ewz Förderungen</t>
  </si>
  <si>
    <t>InfraWatt</t>
  </si>
  <si>
    <t xml:space="preserve">Öko-Kompass der Stadt Zürich </t>
  </si>
  <si>
    <t>WERZ</t>
  </si>
  <si>
    <t>AMB Azienda Multiservizi Bellinzona</t>
  </si>
  <si>
    <t>Renera AG / Programmes de soutien EZS</t>
  </si>
  <si>
    <t>Primeo Energie AG</t>
  </si>
  <si>
    <t>SIG-éco21</t>
  </si>
  <si>
    <t>Verein energienetz-zug</t>
  </si>
  <si>
    <t>Agence de l'énergie pour l'économie</t>
  </si>
  <si>
    <t>SuisseEnergie pour les communes</t>
  </si>
  <si>
    <t>Segretariato Fondo energie rinnovabili (FER) Cantone Ticino</t>
  </si>
  <si>
    <t>Sezione della mobilità</t>
  </si>
  <si>
    <t>Appel d’offre ProKilowatt (Office fédéral de l‘énergie OFEN)</t>
  </si>
  <si>
    <t>OTIC</t>
  </si>
  <si>
    <t>Speed III</t>
  </si>
  <si>
    <t>Gemeinde Fraubrunnen</t>
  </si>
  <si>
    <t>Kernenried = erreur</t>
  </si>
  <si>
    <t>TEP Energy GmbH</t>
  </si>
  <si>
    <t>grischconsulta</t>
  </si>
  <si>
    <t>Industrielle Betriebe Kloten AG</t>
  </si>
  <si>
    <t>Gewerbeverband Basel-Stadt</t>
  </si>
  <si>
    <t xml:space="preserve">Gemeindewerke Stäfa </t>
  </si>
  <si>
    <t>Gemeindeverwaltung Muri bei Bern</t>
  </si>
  <si>
    <t>Energiestadt Turbenthal</t>
  </si>
  <si>
    <t>Gemeinde Rorschacherberg</t>
  </si>
  <si>
    <t>Services industriels de Delémont (SID)</t>
  </si>
  <si>
    <t>sans Les Bois (erreur)  https://sid.delemont.ch/sid/SID/Subventions/Nos-programmes.html</t>
  </si>
  <si>
    <t>Politische Gemeinde Hohentannen</t>
  </si>
  <si>
    <t>Kanton Zug</t>
  </si>
  <si>
    <t xml:space="preserve">Ville de Fribourg </t>
  </si>
  <si>
    <t>Canton de Neuchâtel</t>
  </si>
  <si>
    <t>Amt für Mobilität Kanton Zürich</t>
  </si>
  <si>
    <t>Strassenverkehrs- und Schifffahrtsamt SVSA Kanton Bern</t>
  </si>
  <si>
    <t>Motorfahrzeugkontrolle BL</t>
  </si>
  <si>
    <t>Office de la circulation et de la navigation Etat de Fribourg</t>
  </si>
  <si>
    <t>Office cantonal des véhicules</t>
  </si>
  <si>
    <t>Office des véhicules du canton du Jura</t>
  </si>
  <si>
    <t xml:space="preserve"> Motorfahrzeugkontrolle Kanton Basel-Stadt</t>
  </si>
  <si>
    <t xml:space="preserve"> Verkehrssicherheitszentrum NW </t>
  </si>
  <si>
    <t xml:space="preserve"> Verkehrssicherheitszentrum OW</t>
  </si>
  <si>
    <t>Strassenverkehrs- und Schifffahrtsamt Kanton St. Gallen</t>
  </si>
  <si>
    <t>Motorfahrzeugkontrolle Kanton Solothurn</t>
  </si>
  <si>
    <t>Strassenverkehrsamt Kanton Thurgau</t>
  </si>
  <si>
    <t>Amt für Strassen- und Schiffsverkehr Kanton Uri</t>
  </si>
  <si>
    <t>Strassenverkehrsamt Kanton Zug</t>
  </si>
  <si>
    <t>Strassenverkehrsamt Kanton Zürich</t>
  </si>
  <si>
    <t>Gemeindeverwaltung Dachsen</t>
  </si>
  <si>
    <t>Gemeinde Rhäzüns</t>
  </si>
  <si>
    <t>Ville de Pully</t>
  </si>
  <si>
    <t>Steueramt Kanton Zürich</t>
  </si>
  <si>
    <t>Steuerverwaltung Kanton Basel-Landschaft</t>
  </si>
  <si>
    <t>Steuerverwaltung Kanton Basel-Stadt</t>
  </si>
  <si>
    <t>Steueramt Kanton Aargau</t>
  </si>
  <si>
    <t>Steuerverwaltung Kanton Appenzell Ausserrhoden</t>
  </si>
  <si>
    <t>Steuerverwaltung Kanton Appenzell Innerrhoden</t>
  </si>
  <si>
    <t>Steuerverwaltung des Kantons Bern</t>
  </si>
  <si>
    <t>Canton de Fribourg (Service des contributions)</t>
  </si>
  <si>
    <t>Administration fiscale du canton de Genève</t>
  </si>
  <si>
    <t>Steuerverwaltung Kanton Glarus</t>
  </si>
  <si>
    <t>Steuerverwaltung Kanton Graubünden</t>
  </si>
  <si>
    <t>Service des contributions du canton du Jura</t>
  </si>
  <si>
    <t>Dienststelle Steuern Kanton Luzern</t>
  </si>
  <si>
    <t>Service des contributions du canton de Neuchâtel</t>
  </si>
  <si>
    <t>Steueramt Kanton Nidwalden</t>
  </si>
  <si>
    <t>Steuerverwaltung Obwalden</t>
  </si>
  <si>
    <t>Steuerverwaltung Kanton Schaffhausen</t>
  </si>
  <si>
    <t>Steuerverwaltung Schwyz</t>
  </si>
  <si>
    <t>Steueramt Kanton Solothurn</t>
  </si>
  <si>
    <t>Steueramt Kanton St. Gallen</t>
  </si>
  <si>
    <t>Divisione delle contribuzioni Cantone Ticino</t>
  </si>
  <si>
    <t>Steuerverwaltung Thurgau</t>
  </si>
  <si>
    <t>Amt für Steuern Kanton Uri</t>
  </si>
  <si>
    <t>Administration des impôts canton de Vaud</t>
  </si>
  <si>
    <t>Service des contributions du canton du Valais</t>
  </si>
  <si>
    <t>Steuerverwaltung Kanton Zug</t>
  </si>
  <si>
    <t>Strassenverkehrs- und Schifffahrtsamt des Kantons Glarus</t>
  </si>
  <si>
    <t>Strassenverkehrsamt Graubünden</t>
  </si>
  <si>
    <t>Strassenverkehrsamt Kanton Appenzell Innerrhoden</t>
  </si>
  <si>
    <t>Varen = erreur</t>
  </si>
  <si>
    <t>Ville de Neuchâtel</t>
  </si>
  <si>
    <t>Commune de Monthey</t>
  </si>
  <si>
    <t>Primeo Energie AG BL/SO</t>
  </si>
  <si>
    <t>https://www.primeo-energie.ch/fr/privatkunden/netz-nutzen.html</t>
  </si>
  <si>
    <t>Ville de Sion</t>
  </si>
  <si>
    <t>Gemeinde Unterramsern</t>
  </si>
  <si>
    <t>Eartheffect GmbH</t>
  </si>
  <si>
    <t>Renens</t>
  </si>
  <si>
    <t>Region Bischofszell</t>
  </si>
  <si>
    <t>Bezirk Küssnacht</t>
  </si>
  <si>
    <t xml:space="preserve">Cantone Ticino                                                                                                                                                        </t>
  </si>
  <si>
    <t>Commune de Bercher</t>
  </si>
  <si>
    <t>Commune de Bussigny</t>
  </si>
  <si>
    <t>Ecublens</t>
  </si>
  <si>
    <t>Mex</t>
  </si>
  <si>
    <t>Commune d'Yvorne</t>
  </si>
  <si>
    <t>Commune de Vufflens-le-Château</t>
  </si>
  <si>
    <t>erreur francsenergie : Chigny</t>
  </si>
  <si>
    <t>Commune de Vucherens</t>
  </si>
  <si>
    <t>Commune de Villeneuve</t>
  </si>
  <si>
    <t>Commune de Veytaux</t>
  </si>
  <si>
    <t>sans Montreux (erreur)</t>
  </si>
  <si>
    <t>Commune de Vaux-sur-Morges</t>
  </si>
  <si>
    <t>Commune de Tolochenaz</t>
  </si>
  <si>
    <t>Commune Blonay – Saint-Légier</t>
  </si>
  <si>
    <t>Commune de Rueyres</t>
  </si>
  <si>
    <t>Commune de Romanel-sur-Lausanne</t>
  </si>
  <si>
    <t>Commune de Rolle</t>
  </si>
  <si>
    <t>commune Tartegnin indiqué par erreur dans francsenergie</t>
  </si>
  <si>
    <t>Commune de Prangins</t>
  </si>
  <si>
    <t>Bezirk Einsiedeln</t>
  </si>
  <si>
    <t>EWB Energie Wasser Bern</t>
  </si>
  <si>
    <t>SuisseEnergie</t>
  </si>
  <si>
    <t>Gemeindeverwaltung Uetendorf</t>
  </si>
  <si>
    <t>selon https://www.equiwatt-lausanne.ch/conseils-immo/</t>
  </si>
  <si>
    <t>selon https://www.equiwatt-lausanne.ch/prime-electromenager/</t>
  </si>
  <si>
    <t>erreur francsenergie : pas pour Lamone</t>
  </si>
  <si>
    <t>Gemeinde Eich</t>
  </si>
  <si>
    <t>aussi subventions transports, voir https://www.lamone.ch/sportello/formulari/_x000D_
erreur francsenergie : pas pour Cadempino</t>
  </si>
  <si>
    <t>erreur francsenergie : pas pour Muralto</t>
  </si>
  <si>
    <t>Sans Paradiso et Massagno</t>
  </si>
  <si>
    <t xml:space="preserve"> Maggia</t>
  </si>
  <si>
    <t>Sans Lugano et Massagno</t>
  </si>
  <si>
    <t>Commune de Collombey-Muraz</t>
  </si>
  <si>
    <t>Gemeinde Zweisimmen</t>
  </si>
  <si>
    <t>Brione s/Minusio</t>
  </si>
  <si>
    <t>Sans Lugano et Paradiso</t>
  </si>
  <si>
    <t xml:space="preserve">Ponte Capriasca </t>
  </si>
  <si>
    <t>Gemeinde Mettmenstetten</t>
  </si>
  <si>
    <t>Stadt Baden</t>
  </si>
  <si>
    <t>Stadt Wädenswil Werke</t>
  </si>
  <si>
    <t>Stadt Lenzburg</t>
  </si>
  <si>
    <t>smart-dry.ch</t>
  </si>
  <si>
    <t>Office fédéral de l'énergie</t>
  </si>
  <si>
    <t>Gemeindeverwaltung Weggis</t>
  </si>
  <si>
    <t>Ville de Nyon</t>
  </si>
  <si>
    <t xml:space="preserve"> Ville de La Tour-de-Peilz</t>
  </si>
  <si>
    <t>Municipalité de Savièse</t>
  </si>
  <si>
    <t>Commune de Fully</t>
  </si>
  <si>
    <t>Gemeinde Neftenbach</t>
  </si>
  <si>
    <t>Ville de Meyrin</t>
  </si>
  <si>
    <t>Gemeinde Sennwald</t>
  </si>
  <si>
    <t>Gemeinde Regensdorf</t>
  </si>
  <si>
    <t>Gemeindeverwaltung Lupsingen</t>
  </si>
  <si>
    <t>Gemeinde Ebikon</t>
  </si>
  <si>
    <t>Commune de Morlon</t>
  </si>
  <si>
    <t>Gemeinde Lyss</t>
  </si>
  <si>
    <t>Muri Energie Forum</t>
  </si>
  <si>
    <t>Gemeinde Lindau</t>
  </si>
  <si>
    <t>Commune le Mouret</t>
  </si>
  <si>
    <t>erreur francsenergie : Ferpicloz</t>
  </si>
  <si>
    <t>Genossenschaft Ökostrom Schweiz</t>
  </si>
  <si>
    <t>Gemeindeverwaltung Worb</t>
  </si>
  <si>
    <t>Fondation actif p.a. VO énergies</t>
  </si>
  <si>
    <t>https://www.voe.ch/decouvrez-voe-fondation-actif</t>
  </si>
  <si>
    <t>Services industriels de Moutier</t>
  </si>
  <si>
    <t>Services industriels de Develier</t>
  </si>
  <si>
    <t>Stadt Burgdorf</t>
  </si>
  <si>
    <t>Ville de Lancy</t>
  </si>
  <si>
    <t>Commune de Bex</t>
  </si>
  <si>
    <t>Fondation Aide suisse à la montagne</t>
  </si>
  <si>
    <t>Gemeinde Kilchberg</t>
  </si>
  <si>
    <t>Commune de Bernex</t>
  </si>
  <si>
    <t>Einwohnergemeinde Selzach</t>
  </si>
  <si>
    <t>Gemeinde Walchwil</t>
  </si>
  <si>
    <t>Energie Wettingen</t>
  </si>
  <si>
    <t>Gemeindeverwaltung Mönchaltorf</t>
  </si>
  <si>
    <t>Gemeindeverwaltung Koblenz</t>
  </si>
  <si>
    <t>Mairie d’Aire-la-Ville</t>
  </si>
  <si>
    <t>Commune d'Allaman</t>
  </si>
  <si>
    <t>Commune de Bellevue</t>
  </si>
  <si>
    <t>Commune de Chigny</t>
  </si>
  <si>
    <t>Gemeinde Embrach</t>
  </si>
  <si>
    <t>Gemeinde Muotathal</t>
  </si>
  <si>
    <t>Lightbank Gmbh</t>
  </si>
  <si>
    <t>Luzernmobil</t>
  </si>
  <si>
    <t>Stadt Thun</t>
  </si>
  <si>
    <t>Gemeinde Besenbüren</t>
  </si>
  <si>
    <t>Teufen AR</t>
  </si>
  <si>
    <t>Gemeinde Kaiseraugst</t>
  </si>
  <si>
    <t>Kirchberg SG</t>
  </si>
  <si>
    <t>RechargeAuPoint</t>
  </si>
  <si>
    <t>Gemeinde Oberdiessbach</t>
  </si>
  <si>
    <t>SuisseEnergie pour les communes: Programme de soutien</t>
  </si>
  <si>
    <t>EBP Schweiz AG</t>
  </si>
  <si>
    <t>Gemeindeverwaltung Rafz</t>
  </si>
  <si>
    <t>Ville de Bienne</t>
  </si>
  <si>
    <t>Commune de Massongex</t>
  </si>
  <si>
    <t>Gemeinde Oberuzwil</t>
  </si>
  <si>
    <t>Einwohnergemeinde Unterseen</t>
  </si>
  <si>
    <t>Gemeinde Riederalp</t>
  </si>
  <si>
    <t>Commune de Crans-Montana</t>
  </si>
  <si>
    <t>Commune de Villars-sur-Glâne</t>
  </si>
  <si>
    <t>Gemeindeverwaltung Giebenach</t>
  </si>
  <si>
    <t>Gemeinde Hindelbank</t>
  </si>
  <si>
    <t>Gemeinde Münsingen</t>
  </si>
  <si>
    <t>Commune de Plan-les-Ouates</t>
  </si>
  <si>
    <t>Commune de Denens</t>
  </si>
  <si>
    <t>Kanton St. Gallen, Amt für Wasser und Energie</t>
  </si>
  <si>
    <t>Gemeindeverwaltung Gals</t>
  </si>
  <si>
    <t>Einwohnergemeinde Worben</t>
  </si>
  <si>
    <t>Gemeinde Lichtensteig</t>
  </si>
  <si>
    <t>Mairie de Corsier</t>
  </si>
  <si>
    <t>Strassenverkehrsamt des Kantons Luzern</t>
  </si>
  <si>
    <t>Commune d'Etoy</t>
  </si>
  <si>
    <t>Energie Genossenschaft Zimmerberg</t>
  </si>
  <si>
    <t>Commune de Rochefort</t>
  </si>
  <si>
    <t>Municipalité de Court</t>
  </si>
  <si>
    <t>Gemeinde Saanen</t>
  </si>
  <si>
    <t>Gemeindeverwaltung Urdorf</t>
  </si>
  <si>
    <t>Académie de la mobilité</t>
  </si>
  <si>
    <t>Préveranges</t>
  </si>
  <si>
    <t>Commune de Cugy</t>
  </si>
  <si>
    <t>Commune de Collonge-Bellerive</t>
  </si>
  <si>
    <t>AboTP</t>
  </si>
  <si>
    <t>Velo</t>
  </si>
  <si>
    <t>BatIsol</t>
  </si>
  <si>
    <t>EauChd</t>
  </si>
  <si>
    <t>PV-EauCd</t>
  </si>
  <si>
    <t>Born</t>
  </si>
  <si>
    <t>BatOpt</t>
  </si>
  <si>
    <t>BatChauf</t>
  </si>
  <si>
    <t>Cnsl</t>
  </si>
  <si>
    <t>Bio</t>
  </si>
  <si>
    <t>CarShare</t>
  </si>
  <si>
    <t>BikShare</t>
  </si>
  <si>
    <t>VelAutre</t>
  </si>
  <si>
    <t>PlMob</t>
  </si>
  <si>
    <t>PV-Auto</t>
  </si>
  <si>
    <t>PV-Cnsl</t>
  </si>
  <si>
    <t>Cargo</t>
  </si>
  <si>
    <t>Biogaz</t>
  </si>
  <si>
    <t>ProdElec</t>
  </si>
  <si>
    <t>CàD</t>
  </si>
  <si>
    <t>BatDur</t>
  </si>
  <si>
    <t>BatVert</t>
  </si>
  <si>
    <t>Vel_Carg</t>
  </si>
  <si>
    <t>Quartier</t>
  </si>
  <si>
    <t>BatNeuf</t>
  </si>
  <si>
    <t>base_value</t>
  </si>
  <si>
    <t>soutien financier TP</t>
  </si>
  <si>
    <t>remplacement appareils électro-ménagers énergrivores</t>
  </si>
  <si>
    <t>Subventions communes : remplacements chauffages</t>
  </si>
  <si>
    <t>construction durable</t>
  </si>
  <si>
    <t xml:space="preserve">Subventions communes : rénovations </t>
  </si>
  <si>
    <t>subvention bâtiments neufs (pas utilisé, évite d'attribuer autre mot clé à ces éléments)</t>
  </si>
  <si>
    <t>conseil optimisation chauffage/ concierges</t>
  </si>
  <si>
    <t>subventions pour batteries PV (pas utilisé, mais évite d'attribuer PV à ces éléments)</t>
  </si>
  <si>
    <t>Végatilisation des toits etc. (compter comme forme isolation + biodiversité ?)</t>
  </si>
  <si>
    <t>bike sharing</t>
  </si>
  <si>
    <t>aide biodiversité / certification bio</t>
  </si>
  <si>
    <t>production de biogaz</t>
  </si>
  <si>
    <t xml:space="preserve">Aide bornes recharge </t>
  </si>
  <si>
    <t>mise en place réseaux chauffage à distance</t>
  </si>
  <si>
    <t>Subvention achat vélo cargo, remorque vélo etc.</t>
  </si>
  <si>
    <t>voitures partagées</t>
  </si>
  <si>
    <t>aide pour CECB ou équivalent</t>
  </si>
  <si>
    <t>conseil travaux optimisation et énergie renouvelable</t>
  </si>
  <si>
    <t>Remplacement boiler eau chaude (hors PV thermique)</t>
  </si>
  <si>
    <t>récupération eau de pluie, toilettes sèches etc. (pas utilisé actuellement)</t>
  </si>
  <si>
    <t>mesure d'aide économie électricité, élcairage, etc.</t>
  </si>
  <si>
    <t>économie dans les entreprises</t>
  </si>
  <si>
    <t>prise en charge frais certification Minergie</t>
  </si>
  <si>
    <t>plan mobilité entreprises</t>
  </si>
  <si>
    <t>production d'électricité éolienne / hydraulique</t>
  </si>
  <si>
    <t>subventions PV</t>
  </si>
  <si>
    <t>complément PV pour communauté auto-consommation</t>
  </si>
  <si>
    <t>conseil sur le photovoltaïque</t>
  </si>
  <si>
    <t>PV eau chaude</t>
  </si>
  <si>
    <t>certification quartiers</t>
  </si>
  <si>
    <t>réparation d'appareils (économie circulaire)</t>
  </si>
  <si>
    <t>Subvention vélo ET vélo cargo</t>
  </si>
  <si>
    <t>Autres subventions vélo : formations, etc.</t>
  </si>
  <si>
    <t>Subvention achat vélo ou vélo électrique (sans scooters ou motos électriques)</t>
  </si>
  <si>
    <t>soutien manifestations durables (vaiselle non jetable)</t>
  </si>
  <si>
    <t>Type subv</t>
  </si>
  <si>
    <t>entité</t>
  </si>
  <si>
    <t>nb entité</t>
  </si>
  <si>
    <t>nb subv</t>
  </si>
  <si>
    <t>indicateur</t>
  </si>
  <si>
    <t>data_abrev</t>
  </si>
  <si>
    <t>En général : pas de note 0 pour communes, car francsenergie pas tjs complet</t>
  </si>
  <si>
    <t>canton</t>
  </si>
  <si>
    <t>commune</t>
  </si>
  <si>
    <t>ENRG_B_106</t>
  </si>
  <si>
    <t>SBELC</t>
  </si>
  <si>
    <t xml:space="preserve">Communes </t>
  </si>
  <si>
    <t>4 : AppMen ou EcoElec</t>
  </si>
  <si>
    <t>et Cantons</t>
  </si>
  <si>
    <t>5 : AppMen ET EcoElec</t>
  </si>
  <si>
    <t>BAT_A_104</t>
  </si>
  <si>
    <t>SBBAT</t>
  </si>
  <si>
    <t>Cantons : pas utilisé, info de EPECC</t>
  </si>
  <si>
    <t>pas souhaité</t>
  </si>
  <si>
    <t>MOB_D_106</t>
  </si>
  <si>
    <t>SBBRN</t>
  </si>
  <si>
    <t>5 : subvention Born existe</t>
  </si>
  <si>
    <t>BAT_A_103</t>
  </si>
  <si>
    <t>SBCSL</t>
  </si>
  <si>
    <t>4 : CECB / Cnsl</t>
  </si>
  <si>
    <t>5 : CECB + Cnsl</t>
  </si>
  <si>
    <t>conseil général (&lt; 1000 francs, visite sur site etc.)</t>
  </si>
  <si>
    <t>Note</t>
  </si>
  <si>
    <t>aucun</t>
  </si>
  <si>
    <t>ECO_A_102</t>
  </si>
  <si>
    <t>SBECO</t>
  </si>
  <si>
    <t>pt audit (&lt; 5000 francs)</t>
  </si>
  <si>
    <t>conseil général</t>
  </si>
  <si>
    <t>audit ou analyse</t>
  </si>
  <si>
    <t>pt audit</t>
  </si>
  <si>
    <t>aide financière optimisations</t>
  </si>
  <si>
    <t>audit / aide fin</t>
  </si>
  <si>
    <t>audit + aide fin</t>
  </si>
  <si>
    <t>ENRG_C_106</t>
  </si>
  <si>
    <t>SBPV2</t>
  </si>
  <si>
    <t>Cantons : voir onglet PV KT</t>
  </si>
  <si>
    <t>GE : ajouté, voir https://ww2.sig-ge.ch/particuliers/offres/solaire/offres-solaires/maison-solaire/demande-la-prime-solaire (subv_id 99999)</t>
  </si>
  <si>
    <t>ENRG_D_104, mais peu de communes ont cette subvention  -&gt; intégré ENRG_C_106</t>
  </si>
  <si>
    <t>MOB_C_103</t>
  </si>
  <si>
    <t>SBTP</t>
  </si>
  <si>
    <t xml:space="preserve">Commune </t>
  </si>
  <si>
    <t>5 : avec subvention TP</t>
  </si>
  <si>
    <t>Canton : idem (un seul canton)</t>
  </si>
  <si>
    <t>GE : ajouté, cf https://www.unireso.com/titres-de-transport/ (subv_id 99998)</t>
  </si>
  <si>
    <t>CONS_C_101, mais peu communes -&gt; pas utilisé</t>
  </si>
  <si>
    <t>MOB_B_103</t>
  </si>
  <si>
    <t>SBVLO</t>
  </si>
  <si>
    <t>Commune</t>
  </si>
  <si>
    <t>Canton : idem (un seul canton, GE)</t>
  </si>
  <si>
    <t>no</t>
  </si>
  <si>
    <t>3 : 1 ou 2 type subventions</t>
  </si>
  <si>
    <t xml:space="preserve">4 : 3 types subventions </t>
  </si>
  <si>
    <t>5 : BatIsol + BatChauf + EauChd + BatOpt</t>
  </si>
  <si>
    <t>Cantons : voir onglet BornKT (bigger better)</t>
  </si>
  <si>
    <t>Canton : note sur montant moyen (voir onglet CnslKT)</t>
  </si>
  <si>
    <t>subv.base_value</t>
  </si>
  <si>
    <t>2 pts : PV / PV-EauCd</t>
  </si>
  <si>
    <t>1 pt : PV-Auto / PV-Cnsl</t>
  </si>
  <si>
    <t>min 3 pt</t>
  </si>
  <si>
    <t>2 pts  : Velo / Vélo-Cargo</t>
  </si>
  <si>
    <t>1 pt : VelAutre / BikShare</t>
  </si>
  <si>
    <t>Table Traduc :</t>
  </si>
  <si>
    <t>A</t>
  </si>
  <si>
    <t>E</t>
  </si>
  <si>
    <t>I</t>
  </si>
  <si>
    <t>C</t>
  </si>
  <si>
    <t>D</t>
  </si>
  <si>
    <t>O</t>
  </si>
  <si>
    <t>B</t>
  </si>
  <si>
    <t>francs</t>
  </si>
  <si>
    <t>F</t>
  </si>
  <si>
    <t>none</t>
  </si>
  <si>
    <t>N</t>
  </si>
  <si>
    <t>Bidirectionnel</t>
  </si>
  <si>
    <t>S</t>
  </si>
  <si>
    <t>V</t>
  </si>
  <si>
    <t>P</t>
  </si>
  <si>
    <t>plan mob</t>
  </si>
  <si>
    <t>M</t>
  </si>
  <si>
    <t>aide entreprises</t>
  </si>
  <si>
    <t>projets spéciaux</t>
  </si>
  <si>
    <t>Beitragsberechtigt sind Photovoltaikanlagen auf Bauten und Infrastrukturanlagen.&lt;br /&gt;Massgebend für die Förderberechtigung sind:&lt;br /&gt;- Globalstrahlung &amp;gt; 1250 kWh/m&lt;sup&gt;2&lt;/sup&gt;*a (gemäss Potenzialkarte)&lt;br /&gt;- Neigungswinkel zwischen 60° und 90°&lt;br /&gt;- Exposition zwischen O – S – W. (Bifaciale Anlagen sind von der Anforderung befreit).&lt;br /&gt;&lt;br /&gt;&lt;strong&gt;Förderbeitrag:&lt;/strong&gt;&lt;br /&gt;- Leistungsbeitrag: 300 Fr. pro kWp&lt;br /&gt;- Temporärer Greendeal-Bonus: + 100 %</t>
  </si>
  <si>
    <t>https://www.gr.ch/DE/institutionen/verwaltung/diem/aev/foerderprogramme/Photovoltaikanlagenfuerwinterstrom/Seiten/default.aspx</t>
  </si>
  <si>
    <t>GEAK Plus (EFH)</t>
  </si>
  <si>
    <t>Pauschal 500 Fr. für einen GEAK Plus bei einem Einfamilienhaus.</t>
  </si>
  <si>
    <t>https://www.unterramsern.ch/leben-und-arbeiten</t>
  </si>
  <si>
    <t>Smarte Thermostatventile</t>
  </si>
  <si>
    <t>Pro Thermostatventil 30 Fr. / Pro Objekt maximal 300 Fr.</t>
  </si>
  <si>
    <t>https://www.unterramsern.ch/leben-und-arbeiten-1</t>
  </si>
  <si>
    <t>Ersatz Öl-/Elektroheizung durch Wärmepumpe, Holzheizung, Wärmeverbund</t>
  </si>
  <si>
    <t>Pauschal 1000.- Fr.</t>
  </si>
  <si>
    <t>Pauschal 1000 Fr.</t>
  </si>
  <si>
    <t>Pauschal 1000 Fr.&lt;br /&gt;Kollektorfläche mind. 4 m&lt;sup&gt;2&lt;/sup&gt;</t>
  </si>
  <si>
    <t>Pauschal 300 Fr.</t>
  </si>
  <si>
    <t>Pauschal 1000 Fr.&lt;br /&gt;Mindestgrösse: 2 kWp oder ca 15 m&lt;sup&gt;2&lt;/sup&gt;</t>
  </si>
  <si>
    <t>Batteriespeicher</t>
  </si>
  <si>
    <t>Pauschal 1000 Fr.&lt;br /&gt;Mindestgrösse: 4 kWh</t>
  </si>
  <si>
    <t>Private Ladestation in MFH</t>
  </si>
  <si>
    <t>Pauschal Fr. 1000.-&lt;br /&gt;&lt;br /&gt;Ladestation muss integriert sein in eine Basisinstallation für das gesamte MFH</t>
  </si>
  <si>
    <t>EcoGastro: Certification et soutient des appareils dans les cuisines commerciales</t>
  </si>
  <si>
    <t>EcoGastro certifie et promeut les appareils de cuisine professionnels efficaces sur le plan énergétique. En cas de remplacement, les appareils de cuisine suivants bénéficient de contributions d'encouragement: Friteuses, fours combinés, lave-vaisselle, fours à pizza, chauffe-plats, appareils multifonctions et grills. &lt;br /&gt;EcoGastro propose en outre des ateliers pour les entreprises de l'hôtellerie et de la restauration, au cours desquels les collaborateurs sont sensibilisés à l'efficacité énergétique et à la durabilité.&lt;br /&gt;&lt;br /&gt;EcoGastro est un programme de ProKilowatt.</t>
  </si>
  <si>
    <t>https://fr.ecogastro.org/</t>
  </si>
  <si>
    <t>Appareils commerciaux efficients</t>
  </si>
  <si>
    <t>Le programme s'adresse principalement aux commerces alimentaires, à l'industrie des boissons et de l'alimentation, au secteur de la restauration et aux fabricants d'équipements. Lors de l'achat des meilleurs appareils selon Topten, vous bénéficiez de subventions allant jusqu'à 30 % du prix d'achat.&lt;br /&gt;&lt;br /&gt;Un programme de ProKilowatt.</t>
  </si>
  <si>
    <t>PUEDA+: Efficacité énergétique dans les centres de données et les salles de serveurs</t>
  </si>
  <si>
    <t>Le programme PUEDA+ vise les mesures d'efficacité dans les salles de serveurs et les centres de données existants de tous les secteurs. &lt;br /&gt;Dans ce cadre, des mesures sont encouragées aussi bien du côté de l'infrastructure technique du bâtiment (par ex. free cooling, séparation et confinement des allées froides et chaudes, utilisation de la chaleur résiduelle, etc.) que du côté de l'infrastructure informatique (virtualisation, passage à la mémoire flash, passage à la sauvegarde sur bande, etc.).&lt;br /&gt;&lt;br /&gt;PUEDA+ est un programme de ProKilowatt.</t>
  </si>
  <si>
    <t>https://puedaplus.ch/</t>
  </si>
  <si>
    <t>Optimisation des installations techniques: circulateur</t>
  </si>
  <si>
    <t>Ce programme apporte une méthodologie pragmatique et efficace pour le redimensionnement des circulateurs et une incitation financière aux propriétaires des bâtiments. L’incitation financière est proportionnelle aux économies d’électricité des actions, le montant maximum ne pouvant excéder 30% de l’investissement.</t>
  </si>
  <si>
    <t>https://cvc.eco21.ch/</t>
  </si>
  <si>
    <t>Dieses Angebot der Gemeinde Saas-Fee knüpft an das entsprechende Angebot des Kantons Wallis an. Es kann nur bezogen werden, wenn die kantonale Förderung beantragt und bewiligt worden ist.</t>
  </si>
  <si>
    <t>https://www.3906.ch/publikationen/235291</t>
  </si>
  <si>
    <t>Automatische Holzheizungsanlage</t>
  </si>
  <si>
    <t>Es wird unterschieden zwischen Anlagen bis 70 kW und grösser als 70 kW.&lt;br /&gt;&lt;br /&gt;Dieses Angebot der Gemeinde Saas-Fee knüpft an das entsprechende Angebot des Kantons Wallis an. Es kann nur bezogen werden, wenn die kantonale Förderung beantragt und bewiligt worden ist.&lt;br /&gt;</t>
  </si>
  <si>
    <t>Gefördert werden Luft-Wasser, Sole-Wasser- und Wasser-Wasser-Wärmepumpen.&lt;br /&gt;&lt;br /&gt;Dieses Angebot der Gemeinde Saas-Fee knüpft an das entsprechende Angebot des Kantons Wallis an. Es kann nur bezogen werden, wenn die kantonale Förderung beantragt und bewiligt worden ist.</t>
  </si>
  <si>
    <t>Die Anlage muss eine Heizöl-, Erdgas- oder Elektroheizung ersetzen. Die bezogene Wärme muss im Minimum zu 75% aus erneuerbaren Energien oder Abwärme stammen.&lt;br /&gt;&lt;br /&gt;Dieses Angebot der Gemeinde Saas-Fee knüpft an das entsprechende Angebot des Kantons Wallis an. Es kann nur bezogen werden, wenn die kantonale Förderung beantragt und bewiligt worden ist.</t>
  </si>
  <si>
    <t>Für Wohngebäude werden Solaranlagen zur Produktion von Brauchwarmwasser bis maximal 25 W/m&lt;sup&gt;2 &lt;/sup&gt;EBF subventioniert.&lt;strong&gt;&lt;br /&gt;&lt;/strong&gt;&lt;br /&gt;Dieses Angebot der Gemeinde Saas-Fee knüpft an das entsprechende Angebot des Kantons Wallis an. Es kann nur bezogen werden, wenn die kantonale Förderung beantragt und bewiligt worden ist.&lt;strong&gt;&lt;br /&gt;&lt;/strong&gt;</t>
  </si>
  <si>
    <t>Verbesserung GEAK-Klasse</t>
  </si>
  <si>
    <t>Gefördert wird wenn die GEAK-Effizienzklassen bei der Gebäudehülle und bei der Gesamtenergieeffizienz verbessert werden.&lt;br /&gt;&lt;br /&gt;Dieses Angebot der Gemeinde Saas-Fee knüpft an das entsprechende Angebot des Kantons Wallis an. Es kann nur bezogen werden, wenn die kantonale Förderung beantragt und bewiligt worden ist.</t>
  </si>
  <si>
    <t>Das Gebäude wird mit dem Standard Minergie-P zertifiziert. &lt;br /&gt;&lt;br /&gt;Dieses Angebot der Gemeinde Saas-Fee knüpft an das entsprechende Angebot des Kantons Wallis an. Es kann nur bezogen werden, wenn die kantonale Förderung beantragt und bewiligt worden ist.</t>
  </si>
  <si>
    <t>Neubau GEAK A/A</t>
  </si>
  <si>
    <t>Gefördert wird wenn das Gebäude die GEAK-Effizienzklasse A bei der Gebäudehülle und bei der Gesamtenergieeffizienz erreicht.&lt;br /&gt;&lt;br /&gt;Dieses Angebot der Gemeinde Saas-Fee knüpft an das entsprechende Angebot des Kantons Wallis an. Es kann nur bezogen werden, wenn die kantonale Förderung beantragt und bewiligt worden ist.</t>
  </si>
  <si>
    <t>Panneaux photovoltaiques</t>
  </si>
  <si>
    <t>40% du coût, mais au maximum&lt;br /&gt;CHF 1'600. - par objet</t>
  </si>
  <si>
    <t>https://www.renens.ch/vie_pratique/subventions-communales.php</t>
  </si>
  <si>
    <t>Isolation et remplacement des fenêtres</t>
  </si>
  <si>
    <t>20% du coût des travaux, mais au&lt;br /&gt;maximum CHF 5'000.- par site</t>
  </si>
  <si>
    <t>Cours de formation continue pour concierges ou responsables techniques de bâtiment&lt;br /&gt;&lt;br /&gt;Participation jusqu’à CHF 250.- par personne</t>
  </si>
  <si>
    <t>Changement des anciens gros appareils ménagers</t>
  </si>
  <si>
    <t>20% du prix de l'appareil, mais au maximum CHF 400.- par appareil.&lt;br /&gt;Maximum 2 appareils par ménage et par tranche de 5 ans. Pour Lave-linge, sèche-linge, lave-vaisselle, réfrigérateur, congélateur, four et plan de cuisson. Uniquement appareils recommandés par www.topten.ch</t>
  </si>
  <si>
    <t>Atelier zéro déchet</t>
  </si>
  <si>
    <t>Montant de CHF 30.- pour les frais de participation</t>
  </si>
  <si>
    <t>Réparation téléphone mobile</t>
  </si>
  <si>
    <t>Montant maximum de CHF 50.- par téléphone mobile</t>
  </si>
  <si>
    <t>20% du coût, mais au maximum CHF 400.- par objet</t>
  </si>
  <si>
    <t>Participation de CHF 100.-</t>
  </si>
  <si>
    <t>Plan de mobilité (entreprises)</t>
  </si>
  <si>
    <t>30% du coût, mais au maximum&lt;br /&gt;CHF 3'000.- par plan</t>
  </si>
  <si>
    <t>Abonnements Publibike</t>
  </si>
  <si>
    <t>Première année d'abonnement offerte, d'une valeur maximum de CHF 200.-</t>
  </si>
  <si>
    <t>Abonnements Mobility</t>
  </si>
  <si>
    <t>Abonnement d'essai ou première année d'abonnement offerte, d'une valeur maximum de CHF 150.-</t>
  </si>
  <si>
    <t>https://www.bischofszell.ch/dienstleistungen/27975</t>
  </si>
  <si>
    <t>Achat d'un vélo-cargo</t>
  </si>
  <si>
    <t>Cette subvention est destinée aussi bien aux particuliers qu'aux indépendants et PME. &lt;br /&gt;&lt;br /&gt;&lt;strong&gt;Contrubution financière&lt;/strong&gt;&lt;br /&gt;- Le montant de la subvention peut aller jusqu'à 10 % du prix d'achat du vélo, mais au maximum 500 fr.</t>
  </si>
  <si>
    <t>https://www.ge.ch/subventions-velo/subvention-achat-velo-cargo</t>
  </si>
  <si>
    <t>Formation de vélo</t>
  </si>
  <si>
    <t>&lt;p&gt;Pour perfectionner votre pratique du vélo, qu’il soit électrique ou non, ou pour acquérir l’expérience et les réflexes nécessaires à la conduite d’un cycle, le Canton vous invite à suivre une formation auprès d’une entité proposant ces prestations (par exemple Genevavélo, PRO VELO Genève, TCS Genève).&lt;br /&gt;&lt;br /&gt;&lt;strong&gt;Contribution financière&lt;/strong&gt;&lt;br /&gt;- 75 % des frais, mais au maximum 80 francs, seront pris en charge.&lt;/p&gt;</t>
  </si>
  <si>
    <t>https://www.ge.ch/subventions-velo/subvention-suivre-formation</t>
  </si>
  <si>
    <t>Test d'un vélo électrique</t>
  </si>
  <si>
    <t>&lt;p&gt;Un vélo à assistance électrique est aussi efficace qu’une voiture, voire plus, pour des distances allant jusqu’à 15km. Afin de vous en rendre compte, testez-en un pendant un mois chez un prestataire reconnu (inscrit au registre du commerce). La subvention s'applique également à une location longue durée d'un vélo-cargo auprès d’une entité proposant cette prestation (par exemple Genèveroule ou Carvélo2go; dans le cas de cette dernière, le remboursement se fera sur la base d'un relevé annuel).&lt;br /&gt;&lt;br /&gt;&lt;strong&gt;Contribution financière&lt;br /&gt;&lt;/strong&gt;- Le montant de la subvention peut aller jusqu'à 50 % du prix de location, mais au maximum 250 fr.&lt;/p&gt;_x000D_
&lt;p&gt; &lt;/p&gt;</t>
  </si>
  <si>
    <t>https://www.ge.ch/subventions-velo/subvention-tester-velo-electrique</t>
  </si>
  <si>
    <t>Anschluss Fernwärmenetz</t>
  </si>
  <si>
    <t>Anschluss an das Fernwärmenetz von EWK.&lt;br /&gt;Für Neuanschlüsse können Förderbeiträge gesprochen werden.</t>
  </si>
  <si>
    <t>Beratung Solarenergie</t>
  </si>
  <si>
    <t>Förderung einer Beratung zur aktiven Solarenergienutzung (thermische oder elektrische Solaranlagen). Die Beratung erfolgt ausschliesslich durch den Verein Energie AR/AI. &lt;br /&gt;&lt;br /&gt;&lt;strong&gt;Förderbeitrag: &lt;/strong&gt;&lt;br /&gt;- 300 Fr.&lt;br /&gt;- Wird die Solarberatung in Kombination mit der Impulsberatung «erneuerbar heizen» durch den Verein Energie AR/AI durchgeführt, ist sie für Hauseigentümer/innen kostenlos.&lt;span style="font-size: 10.0pt; font-family: 'Arial',sans-serif; mso-fareast-font-family: Calibri; mso-fareast-theme-font: minor-latin; mso-ansi-language: DE-CH; mso-fareast-language: EN-US; mso-bidi-language: AR-SA;"&gt;&lt;br /&gt;&lt;/span&gt;</t>
  </si>
  <si>
    <t>https://www.energiefranken.ch/backend/subsidies</t>
  </si>
  <si>
    <t>Ersatz von Haushaltsgeräten</t>
  </si>
  <si>
    <t>Unterstützt wird der Ersatz von ineffizienten Haushaltsgeräten. Eine Liste der unterstützten Modelle ist auf www.topten.ch ersichtlich.</t>
  </si>
  <si>
    <t>https://www.kuessnacht.ch/verwaltung/abteilungen/planung-umwelt-und-verkehr/umwelt/energiefoerderprogramm.html/410</t>
  </si>
  <si>
    <t>Ladestationen</t>
  </si>
  <si>
    <t>Gefördert wird der Bau einer Grundinfrastruktur für Ladestationen von Elektroautos, mit welcher eine Bewirtschaftung der elektrischen Leistung möglich ist.</t>
  </si>
  <si>
    <t>Kostenlose Erstberatung zur energetischen Sanierung eines bestehenden Gebäudes.</t>
  </si>
  <si>
    <t>ZEV und EVG bei Photovoltaik-Anlagen</t>
  </si>
  <si>
    <t>Förderberechtigt ist der Zusammenschluss von mehreren Nutzereinheiten, mit dem Ziel einen höheren Eigenverbrauchsanteil bei einer Photovoltaikanlage zu erzielen.</t>
  </si>
  <si>
    <t>Impuls Umwelt: Umweltberatung für KMU</t>
  </si>
  <si>
    <t>Die Gemeinde übernimmt 933 Fr. der Gesamtkosten von 1’033 Fr.</t>
  </si>
  <si>
    <t>Die Gemeinde übernimmt 400 Fr. der Gesamtkosten von 500 Fr.</t>
  </si>
  <si>
    <t>Solar-Genossenschaften</t>
  </si>
  <si>
    <t>Die Gemeinde Horw unterstützt die Gründung Solar-Genossenschaften mit einem Zusatzbeitrag an die Unterstützungsgelder der Albert Koechlin Stiftung (AKS). Die Förderhöhe beträgt 20 % der finanziellen Förderung der AKS. Der maximale Förderbeitrag beträgt 5'000.- Franken.</t>
  </si>
  <si>
    <t>Photovoltaikanlagen auf Bestandesbauten</t>
  </si>
  <si>
    <t>Die Gemeinde Horw unterstützt den Bau von Solarstrom-Anlagen auf dem Gemeindegebiet mit einem zusätzlichen Investitionsbeitrag von 20 % der Einmalvergütung EIV (KLEIV oder GREIV). Der maximale Förderbeitrag beträgt 5'000.- Franken.</t>
  </si>
  <si>
    <t>Die Gemeinde Horw leistet Förderbeiträge an die Erstellung von thermischen Solaranlagen, soweit sie die gesetzlichen Vorgaben aus dem Energiegesetz übertreffen. Die Gemeinde beteiligt sich mit 250.- Franken pro kW installierte Leistung. Der maximale Förderbeitrag beträgt 5'000.- Franken.</t>
  </si>
  <si>
    <t>Machbarkeitsstudien für Wärmeverbünde</t>
  </si>
  <si>
    <t>Die Gemeinde übernimmt 50% der Gesamtkosten, bis maximal 10'000 Fr.</t>
  </si>
  <si>
    <t>Pompe à chaleur sol-eau/eau-eau ≤ 70 kW</t>
  </si>
  <si>
    <t>Cette subvention est allouée pour l’installation d’une pompe à chaleur sol/eau ou eau/eau en remplacement d’un chauffage principal au mazout, au gaz naturel ou d’un chauffage électrique.&lt;br /&gt;&lt;br /&gt;&lt;strong&gt;Contribution financière:&lt;/strong&gt;&lt;br /&gt;- Puissance &amp;lt; 20 kW ou habitat individuel: 20 000 fr.&lt;br /&gt;- Puissance &amp;gt; 20 kW: 4000 fr. + 800 fr. par kW&lt;br /&gt;&lt;br /&gt;Dans les cas de réseaux anergie (avec ou sans subvention M-18 pour le réseau), les montants ci-dessus sont réduits de 50 %. &lt;br /&gt;&lt;br /&gt;En cas de première création d’un réseau de distribution hydraulique, une subvention spécifique doit être demandée séparément (nouvelle mesure IP-19).</t>
  </si>
  <si>
    <t>https://www.vd.ch/prestation/10-demander-une-subvention-pour-une-pompe-a-chaleur-sol-eau-ou-eau-eau-m06</t>
  </si>
  <si>
    <t>Borne de recharge (usage publique)</t>
  </si>
  <si>
    <t>&lt;p&gt;Cette subvention vise à faciliter la recharge de substitution (au travail ou à domicile) pour les automobilistes sans place de parc privative, ainsi que la recharge à destination (lieux d’achats, de restauration, de loisirs, etc.).&lt;/p&gt;_x000D_
&lt;p&gt;Cette subvention a pour but d’accélérer l’installation de bornes de recharge publique, dans les parkings dits publics, qu’ils soient en mains privées ou municipales, ainsi que les places de parc en voirie. Elle s'adresse aussi aux parkings existants à usage semi-public (à savoir les visiteurs de commerces, hôtels, centres de loisirs, etc). Il est question de favoriser un grand nombre de points de recharge au lieu d’un petit nombre de bornes de recharge rapide.&lt;br /&gt;&lt;br /&gt;&lt;strong&gt;Contribution financière:&lt;/strong&gt;&lt;br /&gt;- Montant octroyé pour l’alimentation électrique (C1/C2) d’une place: 2000 fr.&lt;br /&gt;- Montant octroyé pour l’installation d'une borne de recharge (D): 2000 fr.&lt;/p&gt;</t>
  </si>
  <si>
    <t>https://www.vd.ch/prestation/copie-mob02-demander-une-subvention-pour-linfrastructure-de-recharge-de-la-mobilite-individuelle-electrique-a-usage-public</t>
  </si>
  <si>
    <t>Concept d'éclairage public</t>
  </si>
  <si>
    <t>&lt;p&gt;Cette subvention est allouée pour l’établissement d’un concept d’éclairage public. Elle est réservée aux communes vaudoises.&lt;/p&gt;_x000D_
&lt;p&gt;&lt;strong&gt;Contribution financière:&lt;br /&gt;&lt;/strong&gt;&lt;/p&gt;_x000D_
&lt;p&gt;Le montant maximal et peut couvrir jusqu’à 70 % des coûts (sous réserve des plafonds maximum prévus). Cette aide financière est plafonnée sur la base de de la taille de la commune en terme de points lumineux selon les barèmes détaillés dans les conditions générales.&lt;br /&gt; &lt;/p&gt;</t>
  </si>
  <si>
    <t>https://www.vd.ch/prestation/22-demander-une-subvention-pour-un-concept-declairage-public</t>
  </si>
  <si>
    <t>Étude mobilité électrique</t>
  </si>
  <si>
    <t>&lt;p&gt;Une subvention cantonale est allouée aux communes ou groupements de communes dans le cadre de l’élaboration d’une stratégie ou de mesures pour la promotion de l’acquisition et l’usage de véhicules électriques (100% électriques et hybrides rechargeables) ainsi que pour le déploiement d’infrastructures publiques de recharge au niveau régional ou communal. Les études subventionnées doivent couvrir l’un ou plusieurs des domaines suivants : stratégie régionale ou communale de mobilité électrique, plan d’actions et accompagnement opérationnel.&lt;br /&gt;&lt;br /&gt;&lt;strong&gt;Contribution financière:&lt;/strong&gt;&lt;span style="text-decoration: underline;"&gt;&lt;br /&gt;&lt;/span&gt;- Le nombre d’études subventionnées est limité à deux par entité. Le montant de la subvention est plafonné à 50 % des coûts (TTC), mais au maximum à 10’000 fr. par étude.&lt;br /&gt;- Les études, dont le montant total est inférieur à 5’000 fr., ne sont pas subventionnées. Pour les études subventionnées par d’autres canaux (ex. programme Cité de l’Energie), la subvention totale (DGE-DIREN et autres entités institutionnelles) est limitée à 10’000 fr. par étude (max. 50%).&lt;/p&gt;</t>
  </si>
  <si>
    <t>https://www.vd.ch/prestation/23-demander-une-subvention-pour-une-etude-sur-la-mobilite-electrique</t>
  </si>
  <si>
    <t>Rénovation de bâtiments selon Minergie</t>
  </si>
  <si>
    <t>Donnent droit à une contribution les bâtiments ayant obtenu l'autorisation de construire avant 2000. &lt;br /&gt;&lt;br /&gt;&lt;strong&gt;Contribution financière:&lt;br /&gt;&lt;/strong&gt;                                           hab.indiv.    hab.coll.   non-hab.&lt;br /&gt;- Minergie-A  fr./m&lt;sup&gt;2&lt;/sup&gt; SRE     200            130           120&lt;br /&gt;- Minergie-P  fr./m&lt;sup&gt;2&lt;/sup&gt; SRE     180            110           100&lt;br /&gt;- Minergie     fr./m&lt;sup&gt;2&lt;/sup&gt; SRE     160             90             80</t>
  </si>
  <si>
    <t>Umsetzungsbegleitung Realisierungsbegleitung</t>
  </si>
  <si>
    <t>Die Realisierungsbegleitung hilft bei der Umsetzung der geplanten Massnahmen, damit Gebäude die angestrebten tieferen Energieflüsse effektiv einhalten und so auch die ökonomischen und ökologischen Ziele erfüllen werden.&lt;br /&gt;Dies sind:&lt;br /&gt;– Sicherstellung der in der Planungsphase definierten Ziele.&lt;br /&gt;– Steigerung der Ausführungsqualität durch unabhängige Baukontrollen.&lt;br /&gt;– Fachtechnische Unterstützung der Bauherrschaft im Bereich der Energieeffizienz während der Bauphase.&lt;br /&gt;&lt;br /&gt;&lt;strong&gt;Förderbeitrag&lt;/strong&gt;&lt;br /&gt;- Förderbeitrag Kanton: 100 Fr. pro Stunde (max. 50 Stunden pro Fall)&lt;br /&gt;- Kundenbeteiligung: Differenz zum Stundenhonorar</t>
  </si>
  <si>
    <t>Minergie MQS Bau</t>
  </si>
  <si>
    <t>Mit dem standardisierten Prüfverfahren mit zweckmässigen Prüfpunkten und Baubegleitungen werden allfällige Abweichungen für die Erreichung&lt;br /&gt;der Minergie-Anforderungen laufend und zum frühestmöglichen Zeitpunkt in der Ausführungs- und Abnahmephase festgestellt.&lt;br /&gt;Dieses Angebot gilt nur für Minergie-zertifizierte Gebäude und richtet sich somit an Neubauten oder Gesamtmodernisierungen.&lt;br /&gt;&lt;br /&gt;&lt;strong&gt;Förderbeitrag&lt;/strong&gt;&lt;br /&gt;- abhängig von Standard und EBF zwischen 2200 und 5400 Fr.</t>
  </si>
  <si>
    <t>Holzheizung (Ersatz Öl-, Gas- oder Elektroheizung)</t>
  </si>
  <si>
    <t>Ersatz einer Elektroheizung oder einer fossilen Heizung durch Stückholzfeuerung, Pelletfeuerung mit Tagesbehälter oder Automatische Holzfeuerung.&lt;br /&gt;&lt;br /&gt;&lt;strong&gt;Förderbeitrag&lt;/strong&gt;&lt;br /&gt;- Stückholzfeuerung, Pelletfeuerung mit Tagesbehälter: 3000 Fr. pro Anlage&lt;br /&gt;- Automatische Holzfeuerung bis 70 kW: 3000 Fr. + 50 Fr. pro kW&lt;sub&gt;th&lt;/sub&gt;&lt;br /&gt;- Automatische Holzfeuerung über 70 kW: 720 Fr. pro kWth</t>
  </si>
  <si>
    <t>Wärmepumpe (Ersatz Öl, Gas- oder Elektroheizung)</t>
  </si>
  <si>
    <t>Gefördert wird der Ersatz einer Öl-, Gas- oder Elektroheizung durch eine Wärmepumpe.&lt;br /&gt;&lt;br /&gt;&lt;strong&gt;Förderbeitrag&lt;/strong&gt;&lt;br /&gt;- Luft-Wasser-Wärmepumpe bis 70 kW: 3000 Fr. + 60 Fr. pro kW&lt;sub&gt;th&lt;br /&gt;&lt;/sub&gt;- Luft-Wasser-Wärmepumpe über 70 kW: 6400 Fr. + 240 Fr. pro kW&lt;sub&gt;th&lt;/sub&gt;&lt;br /&gt;- Sole-Wasser- oder Wasser-Wasser-Wärmepumpe bis 70 kW: 6000 Fr. + 180 Fr. pro kW&lt;sub&gt;th&lt;/sub&gt;&lt;br /&gt;- Sole-Wasser- oder Wasser-Wasser-Wärmepumpe über 70 kW: 9600 Fr. + 720 Fr. pro kW&lt;sub&gt;th&lt;/sub&gt;</t>
  </si>
  <si>
    <t>Einbau einer Solarkollektoranlage (Neuanlage oder Anlagenerweiterung auf bestehenden Gebäuden).&lt;br /&gt;&lt;br /&gt;&lt;strong&gt;Förderbeitrag&lt;/strong&gt;&lt;br /&gt;- bis 70 kW: 1200 Fr. + 500 Fr. pro kW&lt;sub&gt;th&lt;br /&gt;&lt;/sub&gt;- ab 70 kW: 4800 Fr. + 2000 Fr. pro kW&lt;sub&gt;th&lt;br /&gt;&lt;/sub&gt;</t>
  </si>
  <si>
    <t>Gefördert werden der Anschluss an ein Wärmenetz, der Neubau/die Erweiterung eines Wärmenetzes oder der Neubau/die Erweiterung einer Wärmeerzeugungsanlage.&lt;br /&gt;&lt;br /&gt;&lt;strong&gt;Förderbeitrag&lt;/strong&gt;&lt;br /&gt;- Abhängig vom Typ sowie weiteren Kriterien</t>
  </si>
  <si>
    <t>Grobberatung Eigenstrom</t>
  </si>
  <si>
    <t>Bei der Grobberatung Eigenstrom werden Ihre individuellen Fragen zu Themen rund um Photovoltaik, Eigenverbrauchsoptimierung, E-Mobilität und Stromverbrauch besprochen und beantwortet. Die Beratung findet in der Regel vor Ort statt. &lt;br /&gt;&lt;br /&gt;&lt;strong&gt;Förderbeitrag&lt;/strong&gt;&lt;br /&gt;- Förderbeitrag Kanton: 350 Fr.&lt;br /&gt;- Kundenbeteiligung: ab 150 Fr.</t>
  </si>
  <si>
    <t>Informationen zu Massnahmen, Vorgehensweisen oder Förderungen im Zusammenhang mit Modernisierungen oder Umbauten sowie Antworten zu Vorschriften, Normen oder Technik aus dem Bereich Energie erhalten Sie bei der energieberatungAARGAU. Diese Dienstleistungen des Kantons Aargau, telefonisch oder per E-Mail, sind kostenlos. In diesen Fällen, oder wenn zusätzliche Unterstützung durch eine Energiefachperson gewünscht wird, wenden Sie sich an die energieberatungAARGAU.</t>
  </si>
  <si>
    <t>https://www.ag.ch/de/verwaltung/bvu/energie/energieberatungaargau</t>
  </si>
  <si>
    <t>Grobberatung Stockwerkeigentümergemeinschaft</t>
  </si>
  <si>
    <t>Die Modernisierung von Haustechnik und Gebäudehülle erfordert sorgfältige Planung und Abstimmung innerhalb der Stockwerkeigentümergesellschaft.&lt;br /&gt;Ziel ist es, langfristige Entscheidungen zu treffen, die sowohl wirtschaftlich als auch ökologisch sinnvoll sind. Eine neutrale Beratung bietet dabei Unterstützung, indem sie technische und finanzielle Optionen verständlich aufbereitet, den Austausch zwischen den Eigentümern fördert und eine fundierte Entscheidungsfindung ermöglicht. So können Massnahmen realisiert werden, die den Wert und die Nachhaltigkeit des Gebäudes sichern. &lt;br /&gt;&lt;br /&gt;&lt;strong&gt;Förderbeitrag&lt;/strong&gt;&lt;br /&gt;- Förderbeitrag Kanton: 1650 Fr.&lt;br /&gt;- Kundenbeteiligung ab 150 Fr.&lt;br /&gt;&lt;br /&gt;Hinweis: Gilt nicht für Neubauten!</t>
  </si>
  <si>
    <t>Umsetzungsbegleitung Planungsberatung</t>
  </si>
  <si>
    <t>Bevor ein geplantes Projekt in die Detailplanung oder Umsetzung geht, hat die Bauherrschaft die Möglichkeit, das mit den Planenden erarbeitete Vorhaben von einer Energiefachperson prüfen zu lassen. Dabei werden energetische Optimierungen sowie ein effizienter und umweltschonender Energieeinsatz betrachtet. Die Beratung findet in der Regel im Büro der Energiefachperson statt.&lt;br /&gt;&lt;br /&gt;&lt;strong&gt;Förderbeitrag&lt;/strong&gt;&lt;br /&gt;- Förderbeitrag Kanton: 400 Fr.&lt;br /&gt;- Kundenbeteiligung: ab 200 Fr.</t>
  </si>
  <si>
    <t>Detailberatung Landwirtschaft</t>
  </si>
  <si>
    <t>Die Beratung zeigt, wie der direkte Energieeinsatz in einem landwirtschaftlichen Betrieb optimiert, die Effizienz der eingesetzten Energie gesteigert und die Energiekosten gesenkt werden können. Die Beratung beschränkt sich auf die Innenwirtschaft und die landwirtschaftlichen Gebäude. &lt;br /&gt;&lt;br /&gt;&lt;strong&gt;Förderbeitrag&lt;/strong&gt;&lt;br /&gt;- Förderbeitrag Kanton: 800 Fr.&lt;br /&gt;- Kundenbeteiligung: 250 Fr.</t>
  </si>
  <si>
    <t>Detailberatung Industrie, Gewerbe, Dienstleistung</t>
  </si>
  <si>
    <t>Die Beratung für Industrie, Gewerbe und Dienstleistung soll die Steigerung von Energieeffizienzpotenzialen in den Bereichen Betrieb, Unterhalt sowie Prozesse und Produktion ermitteln. Es werden einfache Massnahmen und weitere Planungsschritte aufgezeigt. Die Beratung erfolgt in der Regel vor Ort. Bei dieser Beratung handelt es sich nicht um eine Gebäudeanalyse. &lt;br /&gt;&lt;br /&gt;&lt;strong&gt;Förderbeitrag&lt;/strong&gt;&lt;br /&gt;- Förderbeitrag Kanton: 450 Fr. &lt;br /&gt;- Kundenbeteiligung: ab 500 Fr.</t>
  </si>
  <si>
    <t>https://www.aigle.ch/subventions</t>
  </si>
  <si>
    <t>Installation photovoltaique</t>
  </si>
  <si>
    <t>Pour constructions existantes et extensions et pour bâtiments à construire</t>
  </si>
  <si>
    <t>Chauffage central au bois</t>
  </si>
  <si>
    <t>Puissance inférieure à 30 kW: forfait CHF 2000.00&lt;br /&gt;&lt;br /&gt;Puissance superieure à 30 kW: forfait CHF 3000.00</t>
  </si>
  <si>
    <t>Chauffage central par pompe à chaleur</t>
  </si>
  <si>
    <t>Vélo et vélo-cargo à assistance électrique</t>
  </si>
  <si>
    <t>Amelioration thermique de l'enveloppe des bâtiments</t>
  </si>
  <si>
    <t>CECB Plus ou audit énergétique PEIK</t>
  </si>
  <si>
    <t>Goblets réutilisable</t>
  </si>
  <si>
    <t>Participation aux subventions cantonales</t>
  </si>
  <si>
    <t>Participation aux subventions déjà allouées par l’Etat de Vaud dans le domaine «Energie». 50 % des subventions allouées par le canton.</t>
  </si>
  <si>
    <t>Mandat de bureau d’ingénieurs</t>
  </si>
  <si>
    <t>Mandat de bureau d’ingénieurs&lt;br /&gt;30% des coûts mais au maximum fr. 1'500.- / par étude.</t>
  </si>
  <si>
    <t>https://www.aubonne.ch/administration/services-techniques/energies-renouvelables</t>
  </si>
  <si>
    <t>Gestion de l'énergie respectuese de l'environnement et l'utilisation des énergies renouvelables</t>
  </si>
  <si>
    <t>https://www.bercher-vd.ch/data/dataimages/Upload/Reglement-communal-prelevement-taxe-specifique.pdf</t>
  </si>
  <si>
    <t>Villa: 500 CHF&lt;br /&gt;Autres habitats: 1000 CHF</t>
  </si>
  <si>
    <t>https://www.commune-avenches.ch/vivre-a-avenches/developpement-durable/le-developpement-durable-a-avenches.html</t>
  </si>
  <si>
    <t>Hors catégorie CECB et gros consommateurs: CHF 1500.-</t>
  </si>
  <si>
    <t>Gestion de l'eau de consommation</t>
  </si>
  <si>
    <t>Constructions à très faible consommation d'énergie</t>
  </si>
  <si>
    <t>Capteurs solaires photovoltaiques (étude et installation)</t>
  </si>
  <si>
    <t>Remplacement du chauffage électrique</t>
  </si>
  <si>
    <t>Remplacement par&lt;br /&gt;- Chaudière à bois: CHF 3000&lt;br /&gt;- Pompe à chaleur air-eau: CHF 1000&lt;br /&gt;- Pompe à chaleur sol-eau: CHF 3000&lt;br /&gt;- Raccordement au chauffage à distance: CHF 5000&lt;br /&gt;&lt;br /&gt;- Installation d'un réseau de distribution hydraulique: CHF 5000</t>
  </si>
  <si>
    <t>Remplacement d'un chauffage à mazout/gaz</t>
  </si>
  <si>
    <t>Optimisation d'une chaudière à bois existante</t>
  </si>
  <si>
    <t>Vélo sans assistance électrique</t>
  </si>
  <si>
    <t>https://www.bussigny.ch/ma-commune/durabilite/subventions-communales</t>
  </si>
  <si>
    <t>Appareils électroménagers</t>
  </si>
  <si>
    <t>https://www.bussigny.ch/images/Developpement_durable/Subventions_2025/FOR_Subvention_Composteur_20250109_jasa.pdf</t>
  </si>
  <si>
    <t>Batterie de stockage</t>
  </si>
  <si>
    <t>Fenêtres à triple vitrage</t>
  </si>
  <si>
    <t>Isolation de la façade, du toit et sol contre extérieur</t>
  </si>
  <si>
    <t>Chauffe-eau par pompe à chaleur (CEPAC)</t>
  </si>
  <si>
    <t>Chauffage central par pompe à chaleur (PAC)</t>
  </si>
  <si>
    <t>20% du coût, mais au max. 3000 Fr. par objet. Pas de remplacement d’installations existantes. Pour les nouvelles constructions, uniquement sur la partie dépassant le minimum légal.</t>
  </si>
  <si>
    <t>https://www.cheseaux.ch/data/documents/Energie/Subventionsenlienaveclerglementdufonds_01.01.2019.pdf</t>
  </si>
  <si>
    <t>20% du coût, mais au max. 4000 Fr. par objet. Pas de remplacement d’installations existantes. Pour les nouvelles constructions, uniquement sur la partie dépassant le minimum légal.</t>
  </si>
  <si>
    <t>20% du coût, mais au max. 3000 Fr. par objet. Pas de remplacement d’installations existantes. Uniquement chauffages centraux avec circuits de distribution de la chaleur. Chaudières homologuées par Energie-bois Suisse.</t>
  </si>
  <si>
    <t>Pompe à chaleur (PAC)</t>
  </si>
  <si>
    <t>20% du coût, mais au max. 3000 Fr. par objet. Pas de remplacement d’installations existantes</t>
  </si>
  <si>
    <t>300 Fr. par objet. Le vélo à assistance électrique doit obligatoirement être dispensé d’un permis de circulation et d’une homologation, doté d’une assistance au pédalage jusqu’à 25 km/h maximum et acheté neuf chez un concessionnaire agréé.</t>
  </si>
  <si>
    <t>Elaboration d’un plan de mobilité d’entreprise</t>
  </si>
  <si>
    <t>10% du coût, mais au max. 1000 Fr. par objet. Seulement en cas de mise en application.</t>
  </si>
  <si>
    <t>Capteurs neufs, testés et homologués par l'institut für Solartechnik (SFP) à Rapperswil ou l'Office fédéral de l'énergie.</t>
  </si>
  <si>
    <t>https://www.chardonne.ch/developpement-durable</t>
  </si>
  <si>
    <t>Cellules photovoltaïques</t>
  </si>
  <si>
    <t>Bâtiments Minergie</t>
  </si>
  <si>
    <t>Bâtiments satisfaisants aux exigences du label Minergie</t>
  </si>
  <si>
    <t>Chaudières neuves homologuées par Energie-Bois Suisse. Uniquement chauffages centraux avec réseau de distribution de chaleur (les poêles sont exclus).</t>
  </si>
  <si>
    <t>Remplacement de chauffages électriques directs</t>
  </si>
  <si>
    <t>La centrale de chauffe doit fonctionner entièrement avec une énergie renouvelable. Les pompes à chaleur doivent être alimentées par du courant vert "Naturemade star".</t>
  </si>
  <si>
    <t>Achat de scooter, de voiture et de vélo électrique</t>
  </si>
  <si>
    <t>Achat d'un véhicule neuf, au près d'un concessionnaire vaudois agréé.</t>
  </si>
  <si>
    <t>Batteries de stockage d’énergie photovoltaïque</t>
  </si>
  <si>
    <t>CHF 150.00/kW (max. 2000 CHF)</t>
  </si>
  <si>
    <t>https://www.chavornay.ch/aemter/20752</t>
  </si>
  <si>
    <t>- 1 Point de recharge privé: CHF 300&lt;br /&gt;- 1 Point de recharge public: CHF 2000&lt;br /&gt;- 2 points de recharge publique: CHF 6000</t>
  </si>
  <si>
    <t>Plan de cuisson induction</t>
  </si>
  <si>
    <t>Fr. 300 (uniquement remplacement). La subvention peut être de fr. 400, uniquement si l'achat se fait auprès d'une entreprise établie à Chavornay.</t>
  </si>
  <si>
    <t>20% du prix d'achat, max. fr. 400</t>
  </si>
  <si>
    <t>Audit énergétique (CECB)</t>
  </si>
  <si>
    <t>- CHF 300 par CECB&lt;br /&gt;- Realisé par un expert CECB</t>
  </si>
  <si>
    <t>Capteur solaires thermiques</t>
  </si>
  <si>
    <t>&amp;lt; 10 m&lt;sup&gt;2&lt;/sup&gt;: CHF 1000&lt;br /&gt;&amp;gt; 10 m&lt;sup&gt;2&lt;/sup&gt;: CHF 1000 + CHF 200/m&lt;sup&gt;2&lt;/sup&gt;</t>
  </si>
  <si>
    <t>Capteurs solaires photovoltaiques</t>
  </si>
  <si>
    <t>- Puissance inférieure à 30 kW: CHF 350/kW</t>
  </si>
  <si>
    <t>Modules photovoltaiques</t>
  </si>
  <si>
    <t>- Anciens bâtiments&lt;br /&gt;- Nouveaux bâtiments</t>
  </si>
  <si>
    <t>https://www.daillens.ch/ecobonus-offres-des-le-01-01-2020-fr806.html</t>
  </si>
  <si>
    <t>Bilan thermique (bâtiments anciens)</t>
  </si>
  <si>
    <t>Amélioration de l'enveloppe thermique</t>
  </si>
  <si>
    <t>Remplacement de fenêtres</t>
  </si>
  <si>
    <t>Remplacement du système de chauffage existant</t>
  </si>
  <si>
    <t>Amélioration du système de chauffage existant</t>
  </si>
  <si>
    <t>Diverses variantes sont soutenues</t>
  </si>
  <si>
    <t>Traitement des eaux</t>
  </si>
  <si>
    <t>Cartes et abonnements CFF</t>
  </si>
  <si>
    <t>Borne de charge</t>
  </si>
  <si>
    <t>Audits énergétiques (CECB Plus)</t>
  </si>
  <si>
    <t>https://www.ecublens.ch/cadre-de-vie/durabilite/subventions-communales#fonds-communal-d-encouragement-pour-le-d%C3%A9veloppement-durable</t>
  </si>
  <si>
    <t>Assainissement isolation thermique</t>
  </si>
  <si>
    <t>Minergie (Rénovation, nouvelle construction)</t>
  </si>
  <si>
    <t>Pompe à chaleur sol/eau ou eau/eau</t>
  </si>
  <si>
    <t>Chauffage à bois (Réservoir journal)</t>
  </si>
  <si>
    <t>Chauffage à bois automatique</t>
  </si>
  <si>
    <t>Batterie pour vélo électrique (remplacement)</t>
  </si>
  <si>
    <t>Remorque pour vélo</t>
  </si>
  <si>
    <t>Appareils électroménagers A+++</t>
  </si>
  <si>
    <t>Gefördert werden diverse Energieberatungen.&lt;br /&gt;- Erst-Energieberatunge EFH/MFH: 300.- Fr.&lt;br /&gt;- Aussenthermographie: 500.- Fr.&lt;br /&gt;- PEIK für KMU: 500.- Fr.</t>
  </si>
  <si>
    <t>Ersatz von Elektro-Speicherheizungen</t>
  </si>
  <si>
    <t>Förderbeitrag für Ersatz Einzelspeicher-Anlage: 2000.- Fr., für Ersatz Zentraler Speicher (Wärmeverteilung vorhanden): 1000.- Fr.&lt;br /&gt;Voraussetzung ist eine Impulsberatung «erneuerbar heizen».</t>
  </si>
  <si>
    <t>Anschluss an ein Nah-/Fernwärmenetz</t>
  </si>
  <si>
    <t>Förderbeitrag: 2000.- Fr. (bis 20 kW), zusätzlich 60.- Fr. pro kW &amp;gt; 20 kW</t>
  </si>
  <si>
    <t>PV-Anlage fassadenintegriert</t>
  </si>
  <si>
    <t>Förderbeitrag: 250.- Fr./m&lt;sup&gt;2&lt;/sup&gt;, max. 10'000.- Fr.</t>
  </si>
  <si>
    <t>Minergie-Bauten (Neubau und Sanierung)</t>
  </si>
  <si>
    <t>Förderbeitrag an Zertifizierungskosten: 50%, max. 1‘500.- Fr.</t>
  </si>
  <si>
    <t>Förderbeitrag: 15% der Kosten, max. 250.- Fr. (ein Gerät pro Haushalt und Jahr)</t>
  </si>
  <si>
    <t>Batterie stockage solaire</t>
  </si>
  <si>
    <t>Etude de faisabilité RCP - Solaire photovoltaïque</t>
  </si>
  <si>
    <t>RCP – Regroupement pour la Consommation Propre&lt;br /&gt;- Habitats collectifs principalement&lt;br /&gt;- Etude de faisabilité pour la réalisation d’une installation solaire en autoconsommation avec plusieurs consommateurs finaux&lt;br /&gt;- Etude comprenant trois parties :&lt;br /&gt;- implantation/potentiel&lt;br /&gt;- faisabilité technique&lt;br /&gt;- solutions de création du regroupement avec aspects financiers et administratifs&lt;br /&gt;- Mandataire certifié « Les Pros du Solaire »</t>
  </si>
  <si>
    <t>Vélo mécanique</t>
  </si>
  <si>
    <t>Vélo cargo électrique</t>
  </si>
  <si>
    <t>Abonnement Mobilis</t>
  </si>
  <si>
    <t>Réparation appareils</t>
  </si>
  <si>
    <t>Chauffage à bois (Remplacement)</t>
  </si>
  <si>
    <t>Remplacement d’un chauffage électrique, mazout ou gaz pour un chauffage bois&lt;br /&gt;1500.-</t>
  </si>
  <si>
    <t>https://www.ferreyres.ch/le-succes-de-ce-pari-sur-l-avenir-est-l-affaire-de-tous-fr2298.html</t>
  </si>
  <si>
    <t>Achat d'appareil électroménager (1 appareil par ménage et par année) &lt;strong&gt;réfrigérateur, congélateur, lave-vaisselle ou lave-linge&lt;/strong&gt;, le plus économe dans sa catégorie (en général A+++)&lt;br /&gt;&lt;br /&gt;25% du prix d'achat de l'appareil, max. 200.-</t>
  </si>
  <si>
    <t>Analyse thermique (CECB)</t>
  </si>
  <si>
    <t>Analyse thermique bâtiment (les analyses CECB obligatoires lors de vente d'immeuble ne sont pas subventionnées)&lt;br /&gt;&lt;br /&gt;25% du coût, max 200.-</t>
  </si>
  <si>
    <t>250.-/kWc, max 1000.- frs/installation &lt;br /&gt;Déduction faite de la part obligatoire d'énergie renouvelable lors de rénovation ou de construction</t>
  </si>
  <si>
    <t>Panneau solaire thermique</t>
  </si>
  <si>
    <t>Fr. 200.- par m&lt;sup&gt;2&lt;/sup&gt;, max 1000.-/ installation</t>
  </si>
  <si>
    <t>Multiprise avec interrupteur par ménage</t>
  </si>
  <si>
    <t>Distribution d'une multiprise avec interrupteur par ménage, aux nouveaux habitants&lt;br /&gt;&lt;br /&gt;gratuit</t>
  </si>
  <si>
    <t>Raccordement au chauffage à distance</t>
  </si>
  <si>
    <t>&lt;p&gt;Les propriétaires de Gland qui souhaitent se raccorder au CAD peuvent obtenir une subvention communale. Cette offre est valable uniquement pour les bâtiments existants.&lt;/p&gt;_x000D_
&lt;p&gt;Le raccordement au CAD est un mode de chauffage plus écologique et permet de réduire les émissions de CO&lt;sub&gt;2&lt;/sub&gt;. Des informations sur les réseaux sont disponibles sur &lt;a href="http://www.thermoreso.ch" target="_blank" rel="noopener"&gt;www.thermoreso.ch&lt;/a&gt;&lt;/p&gt;</t>
  </si>
  <si>
    <t>Solutions connectées pour l'intérieur</t>
  </si>
  <si>
    <t>&lt;p&gt;Les habitants de Gland peuvent obtenir une subvention communale pour les solutions connectées pour l’intérieur.&lt;/p&gt;</t>
  </si>
  <si>
    <t>https://www.gland.ch/vivre-a-gland/vie-pratique/energie/cite-de-lenergie/subventions/solutions-connectees-pour-linterieur</t>
  </si>
  <si>
    <t>Batterie électrique pour vélo</t>
  </si>
  <si>
    <t>Le remplacement d’une batterie électrique pour vélo est plus écologique que le remplacement du vélo complet.</t>
  </si>
  <si>
    <t>La remorque pour vélo permet de faire ses courses ou aller chercher ses enfants de manière écologique.</t>
  </si>
  <si>
    <t>Abonnement Publibike</t>
  </si>
  <si>
    <t>La ville de Gland alloue une subvention pour l’achat d'une carte d’abonnement annuel Publibike.</t>
  </si>
  <si>
    <t>Abonnement TUG/zone 23 Mobilis</t>
  </si>
  <si>
    <t>&lt;p&gt;La Ville de Gland propose une subvention pour l’achat d’une carte ou d'un abonnement pour la zone 23 Mobilis.&lt;/p&gt;_x000D_
&lt;p&gt;La zone 23 Mobilis permet de circuler à Gland librement en utilisant le TUG, ainsi que les lignes régionales (811/830/835/836).&lt;/p&gt;</t>
  </si>
  <si>
    <t>&lt;p&gt;Les propriétaires de Gland qui souhaitent installer une borne de recharge peuvent obtenir une subvention communale.&lt;/p&gt;_x000D_
&lt;p&gt;L'installation d'une borne à son domicile est une assurance de pouvoir recharger en tout temps et en toute simplicité son véhicule.&lt;/p&gt;</t>
  </si>
  <si>
    <t>Étude de faisibilité: Regroupement dans le cadre de consommation propre</t>
  </si>
  <si>
    <t>&lt;p&gt;Les propriétaires de Gland qui souhaitent réaliser une étude de faisabilité dans l’objectif de connaître leur potentiel dans le cadre d’un regroupement de consommation propre peuvent obtenir une subvention communale.&lt;/p&gt;_x000D_
&lt;p&gt;Constituer un RCP est souvent considéré comme une opportunité de réduire sa facture énergétique en produisant une partie de l'électricité consommée. La réalisation d'une étude de faisabilité permet de définir les potentiels de production.&lt;/p&gt;</t>
  </si>
  <si>
    <t>https://www.gland.ch/vivre-a-gland/vie-pratique/energie/cite-de-lenergie/subventions/consommation-propre</t>
  </si>
  <si>
    <t>Création d'un regroupement dans le cadre de consommation propre</t>
  </si>
  <si>
    <t>&lt;p&gt;Les propriétaires de Gland qui souhaitent s’associer dans le cadre d’un regroupement de consommation propre peuvent obtenir une subvention communale.&lt;/p&gt;_x000D_
&lt;p&gt;Cette offre est valable uniquement lors d'une rénovation ou d'une transformation.&lt;/p&gt;_x000D_
&lt;p&gt;Un regroupement de consommation propre rassemble à la fois un ou des producteurs d’électricité et plusieurs consommateurs. Il peut s’agir d’immeubles ou mêmes d'habitations voisines qui se regroupent en RCP. Les participants au regroupement peuvent couvrir une partie de leurs besoins en électricité via une ou plusieurs installations photovoltaïques.&lt;/p&gt;</t>
  </si>
  <si>
    <t>Location de vaisselle réutilisable</t>
  </si>
  <si>
    <t>Les habitants de Gland peuvent obtenir une subvention communale pour la location de vaisselle réutilisable pour leurs événements et fêtes.&lt;br /&gt;&lt;br /&gt;L’utilisation de vaisselle recyclable est plus écologique que la vaisselle jetable et participe à une diminution des déchets.</t>
  </si>
  <si>
    <t>https://www.gland.ch/vivre-a-gland/vie-pratique/energie/cite-de-lenergie/subventions/vaisselle-reutilisable</t>
  </si>
  <si>
    <t>https://www.lasarraz.ch/images/R%C3%A8glements_scann%C3%A9s/R%C3%A8glement_Energies_renouvelables.pdf</t>
  </si>
  <si>
    <t>Cellules photovoltaiques</t>
  </si>
  <si>
    <t>Pas de remplacement PAC existante</t>
  </si>
  <si>
    <t>Energie bois prioritaire</t>
  </si>
  <si>
    <t>Minergie (neuf et rénovation)</t>
  </si>
  <si>
    <t>Accompagnement personnalisé pour rénovation</t>
  </si>
  <si>
    <t>Si vous ne savez pas par où commencer pour économiser de l'énergie ou ne détenez pas les ressources nécessaires, équiwatt peut se déplacer et vous apporter un conseil énergétique de premier niveau gratuit. Cela dure environ 60 minutes, il ne vous engage en rien et vous apporte des pistes quant aux économies potentielles que vous pourriez réaliser dans vos locaux. Si la situation de vos locaux nécessite un conseil plus poussé, alors nous vous guiderons vers un audit certifié qui vous apportera des informations plus détaillées concernant les potentiels d'économie d'énergie, les actions rentables à réaliser et les investissements à concéder.</t>
  </si>
  <si>
    <t>https://www.equiwatt-lausanne.ch/visite-conseil/</t>
  </si>
  <si>
    <t>Chauffage des bâtiments</t>
  </si>
  <si>
    <t>Vous gérez ou possédez des bâtiments de 25 logements ou plus (ou ensemble de bâtiments reliés par une chaufferie unique)? &lt;br /&gt;Equiwatt et son partenaire, l’association Energo, vous proposent de diminuer leur consommation d’énergie grâce à l’optimisation de leurs installations de chauffage.</t>
  </si>
  <si>
    <t>https://www.equiwatt-lausanne.ch/optimisation-de-vos-installations-de-chauffage/</t>
  </si>
  <si>
    <t>Prime électroménager</t>
  </si>
  <si>
    <t>En Suisse, nos appareils électroménagers consomment plus de 5 milliards de kWh/an. &lt;br /&gt;En optant pour des modèles plus efficaces, cette consommation peut baisser de 30% à 40%. &lt;br /&gt;Et en plus, équiwatt vous offre 20% du prix d’achat (max. 300.-).</t>
  </si>
  <si>
    <t>https://www.equiwatt-lausanne.ch/prime-electromenager/</t>
  </si>
  <si>
    <t>Kit d'économie d'énergie</t>
  </si>
  <si>
    <t>Pour des économies d'énergie faciles et rapides</t>
  </si>
  <si>
    <t>https://www.equiwatt-lausanne.ch/kit-equiwatt/</t>
  </si>
  <si>
    <t>Eco-logements</t>
  </si>
  <si>
    <t>Les logements individuels détiennent un important potentiel d’économies d’énergie (électricité, chaleur et eau). &lt;br /&gt;Devenez une éco-gérance en offrant des visites-conseils à vos locataires.</t>
  </si>
  <si>
    <t>https://www.equiwatt.ch/conseils/eco-logements.html</t>
  </si>
  <si>
    <t>Plan de mobilité</t>
  </si>
  <si>
    <t>50% du coût, mais au max. 10'000.- par étude&lt;br /&gt;&lt;br /&gt;A partir de 50 collaborateurs, soit 1 entreprise ou plusieurs entreprises réunies.</t>
  </si>
  <si>
    <t>https://www.lemontsurlausanne.ch/vivre-au-mont/prestations/subventions-communales</t>
  </si>
  <si>
    <t>Etude ou projets énergétique</t>
  </si>
  <si>
    <t>30% du coût, mais au max. 10'000.-&lt;br /&gt;&lt;br /&gt;Condition: Dépôt d'un dossier</t>
  </si>
  <si>
    <t>20% du coût, mais au maximum 500.- par étude</t>
  </si>
  <si>
    <t>Isolation de l'enveloppe</t>
  </si>
  <si>
    <t>Bonus de 30% sur la subvention cantonale, au maximum 10'000.- par objet.</t>
  </si>
  <si>
    <t>Panneaux solaires photovoltaiques</t>
  </si>
  <si>
    <t>200.-/m&lt;sup&gt;2&lt;/sup&gt; installé, mais au maximum 5'000.- par objet.</t>
  </si>
  <si>
    <t>Remplacement du chauffage</t>
  </si>
  <si>
    <t>2000.- PAC air-eau&lt;br /&gt;4000.- PAC sol-eau / chaudière à bois&lt;br /&gt;&lt;br /&gt;&lt;span style="text-decoration: underline;"&gt;Conditions:&lt;/span&gt;&lt;br /&gt;1. Sur présentation de la décision d’octroi de la subvention cantonale.&lt;br /&gt;2. Pour des chauffages centraux de bâtiments avec circuits de distribution de la chaleur en remplacement d’un chauffage central à mazout, à gaz ou électrique.&lt;br /&gt;3. Mise en service dans les 24 (vingt-quatre) mois au maximum après la décision.</t>
  </si>
  <si>
    <t>Récuperation des eaux de pluie</t>
  </si>
  <si>
    <t>20 %, max. 2000.- Fr.</t>
  </si>
  <si>
    <t>Scooter électrique: 20% du coût, mais au max. 800.- par scooter&lt;br /&gt;Vélo électrique: 20% du coût, mais au max. 300.- par vélo.&lt;br /&gt;Kit électrique pour vélo: 20% du prix mais au maximum CHF 300.-</t>
  </si>
  <si>
    <t>Vélo, Vélo cargo, Remorque pour vélo</t>
  </si>
  <si>
    <t>Première année d’abonnement offerte.</t>
  </si>
  <si>
    <t>Abonnements transports publics</t>
  </si>
  <si>
    <t>&lt;strong&gt;Abonnement général CFF&lt;/strong&gt;&lt;br /&gt;500.- pour l’achat d’un AG&lt;br /&gt;&lt;br /&gt;&lt;strong&gt;Abonnement CFF ½ tarif&lt;br /&gt;&lt;/strong&gt;100.- pour l’achat d’un abonnement demi-tarif la première année d'octroi de la subvention; 70.- pour les renouvellements&lt;br /&gt;&lt;br /&gt;&lt;strong&gt;Abonnement annuel Mobilis&lt;/strong&gt;&lt;br /&gt;100.- pour l’achat d’un abonnement annuel (sans restrictions de zones) la première année d'octroi de la subvention; 70.- pour les renouvellements.&lt;br /&gt;&lt;br /&gt;&lt;strong&gt;Abonnement annuel Mobilis pour entreprise&lt;/strong&gt;&lt;br /&gt;300.- pour l'achat d'un abonnement annuel (sans restrictions de zones).&lt;br /&gt;&lt;br /&gt;&lt;strong&gt;Carte TL Prépayées Grand Lausanne et Grand Lausanne Plus&lt;/strong&gt;&lt;br /&gt;Grand Lausanne : CHF 20.- tarif plein et CHF 10.- tarif réduit&lt;br /&gt;Grand Lausanne Plus : CHF 40.- tarif plein et CHF 15.- tarif réduit.</t>
  </si>
  <si>
    <t>Bike to work</t>
  </si>
  <si>
    <t>Paiement de l’inscription des entreprises. Jusqu’à 200.- par entreprise.</t>
  </si>
  <si>
    <t>Batterie pour vélo électrique</t>
  </si>
  <si>
    <t>20% du coût, mais au max. 200.-</t>
  </si>
  <si>
    <t>50% de la subvention cantonale / Max CHF 2’000.-</t>
  </si>
  <si>
    <t>https://www.lutry.ch/vivre-a-lutry/environnement-eau-et-energie/energies-et-reseau/subventions-communales/</t>
  </si>
  <si>
    <t>Jusqu’à 50% de la subvention cantonale / Max CHF 750.-</t>
  </si>
  <si>
    <t>Remplacement du boiler électrique par un équipement CE-PAC</t>
  </si>
  <si>
    <t>Remplir les conditions EFFIBOILER / Max CHF 500.-</t>
  </si>
  <si>
    <t>10% du prix d’achat / Max CHF 300.-</t>
  </si>
  <si>
    <t>CHF 400.- /bâtiment</t>
  </si>
  <si>
    <t>https://mex.ch/officiel/subventions-energetiques</t>
  </si>
  <si>
    <t>Amélioration thermique de l’enveloppe</t>
  </si>
  <si>
    <t>Façades 15.-/m2&lt;br /&gt;Toiture 15.-/m2&lt;br /&gt;Fenêtres 25.-/m2&lt;br /&gt;max. CHF 3'500.- par élément et par bâtiment</t>
  </si>
  <si>
    <t>Production de chaleur bois</t>
  </si>
  <si>
    <t>CHF 1'500.-&lt;br /&gt;&lt;br /&gt;Appareils homologués par énergie–bois-suisse en remplacement d’un chauffage électrique</t>
  </si>
  <si>
    <t>géothermique, air-eau. etc. / Bâtiments neufs ou existants&lt;br /&gt;&lt;br /&gt;CHF 500.- P à C air/eau&lt;br /&gt;CHF 1'500.- P à C géothermique avec forage</t>
  </si>
  <si>
    <t>CHF 200.-/m2, max. CHF 2'000.-</t>
  </si>
  <si>
    <t>La Commune d'Yvorne participe à l'installation de panneaux solaires photovoltaïques à raison d'un forfait de 2000 Fr.</t>
  </si>
  <si>
    <t>https://www.yvorne.ch/net/Net_Yvorne.asp?NoOFS=5415&amp;Sty=&amp;NumStr=31.22.10</t>
  </si>
  <si>
    <t>La Commune d'Yvorne participe à l'installation de panneaux solaires thermiques à raison d'un forfait de 2000 Fr.</t>
  </si>
  <si>
    <t>https://www.yvorne.ch/net/Net_Yvorne.asp?NoOFS=5415&amp;Sty=&amp;NumStr=31.22.15&amp;lr=G</t>
  </si>
  <si>
    <t>La Commune d'Yvorne participe à l'installation de pompes à chaleur à raison d'un forfait de 2000 Fr.</t>
  </si>
  <si>
    <t>https://www.yvorne.ch/net/Net_Yvorne.asp?NoOFS=5415&amp;Sty=&amp;NumStr=31.22.20&amp;lr=G</t>
  </si>
  <si>
    <t>Chauffages à bois ou à pellets</t>
  </si>
  <si>
    <t>La Commune d'Yvorne participe à l'installation de chauffages à bois ou à pellets à raison d'un forfait de 2000 Fr.</t>
  </si>
  <si>
    <t>https://www.yvorne.ch/net/Net_Yvorne.asp?NoOFS=5415&amp;Sty=&amp;NumStr=31.22.30&amp;lr=G</t>
  </si>
  <si>
    <t>Citernes de rétention d'eau de pluie</t>
  </si>
  <si>
    <t>La Commune d'Yvorne participe à l'installation de citernes de rétention d'eau de pluie à hauteur de 20% du prix d'achat, mais au maximum par un montant de 500 Fr.</t>
  </si>
  <si>
    <t>https://www.yvorne.ch/net/Net_Yvorne.asp?NoOFS=5415&amp;Sty=&amp;NumStr=31.22.40&amp;lr=G</t>
  </si>
  <si>
    <t>Abonnements de transports publics</t>
  </si>
  <si>
    <t>La Commune d'Yvorne participe à l'acquisition d'abonnements de transports publics pour les jeunes de 6 à 25 ans révolus, à hauteur de 40% du prix d'un abonnement personnel Mobilis 2&lt;sup&gt;e&lt;/sup&gt; classe jusqu'à quatre zones.</t>
  </si>
  <si>
    <t>https://www.yvorne.ch/net/Net_Yvorne.asp?NoOFS=5415&amp;Sty=&amp;NumStr=31.22.50&amp;lr=G</t>
  </si>
  <si>
    <t>Vélos et scooters électriques</t>
  </si>
  <si>
    <t>La Commune d'Yvorne participe à l'acquisition de vélos ou de scooters électriques à hauteur de 20% du prix d'achat, mais au maximum par un montant de 400 Fr.</t>
  </si>
  <si>
    <t>https://www.yvorne.ch/net/Net_Yvorne.asp?NoOFS=5415&amp;Sty=&amp;NumStr=31.22.60&amp;lr=G</t>
  </si>
  <si>
    <t>Rénovation/isolation complète avec obtention d’un certificat CECB ou Minergie</t>
  </si>
  <si>
    <t>Examen thermographique d’un bâtiment existant</t>
  </si>
  <si>
    <t>300.-/bâtiment</t>
  </si>
  <si>
    <t>https://www.vufflens-le-chateau.ch/Energie-et-nature</t>
  </si>
  <si>
    <t>Amélioration thermique de l’enveloppe des bâtiments existants (Fenêtres, façades, toiture)</t>
  </si>
  <si>
    <t>20 % du coût des travaux, plafonné à 5'000.-</t>
  </si>
  <si>
    <t>https://www.vufflens-le-chateau.ch/assets/idm_medias/22556c4cba7e0ec14265065a2e73ec33.pdf</t>
  </si>
  <si>
    <t>Pour bâtiments neufs ou existants, Chaudière bois/pellets&lt;br /&gt;&amp;lt;30 kW : 2'500.- &lt;br /&gt;&amp;gt;30 kW : 3'500.-</t>
  </si>
  <si>
    <t>Pompes à chaleur (PAC)</t>
  </si>
  <si>
    <t>Label MINERGIE</t>
  </si>
  <si>
    <t>Label MINERGIE-P</t>
  </si>
  <si>
    <t>Vélos de route avec assistance électrique (VAE)</t>
  </si>
  <si>
    <t>Analyse de la qualité de l'enveloppe du bâtiment (thermographie)</t>
  </si>
  <si>
    <t>https://vucherens.ch/wp-content/uploads/2017/07/Liste-des-objets-susceptibles-de-b%C3%A9n%C3%A9ficier2017.pdf</t>
  </si>
  <si>
    <t>Installation de chauffage au bois</t>
  </si>
  <si>
    <t>Seulement en remplacement d'un chauffage électrique</t>
  </si>
  <si>
    <t>Eclairage / Eclairage public</t>
  </si>
  <si>
    <t>Acquisition d'un deux-roues électrique</t>
  </si>
  <si>
    <t>La Municipalité propose une subvention de 300 Fr. aux personnes qui s'équipent d'un deux-roues électrique, scooter ou vélo.</t>
  </si>
  <si>
    <t>https://www.villeneuve.ch/services/21307</t>
  </si>
  <si>
    <t>Panneaux solaire photovoltaique</t>
  </si>
  <si>
    <t>Pour les installations d’une puissance comprise entre 2 et 30 kWc, la Commune verse, en complément de lapetiterétribution unique (PRU) de Pronovo, le montant équivalent de cette dernière. La date de mise enservice faitfoi pour le calcul. Pour les nouvelles constructions de bâtiments, la part obligatoire au sens de la LVLEne n’est pas prise encompte dans le calcul. Le montant de la subvention communale est plafonné à CHF 6'000.00.</t>
  </si>
  <si>
    <t>Etudes</t>
  </si>
  <si>
    <t>Les privés et entreprises peuvent demander une subvention communale dans les domaines faisant l'objet de subventions cantonales.</t>
  </si>
  <si>
    <t>Chauffage à bois</t>
  </si>
  <si>
    <t>https://veytaux.ch/uploads/26c3b5aecb7be4adf973b0b883013a99/documents/reglement%20fonds%20DD_1600259020.pdf</t>
  </si>
  <si>
    <t>Bilans énergétiques et de plans de mesures</t>
  </si>
  <si>
    <t>Mix-électrique 100% renouvelable suisse</t>
  </si>
  <si>
    <t>la Ville de Vevey soutient financièrement le changement de mix électrique vers une énergie 100% renouvelable pour tout bâtiment situé sur son territoire.</t>
  </si>
  <si>
    <t>https://www.vevey.ch/prestations/mix-electrique-100-renouvelable-suisse</t>
  </si>
  <si>
    <t>50% du montant de la subvention cantonale (max. CHF 10'000.-)</t>
  </si>
  <si>
    <t>https://www.vevey.ch/prestations/pompe-chaleur-pac</t>
  </si>
  <si>
    <t>Appareil ménager efficient – Réparation</t>
  </si>
  <si>
    <t>Valable pour tous les appareils électroménagers et électroniques. 75 % du prix de la réparation (Maximum: fr. 400)</t>
  </si>
  <si>
    <t>https://www.vevey.ch/prestations/appareil-menager-efficient-reparation</t>
  </si>
  <si>
    <t>Eclairage efficient</t>
  </si>
  <si>
    <t>La Ville de Vevey soutient financièrement tout achat et/ou modification d'éclairages pour entreprises, commerces et communs d’immeuble permettant des économies d'énergie sur son territoire veveysan.</t>
  </si>
  <si>
    <t>https://www.vevey.ch/prestations/eclairage-efficient-pour-entreprises-et-commerces</t>
  </si>
  <si>
    <t>La Ville de Vevey soutient financièrement tout achat et/ou modification d'éclairages pour ménages permettant des économies d'énergie sur son territoire veveysan. Montants: 50% des coûts, Maximum : CHF 100.—</t>
  </si>
  <si>
    <t>https://www.vevey.ch/prestations/eclairage-efficient-pour-menages</t>
  </si>
  <si>
    <t>Abonnement de transports publics</t>
  </si>
  <si>
    <t>Cette subvention s'adresse aux jeunes agé∙e∙s de 15 à 30 ans en formation post-obligatoire (apprenti∙e∙s, gymnasien∙ne∙s, étudiant∙e∙s) et aux personnes à l'AVS ou à l'AI.&lt;br /&gt;Elle couvre 20% du prix de l'abonnement (sauf abonnement demi-tarif CFF) jusqu'à un maximum de CHF 250.-/année et par demande.</t>
  </si>
  <si>
    <t>https://www.vevey.ch/prestations/abonnement-de-transports-publics</t>
  </si>
  <si>
    <t>Abonnement velospot ou carvelo2go</t>
  </si>
  <si>
    <t>La Commune de Vevey octroie une subvention de 100.- aux personnes/entreprises veveysannes voulant profiter des services de partage de vélos et vélos-cargos "velospot" ou "carvelo2go".</t>
  </si>
  <si>
    <t>https://www.vevey.ch/prestations/abonnement-velospot-ou-carvelo2go</t>
  </si>
  <si>
    <t>Mobility CarSharing</t>
  </si>
  <si>
    <t>La Commune de Vevey octroie une subvention de 200.- valable pour le click&amp;amp;drive ou un abonnement d'essai ou annuel de Mobility couplé à des heures roulées.</t>
  </si>
  <si>
    <t>https://www.vevey.ch/prestations/mobility-carsharing</t>
  </si>
  <si>
    <t>Réparation/Révision d'un vélo</t>
  </si>
  <si>
    <t>La Commune de Vevey octroie une subvention de maximum CHF 50.- pour la réparation ou la révision d'un vélo mécanique ou électrique auprès d'un magasin veveysan.</t>
  </si>
  <si>
    <t>https://www.vevey.ch/prestations/reparationrevision-dun-velo</t>
  </si>
  <si>
    <t>Vélo électrique et batterie</t>
  </si>
  <si>
    <t>Dans le but d'encourager la mobilité durable, la Commune de Vevey subventionne l'acquisition d'un vélo électrique ou d'une batterie. La subvention couvre 10% des coûts d'achat du vélo ou de la batterie jusqu'à un maximum de CHF 300.-/demande.</t>
  </si>
  <si>
    <t>https://www.vevey.ch/prestations/velo-electrique-et-batterie</t>
  </si>
  <si>
    <t>Vélo-cargo</t>
  </si>
  <si>
    <t>Dans le but d'encourager la mobilité douce, la Commune de Vevey octroie une subvention aux personnes ou entreprises voulant acheter un vélo-cargo. La subvention couvre 20% du montant de l'achat jusqu'à maximum 1'000.-/demande.</t>
  </si>
  <si>
    <t>https://www.vevey.ch/prestations/velo-cargo</t>
  </si>
  <si>
    <t>2000 Fr., min 2 kW</t>
  </si>
  <si>
    <t>https://www.vaux-sur-morges.ch/durable/fdder/demande.php#void</t>
  </si>
  <si>
    <t>Installations &amp;lt; 9,99 KWc: 2000 Fr. + 1000 Fr./kWc, Installation ajoutée&lt;br /&gt;Installations &amp;gt; 10 KWc: demande au Fonds selon modalités usuelles</t>
  </si>
  <si>
    <t>Batterie</t>
  </si>
  <si>
    <t>CHF 300.-/kWh</t>
  </si>
  <si>
    <t>Chaudière à bois</t>
  </si>
  <si>
    <t>&amp;lt; 20 kW; pellets, plaquettes, bûches: 5000 Fr.</t>
  </si>
  <si>
    <t>Remplacement des chauffages électriques, à gaz ou au mazout</t>
  </si>
  <si>
    <t>- Par une pompe à chaleur &amp;lt; 20 kW: 5000 Fr., Forage: 5000 Fr.&lt;br /&gt;- Création du réseau hydraulique: 10'000 Fr. + 20 Fr./m&lt;sup&gt;2&lt;/sup&gt;</t>
  </si>
  <si>
    <t>50 Fr./m&lt;sup&gt;2&lt;/sup&gt;; toit, murs et sol avec U &amp;lt; 0,20 W/m&lt;sup&gt;2&lt;/sup&gt;K</t>
  </si>
  <si>
    <t>200 Fr./m&lt;sup&gt;2&lt;/sup&gt;; avec U&lt;sub&gt;vitrage&lt;/sub&gt; &amp;lt; 0,7 W/m&lt;sup&gt;2&lt;/sup&gt;K</t>
  </si>
  <si>
    <t>Abonnement demi-tarif/Swisspass CFF: 50% du prix d’achat (2&lt;sup&gt;ème&lt;/sup&gt; classe), mensuel ou annuel&lt;br /&gt;Abonnement Mobilis/parcours CFF: 20% du prix d’achat (2&lt;sup&gt;ème&lt;/sup&gt; classe)&lt;br /&gt;Abonnement Général CFF: 20 % du prix d’achat (2&lt;sup&gt;ème&lt;/sup&gt; classe)</t>
  </si>
  <si>
    <t>Scooter électrique: 20% du prix d’achat, max 1500 Fr.&lt;br /&gt;Vélo électrique: 20% du prix d’achat, max 1000 Fr.&lt;br /&gt;Voiture électrique (non hybride): 20% du prix d’achat, max 5000 Fr.</t>
  </si>
  <si>
    <t>Vélo</t>
  </si>
  <si>
    <t>20 % du prix d’achat, min 50 Fr. et max 200 Fr.</t>
  </si>
  <si>
    <t>Co-voiturage</t>
  </si>
  <si>
    <t>100 Fr./an sur présentation de l’inscription au site www.e-covoiturage.ch</t>
  </si>
  <si>
    <t>Affiliation à Mobility</t>
  </si>
  <si>
    <t>50 % de la cotisation annuelle</t>
  </si>
  <si>
    <t>Certificat énergétique cantonal des bâtiments (CECB)</t>
  </si>
  <si>
    <t>50% du coût, Maximum 1000.-</t>
  </si>
  <si>
    <t>https://www.tolochenaz.ch/reglementscommunaux/92718</t>
  </si>
  <si>
    <t>Formations ou cours: Sensibilisation à l’optimisation énergétique</t>
  </si>
  <si>
    <t>50% du coût, Individuel maximum 300.-, Collectifs pour entreprises maximum 1000.-</t>
  </si>
  <si>
    <t>Bâtiment individuel :&lt;br /&gt;&amp;lt;10 m&lt;sup&gt;2&lt;/sup&gt; forfait CHF 2'000.-&lt;br /&gt;&amp;gt;10 m&lt;sup&gt;2&lt;/sup&gt; forfait CHF 2'000.- + CHF 150.-/m&lt;sup&gt;2&lt;/sup&gt; supplémentaire&lt;br /&gt;&lt;br /&gt;Bâtiment collectif ou autre&lt;br /&gt;&amp;gt;10 m&lt;sup&gt;2&lt;/sup&gt; forfait CHF 3'000.- + CHF 150.-/m2 supplémentaire&lt;br /&gt;&lt;br /&gt;Le montant maximal de la subvention est de CHF 10'000.-</t>
  </si>
  <si>
    <t>https://montricher.ch/index.php/services/energies-renouvelables</t>
  </si>
  <si>
    <t>10 % du montant de la facture jusqu’à concurrence de CHF 5'000.-</t>
  </si>
  <si>
    <t>Puissance jusqu’à 25 kW :&lt;br /&gt;forfait CHF 2'000.-&lt;br /&gt;&lt;br /&gt;Puissance supérieure à 25&lt;br /&gt;kW : forfait CHF 3'000.-&lt;br /&gt;&lt;br /&gt;Pas de remplacement de chaudières à bois existantes</t>
  </si>
  <si>
    <t>Sol-air : CHF 2'000.-&lt;br /&gt;Sol-eau : CHF. 2'000.-&lt;br /&gt;&lt;br /&gt;Uniquement pour des travaux de transformation ou de rénovation</t>
  </si>
  <si>
    <t>Bâtiment individuel : forfait CHF 5'000.-&lt;br /&gt;&lt;br /&gt;Bâtiment collectif : CHF 20.-/m&lt;sub&gt;2&lt;/sub&gt;SRE (surface référence énergétique)&lt;br /&gt;&lt;br /&gt;Le montant maximal de la subvention est de CHF 10'000.-</t>
  </si>
  <si>
    <t>Participation à hauteur de 20 % du prix d’achat&lt;br /&gt;&lt;br /&gt;Le montant maximal de la subvention est de CHF 400.-</t>
  </si>
  <si>
    <t>Amélioration thermique de l’enveloppe des bâtiments</t>
  </si>
  <si>
    <t>Décision de cas en cas&lt;br /&gt;&lt;br /&gt;Le montant maximal de la subvention est de CHF 3'000.-</t>
  </si>
  <si>
    <t>Bilans/mesures énergétiques</t>
  </si>
  <si>
    <t>Etablissement de bilans énergétiques et de plans de mesures énergétiques applicables à des bâtiments ou à des sites de production industriels et artisanaux.&lt;br /&gt;&lt;br /&gt;L’aide octroyée prendra en charge jusqu’à concurrence de 40% du coût des études énergétiques visant à établir un diagnostic. La participation de la Commune est toutefois limitée à fr. 2500 par étude et/ou par site.</t>
  </si>
  <si>
    <t>Le montant de la subvention s’élève à 70% du montant de la rétribution unique (RU) de la Confédération, plafonnée à 20% du coût de l’installation, mais au maximum CHF 10'000.00 pour les habitats individuels et CHF 25'000.00 pour les habitats collectifs et autres affectations</t>
  </si>
  <si>
    <t>https://www.morges.ch/vivre-a-morges/developpement-durable/fonds-d-encouragement-communal/subventions-et-conditions-2074</t>
  </si>
  <si>
    <t>Pompes à chaleur pour les bâtiments existants</t>
  </si>
  <si>
    <t>Achat de vélos (plan mobilité d'entreprise)</t>
  </si>
  <si>
    <t>maximum un vélo par tranche de 5 employés</t>
  </si>
  <si>
    <t>Bilans énergétiques/études d'optimisation</t>
  </si>
  <si>
    <t>Bilans énergétiques pour les bâtiments et études d'optimisation pour les installations techniques : 20 % des coûts, plafonné à CHF 2'500.00 par étude ou par site. Dans le cas où un CECB+ est réalisé lors d'une rénovation globale du bâtiment, un bonus est accordé.</t>
  </si>
  <si>
    <t>Nouvelles constructions à haute efficience énergétique</t>
  </si>
  <si>
    <t>Assainissement des bâtiments par module</t>
  </si>
  <si>
    <t>subsides variables selon les éléments assainis</t>
  </si>
  <si>
    <t>50% de la subvention cantonale, plafonné à 20% des coûts de l'installation</t>
  </si>
  <si>
    <t>Scooters électriques</t>
  </si>
  <si>
    <t>20% du prix d'achat, plafonné à CHF 600.00</t>
  </si>
  <si>
    <t>Petite mobilité électrique</t>
  </si>
  <si>
    <t>Vélo électrique, batterie pour vélo, kit pour électrifier le vélo, vélo-cargo et remorques pour vélo</t>
  </si>
  <si>
    <t>Vélos traditionnels de ville</t>
  </si>
  <si>
    <t>20% du prix d'achat, plafonné à CHF 300.00</t>
  </si>
  <si>
    <t>Cabas à roulettes</t>
  </si>
  <si>
    <t>20% du prix d'achat plafonné à CHF 25.00</t>
  </si>
  <si>
    <t>20% du prix d'achat et d'installation, après déduction de la subvention cantonale, plafonné à CHF 500.00</t>
  </si>
  <si>
    <t>https://www.nyon.ch/demarches/installations-solaires-1735/</t>
  </si>
  <si>
    <t>Amélioration thermique de l’enveloppe des bâtiments existants</t>
  </si>
  <si>
    <t>Façades: 15.-/m&lt;sup&gt;2&lt;/sup&gt;, Toiture: 15.-/m&lt;sup&gt;2&lt;/sup&gt;, Fenêtres: 100.-/m&lt;sup&gt;2&lt;/sup&gt;, Sol /non chauffé: 15.-/m&lt;sup&gt;2&lt;/sup&gt;, Maximum 3'000.-</t>
  </si>
  <si>
    <t>Poêles bois ou pellets pour bâtiments neufs ou existants. &lt;br /&gt;Avec récupération active &lt;br /&gt;&amp;lt;30 kW: forfait 1'000.- &lt;br /&gt;&amp;gt;30 kW: forfait 3'000.- &lt;br /&gt;Bâtiment individuel: forfait 1'000.- &lt;br /&gt;Bâtiment collectif: forfait 3’000.-</t>
  </si>
  <si>
    <t>Pompes à chaleur Air-Eau ou Géothermique (forage) pour bâtiments neufs ou existants&lt;br /&gt;Bâtiment individuel: PAC ou Géothermique: forfait 2'500.- &lt;br /&gt;Bâtiment collectif: forfait 5000.-</t>
  </si>
  <si>
    <t>Capteurs solaires thermiques et/ou photovoltaïques</t>
  </si>
  <si>
    <t>&lt;strong&gt;Bâtiments existants&lt;/strong&gt; &lt;br /&gt;Bâtiment individuel 200.-/m&lt;sup&gt;2&lt;/sup&gt; jusqu’à 3000.- &lt;br /&gt;Bâtiment collectif ou activités 200.-/m&lt;sup&gt;2&lt;/sup&gt; jusqu’à 5000.- &lt;br /&gt;&lt;br /&gt;&lt;strong&gt;Bâtiments neufs:&lt;/strong&gt; Surfaces installées en supplément des obligations légales&lt;br /&gt;Bâtiment individuel 200.-/m&lt;sup&gt;2&lt;/sup&gt; jusqu’à 3000.- &lt;br /&gt;Bâtiment collectif ou activités 200.-/m&lt;sup&gt;2&lt;/sup&gt; jusqu’à 5000.-</t>
  </si>
  <si>
    <t>Bâtiments neufs ou existants&lt;br /&gt;Bâtiment individuel Forfait 5’000.- &lt;br /&gt;Bâtiment collectif ou activités 20.-/m&lt;sup&gt;2&lt;/sup&gt; SRE &lt;br /&gt;Maximum 5'000.-</t>
  </si>
  <si>
    <t>Abonnements pour transports publics</t>
  </si>
  <si>
    <t>CFF ½ tarif : 50.- par personne&lt;br /&gt;AG CFF Adulte : 300.-/ménage&lt;br /&gt;AG CFF (Jeunes et 25 ans) : 300.-/personne&lt;br /&gt;AG CFF (Famille et enfants) : 100.-/personne&lt;br /&gt;Mobilis annuel : 100.- par personne</t>
  </si>
  <si>
    <t>Vélos</t>
  </si>
  <si>
    <t>25% du prix d’achat,  plafonné à 100.-</t>
  </si>
  <si>
    <t>25% du prix d’achat,  plafonné à 300.-</t>
  </si>
  <si>
    <t>https://www.blonay-saint-legier.ch/prestation-communale/76801</t>
  </si>
  <si>
    <t>Réservoir rétention d'eau</t>
  </si>
  <si>
    <t>https://www.rueyres.ch/guichet-virtuel/formulaires-subventions-energie/</t>
  </si>
  <si>
    <t>Bâtiment existant, pour appartement ou bureau, pour une surface de panneau thermique de 4 m&lt;sup&gt;2&lt;/sup&gt; minimum et 6 m&lt;sup&gt;2&lt;/sup&gt; maximum</t>
  </si>
  <si>
    <t>Bâtiment existant, pour installation photovoltaïque fournissant entre 3 et 10 kWc (KiloWatt Crête) par appartement</t>
  </si>
  <si>
    <t>Chaudière à bois (pellets, bois)</t>
  </si>
  <si>
    <t>Bâtiment existant, remplacement central mazout/gaz ou électrique</t>
  </si>
  <si>
    <t>Abonnement annuel 1/2 tarif CFF</t>
  </si>
  <si>
    <t>1x par année: 80.-</t>
  </si>
  <si>
    <t>Abonnement général annuel CFF</t>
  </si>
  <si>
    <t>Pompe a chaleur (PAC)</t>
  </si>
  <si>
    <t>Bâtiment existant, remplacement central mazout/gazou électrique. PAC pour minimum le chauffage. Boiler PAC pas subventionné.&lt;br /&gt;Montant de la subvention: 2500.-</t>
  </si>
  <si>
    <t>Borne de recharge pour voitures électriques</t>
  </si>
  <si>
    <t>Capteurs ⁪solaires photovoltaïques</t>
  </si>
  <si>
    <t>https://www.romanel-sur-lausanne.ch/administration/bourse/subvention-zone-16-mobilis</t>
  </si>
  <si>
    <t>Capteurs ⁪solaires thermiques</t>
  </si>
  <si>
    <t>Remplacement des chauffages électriques directs</t>
  </si>
  <si>
    <t>Le CECB+ (Certificat Energétique Cantonal des Bâtiments) s'adresse aux bâtiments d'habitation, bâtiments administratifs et scolaires.&lt;br /&gt;L'offre d'un bureau d'étude (en dehors CECB) est prise en considération pour des bâtiments plus complexes.</t>
  </si>
  <si>
    <t>https://www.rolle.ch/N992/subvention-energie.html</t>
  </si>
  <si>
    <t>L'aide communale se cumule avec la subvention cantonale juqu'à représenter une part très attractive du coût total de l'installation. Cette part devient considérable en cas d'auto-construction de capteurs solaires (cf. Aide communale à la formation dans le domaine de l'énergie).</t>
  </si>
  <si>
    <t>Formation dans le domaine énergétique</t>
  </si>
  <si>
    <t>Il s'ait de promouvoir les formations reconnues dans le domaine de l'énergie : formation pour auto-construction de capteurs solaires (SEBASOL), campagne Suisse énergie Chauffer futé, conduite Ecodrive, formations ADER.</t>
  </si>
  <si>
    <t>La Commune de Rolle encourage cette forme de mobilité douce en offrant à ses habitants une subvention de 300 Fr. à l'achat d'un vélo électrique neuf ou d'occasion.</t>
  </si>
  <si>
    <t>https://www.rolle.ch/N1035/subventions-velos-electriques.html</t>
  </si>
  <si>
    <t>PubliBike</t>
  </si>
  <si>
    <t>Abonnement général ou annuel pour les transports publics</t>
  </si>
  <si>
    <t>https://prangins.ch/prangins-officiel/batiment-environnement-espaces-verts-et-travaux-sebie/energie-et-environnement/subvention-climat/</t>
  </si>
  <si>
    <t>Abonnement annuel pour Publibike</t>
  </si>
  <si>
    <t>https://prangins.ch/prangins-officiel/batiment-environnement-espaces-verts-et-travaux-sebie/energie-et-environnement/subventions-climat/</t>
  </si>
  <si>
    <t>Audit énergétique de bâtiments</t>
  </si>
  <si>
    <t>Pompe à chaleur air/eau, sol/eau ou eau/eau</t>
  </si>
  <si>
    <t>Isolation dans le cadre du Programme Bâtiments</t>
  </si>
  <si>
    <t>Rénovation complète avec certificat Minergie ou CECB</t>
  </si>
  <si>
    <t>Souscription de parts sociales dans une coopérative solaire citoyenne</t>
  </si>
  <si>
    <t>https://www.orbe.ch/mon-quotidien/aides-financi%C3%A8res-communales-%E2%80%93-subventions/subventions-%C3%A9nergie-et-d%C3%A9veloppement-durable.html#efficacit%C3%A9-%C3%A9nerg%C3%A9tique-pour-les-b%C3%A2timents</t>
  </si>
  <si>
    <t>Appareils électroménagers (remplacement)</t>
  </si>
  <si>
    <t>https://www.orbe.ch/mon-quotidien/aides-financi%C3%A8res-communales-%E2%80%93-subventions/subventions-%C3%A9nergie-et-d%C3%A9veloppement-durable.html</t>
  </si>
  <si>
    <t>KIT vaisselle réutilisable</t>
  </si>
  <si>
    <t>https://www.orbe.ch/mon-quotidien/aides-financi%C3%A8res-communales-%E2%80%93-subventions/subventions-%C3%A9nergie-et-d%C3%A9veloppement-durable.html#energie-et-ressources</t>
  </si>
  <si>
    <t>Composteur</t>
  </si>
  <si>
    <t>Lombricomposteur ou composteur de jardin&lt;br /&gt;&lt;br /&gt;Fr. 50.- par composteur</t>
  </si>
  <si>
    <t>à usage quotidien (neuf ou d’occasion)</t>
  </si>
  <si>
    <t>https://www.orbe.ch/mon-quotidien/aides-financi%C3%A8res-communales-%E2%80%93-subventions/subventions-%C3%A9nergie-et-d%C3%A9veloppement-durable.html#mobilit%C3%A9-durable</t>
  </si>
  <si>
    <t>Vélo classique</t>
  </si>
  <si>
    <t>Mobility, véhicule d’auto partage (nouveau client)</t>
  </si>
  <si>
    <t>https://www.paudex.ch/energie-et-developpement-durable-fr4333.html</t>
  </si>
  <si>
    <t>Analyse thérmographique</t>
  </si>
  <si>
    <t>Ladestationen E-Mobilität</t>
  </si>
  <si>
    <t>Der Beitragssatz beträgt 500.00 Fr. pro Ladestation und maximal 5000.00 Fr. pro Grossprojekt.</t>
  </si>
  <si>
    <t>https://www.einsiedeln.ch/energiefonds</t>
  </si>
  <si>
    <t>Batteriespeicher für neue, erneuerbare Energie</t>
  </si>
  <si>
    <t>Der Beitragssatz beträgt 300 Fr. pro kWh Nutzkapazität und maximal 5000 Fr. Förderbeitrag pro Hauptanschluss.</t>
  </si>
  <si>
    <t>&lt;p&gt;Für natürliche Personen, EFH und MFH mit maximal 2 Wohnungen beträgt der maximale Förderbeitrag 500 Fr., für MFH ab 3 Wohnungen beträgt er 750 Fr. &lt;br /&gt;Firmen können Förderbeiträge bis maximal 2000 Fr. beantragen. Förderbeiträge können Beratungsangebote restfinanzieren oder verbilligen.&lt;/p&gt;</t>
  </si>
  <si>
    <t>Machbarkeitsstudie Wärmeverbund erneuerbar</t>
  </si>
  <si>
    <t>Der Beitragssatz beträgt 3000 Fr. für einen Studienbericht «Wärmeverbund mit erneuerbarer Energie».</t>
  </si>
  <si>
    <t>Gefördert wird der Ersatz von Elektroboiler durch Wärmepumpenboiler. Der Beitragssatz beträgt 400 Fr. pro Wärmepumpenboiler.</t>
  </si>
  <si>
    <t>Machbarkeitsstudie Zusammenschluss Eigenverbrauch</t>
  </si>
  <si>
    <t>Der Beitragssatz beträgt 3000 Fr. für einen Studienbericht «Zusammenschluss zum Eigenverbrauch».</t>
  </si>
  <si>
    <t>Gesamtsanierungsbonus</t>
  </si>
  <si>
    <t>&lt;p&gt;Zusätzlicher Förderbeitrag (Bonus) für Verbesserung der GEAK-Effizienzklasse bei Gesamtsanierungen.&lt;br /&gt;&lt;br /&gt;&lt;/p&gt;_x000D_
&lt;p&gt;&lt;strong&gt;Förderbeitrag&lt;/strong&gt;&lt;br /&gt;- Sanierung erreicht GEAK-Stufe C: 30 Fr. pro m&lt;sup&gt;2&lt;/sup&gt; Energiebezugsfläche&lt;br /&gt;- Sanierung erreicht GEAK-Stufe B: 40 Fr. pro m&lt;sup&gt;2&lt;/sup&gt; Energiebezugsfläche&lt;br /&gt;- Sanierung erreicht GEAK-Stufe A: 50 Fr. pro m&lt;sup&gt;2&lt;/sup&gt; Energiebezugsfläche&lt;/p&gt;</t>
  </si>
  <si>
    <t>https://www.bs.ch/wsu/aue/abteilung-energie/foerderbeitraege-energie/gesamtsanierungsbonus</t>
  </si>
  <si>
    <t>Kommunaler Beitrag an die Installation einer Photovoltaikanlage: 50 % der Einmalvergütung durch Pronovo.</t>
  </si>
  <si>
    <t>https://www.ittigen.ch/umwelt/24070</t>
  </si>
  <si>
    <t>Kommunaler Beitrag von 80 % des kantonalen Beitrags.</t>
  </si>
  <si>
    <t>Kommunaler Förderbeitrag von 80 % des kantonalen Beitrags.</t>
  </si>
  <si>
    <t>Heizungsersatz durch Wärmepumpe</t>
  </si>
  <si>
    <t>Ersatz einer Öl-, Gas- oder Elektroheizung durch eine Wärmepumpe. &lt;br /&gt;&lt;br /&gt;Kommunaler Förderbeitrag von 80 % des kantonalen Beitrags.</t>
  </si>
  <si>
    <t>Heizungsersatz durch Holzheizung/Anschluss Wärmenetz</t>
  </si>
  <si>
    <t>Ersatz einer Öl-, Gas- oder Elektroheizung durch eine Holzheizung oder einen Anschluss an ein Wärmenetz.&lt;br /&gt;&lt;br /&gt;Kommunaler Förderbeitrag von 80% des kantonalen Beitrags.</t>
  </si>
  <si>
    <t>https://www.ittigen.ch/dienstleistungen/90913</t>
  </si>
  <si>
    <t>Wohnungslüftung mit Wärmerückgewinnung (bei Sanierungen)</t>
  </si>
  <si>
    <t>Wärmeerzeugung mit Holz/Biomasse (nur Bestandesbauten)</t>
  </si>
  <si>
    <t>Wärmenetz mit erneuerbarer Energie</t>
  </si>
  <si>
    <t>Gilt für den Betreiber des Wärmenetzes.&lt;br /&gt;&lt;br /&gt;Kommunaler Förderbeitrag von 80 % des kantonalen Beitrags.</t>
  </si>
  <si>
    <t>Förderung von elektrisch betriebenen Luft/Wasser-Wärmepumpenanlagen in bestehenden Gebäuden als Ersatz einer Heizöl-/Erdgas- oder Elektroheizung. &lt;br /&gt;&lt;br /&gt;&lt;strong&gt;Förderbeitrag:&lt;/strong&gt;&lt;br /&gt;- Leistung bis 12,5 kW&lt;sub&gt;th&lt;/sub&gt;: 4850 Fr. &lt;br /&gt;- Leistung &amp;gt; 12,5 kW&lt;sub&gt;th&lt;/sub&gt; bis 70 kW&lt;sub&gt;th&lt;/sub&gt;: 4100 Fr. + 60 Fr. pro kW&lt;sub&gt;th&lt;/sub&gt;&lt;br /&gt;- Leistung &amp;gt; 70 kW&lt;sub&gt;th&lt;/sub&gt;: 3200 Fr. + 120 Fr. pro kW&lt;sub&gt;th&lt;/sub&gt;</t>
  </si>
  <si>
    <t>Automatische Holzfeuerungen</t>
  </si>
  <si>
    <t>Förderung von automatischen Holzfeuerungen in bestehenden Gebäuden als Ersatz einer Heizöl-, Erdgas- oder Elektroheizung. &lt;br /&gt;&lt;br /&gt;&lt;strong&gt;Förderbeitrag:&lt;br /&gt;&lt;/strong&gt;- Leistung bis 12,5 kW&lt;sub&gt;th&lt;/sub&gt;: 7500 Fr. &lt;br /&gt;- Leistung &amp;gt; 12,5 kW&lt;sub&gt;th&lt;/sub&gt; bis 70 kW&lt;sub&gt;th&lt;/sub&gt;: 6875 Fr. + 50 Fr. pro kW&lt;sub&gt;th&lt;/sub&gt;&lt;br /&gt;- Leistung &amp;gt; 70 kW&lt;sub&gt;th&lt;/sub&gt;: 360 Fr. pro kW&lt;sub&gt;th&lt;/sub&gt;</t>
  </si>
  <si>
    <t>Optimiser les processus avec Pinch</t>
  </si>
  <si>
    <t>L’analyse Pinch vous aide à identifier des potentiels d’économies pouvant atteindre 40% les processus (chaleur et électricité) de votre entreprise. L’OFEN soutient financièrement l’exécution d’analyses Pinch:&lt;br /&gt;- Pré-analyse du potentiel d’économie (chaleur et électricité) et de l’adéquation de Pinch: prise en charge de 60% au maximum des coûts totaux.&lt;br /&gt;- Analyse Pinch: prise en charge de 40% au maximum des coûts totaux.&lt;br /&gt;&lt;br /&gt;Seules les études effectuées par des spécialistes formés à la méthode Pinch peuvent être subventionnées.</t>
  </si>
  <si>
    <t>https://www.suisseenergie.ch/conseil/pinch/?pk_vid=e70b6d794c51c14116744687780071b4</t>
  </si>
  <si>
    <t>Analyses de détail des systèmes d’entrainement électriques</t>
  </si>
  <si>
    <t>Le programme encourage les analyses de détail des systèmes d’entraînement électriques dans les processus industriels pour déterminer et exploiter le potentiel d’économie d’énergie. Réalisée sur la base de mesures effectuées en cours d’exploitation, une analyse de détail décrit des mesures concrètes d’amélioration et donne des indications quant à leurs chances de réalisation en tenant compte d’aspects financiers et techniques.&lt;br /&gt;https://www.suisseenergie.ch/conseil/proanalysys/</t>
  </si>
  <si>
    <t>https://www.suisseenergie.ch/conseil/proanalysys/</t>
  </si>
  <si>
    <t>Programme de soutien pour les villes et les communes</t>
  </si>
  <si>
    <t>Les villes, communes et régions ont un rôle déterminant à jouer pour atteindre les objectifs de la Stratégie énergétique 2050 et de l’Accord de Paris sur le climat. À partir de mai 2021, « SuisseEnergie pour les communes » leur apporte un soutien à l’aide de subventions dans les domaines suivants: efficacité énergétique des bâtiments, énergies renouvelables, mobilité, installations et processus.</t>
  </si>
  <si>
    <t>https://www.local-energy.swiss/fr/programme/projektfoerderung.html#/</t>
  </si>
  <si>
    <t>Solaranlage für Warmwasser</t>
  </si>
  <si>
    <t>Installation solaire photovoltaique, thermique et hybride</t>
  </si>
  <si>
    <t>Pour encourager la démarche, la Ville subventionne au max. 10 % du coût de l’installation, avec un plafond de CHF 2000.-</t>
  </si>
  <si>
    <t>Rénovation énergétique par étapes</t>
  </si>
  <si>
    <t>30 % du montant accordé par le canton, pour un maximum de 5'000 francs.</t>
  </si>
  <si>
    <t>Rénovation énergétique globale</t>
  </si>
  <si>
    <t>30 % du montant accordé par le canton, avec un plafond de 5000.-</t>
  </si>
  <si>
    <t>Cartes journalières CFF</t>
  </si>
  <si>
    <t>La Ville, par l'intermédiaire de l'Office de tourisme, propose des cartes CFF journalières à prix réduit pour voyager dans toute la Suisse.</t>
  </si>
  <si>
    <t>Pompes à chaleur (air/eau, eau/eau, saumure/eau)</t>
  </si>
  <si>
    <t>Vous recevez une « prime climat » pour le remplacement d'un chauffage fossile (fioul ou gaz) par un chauffage au bois. La subvention s'élève à 18 centimes maximum par kWh, soit 1,80 franc par litre de fioul ou m&lt;sup&gt;3&lt;/sup&gt; de gaz naturel économisé. Cela correspond à environ 360 francs par kW de puissance du nouveau chauffage, sans plafond. Les chauffages des immeubles collectifs ainsi que des bâtiments administratifs, industriels, commerciaux et artisanaux sont éligibles à cette aide. Outre le chauffage des locaux, la production de chaleur industrielle renouvelable est également éligible.</t>
  </si>
  <si>
    <t>Förderbeitrag: 100.- Fr. pro m&lt;sup&gt;2 &lt;/sup&gt;bis max. 2500.- Fr. &lt;br /&gt;Berechtigt sind Neuanlagen, Erweiterung bestehender Anlagen und Ersatz bestehender Anlagen, die nachweislich 20 Jahre in Betrieb waren.</t>
  </si>
  <si>
    <t>https://www.uetendorf.ch/verwaltung/dienstleistungen-a-z.html/18/egov_service/493</t>
  </si>
  <si>
    <t>Förderbeitrag: 200.- Fr. pro kWp bis maximal 1500.- Fr.&lt;br /&gt;Berechtigt sind Neuanlagen, Erweiterung bestehender Anlagen und Ersatz bestehender Anlagen, die nachweislich 20 Jahre in Betrieb waren.</t>
  </si>
  <si>
    <t>Gefördert werden Holzheizungen (Pellets, Schnitzel, Stückholz) für Gebäudewärme und/oder Warmwassererzeugung.&lt;br /&gt;Förderbeitrag: 100.- Fr. pro kW bis maximal 2000.- Fr.</t>
  </si>
  <si>
    <t>Speicher für Photovoltaikanlagen</t>
  </si>
  <si>
    <t>Gefördert werden Batteriespeicher für Photovoltaikanlagen zur Eigenverbrauchsoptimierung.</t>
  </si>
  <si>
    <t>Isolation de la façade, du toit, des murs et du sol contre terre</t>
  </si>
  <si>
    <t>Isolation thermique de la façade, du toit, des murs et du sol contre terre. Donnent droit à une contribution les bâtiments ayant obtenu l'autorisation de&lt;br /&gt;construire avant 2000.&lt;br /&gt;&lt;br /&gt;&lt;strong&gt;Contribution financière:&lt;/strong&gt;&lt;br /&gt;- 40 fr. par m&lt;sup&gt;2&lt;/sup&gt; de surface isolée de l'élément de construction.</t>
  </si>
  <si>
    <t>Optimisation des installations techniques: ventilation</t>
  </si>
  <si>
    <t>Le programme comprend des mesures d'accompagnement et de soutien des clients.&lt;br /&gt;La mesure de soutien aux clients consiste en une contribution financière pour les travaux d'optimisation de leurs systèmes de ventilation et son montant correspond aux économies d'électricité réalisées.</t>
  </si>
  <si>
    <t>Risanamento energetico degli edifici – Edifici Certificati</t>
  </si>
  <si>
    <t>•  CECE-Plus: almeno classe BB per l’efficienza dell’involucro e per l’efficienza energetica globale, incentivo pari al 140% del Risanamento Base&lt;br /&gt;•  CECE-Plus: almeno classe AB per l’efficienza dell’involucro e per l’efficienza energetica globale, incentivo pari al 160% del Risanamento Base&lt;br /&gt;•  Minergie: incentivo pari al 220% del Risanamento Base&lt;br /&gt;•  Minergie-P o Minergie-A: incentivo pari al 240% del Risanamento Base&lt;br /&gt;•  Minergie-Eco: per l’ottenimento del complemento Minergie-Eco viene accordato un ulteriore incentivo forfettario di 10’000 Fr. &lt;br /&gt;&lt;br /&gt;Condizioni:&lt;br /&gt;•  Allestimento del rapporto di consulenza CECE-Plus e, in caso di certificazione  Minergie,  anche  la  rispettiva  certificazione  provvisoria,  prima  dell’inizio dei lavori di risanamento&lt;br /&gt;•  Le due tipologie di incentivazioni (CECE-Plus e Minergie) non sono cumulabili</t>
  </si>
  <si>
    <t>Certificazioni/Consulenze</t>
  </si>
  <si>
    <t>Sono incentivate le seguenti certificazioni:&lt;br /&gt;•  Etichetta energetica CECE*: 200 Fr.&lt;br /&gt;•  Certificazione provvisoria Minergie: 1000 Fr.&lt;br /&gt;•  Attestato SQM Costruzione o SQM Esercizio o PERFORMANCE: 500 Fr.&lt;br /&gt;&lt;br /&gt;Sono incentivati i seguenti servizi di consulenza:&lt;br /&gt;•  Rapporto di consulenza CECE Plus*: 500 Fr.&lt;br /&gt;•  Orientamento energetico «Bussola energia»: 500 Fr.&lt;br /&gt;&lt;br /&gt;*Non cumulabili tra loro</t>
  </si>
  <si>
    <t>Impianti per lo sfruttamento della biomassa vegetale</t>
  </si>
  <si>
    <t>Incentivo pari al 20% dei costi d’investimento riconosciuti, max. 100'000 Fr.&lt;br /&gt;&lt;br /&gt;Condizioni: trattamento di min. 1000 tonnellate di biomassa/a e conformità con il Piano di gestione dei rifiuti (PGR)</t>
  </si>
  <si>
    <t>Sostituzione di una pompa di calore</t>
  </si>
  <si>
    <t>Contributo: Incentivo pari a 4000 Fr.&lt;br /&gt;&lt;br /&gt;Condizioni: sostituzione di una pompa di calore esistente, installata prima del 2000, con una nuova pompa di calore (aria/acqua, acqua/acqua o salamoia/acqua). Gli impianti con pompa di calore fino a 15 KW&lt;sub&gt;th&lt;/sub&gt; devono essere muniti del modulo di sistema per pompe di calore.</t>
  </si>
  <si>
    <t>Énergie renouvelable</t>
  </si>
  <si>
    <t>ESB soutient la production d'électricité à partir d'énergies renouvelables en accordant une prime pour chaque kilowattheure injecté dans le réseau ESB.</t>
  </si>
  <si>
    <t>https://www.esb.ch/de/privatkunden/foerderprogramme/photovoltaik/</t>
  </si>
  <si>
    <t>Pompa di calore, sonda geotermica</t>
  </si>
  <si>
    <t>1. a pompa di calore  &lt;br /&gt;2. a legna o pellet</t>
  </si>
  <si>
    <t>https://www.acquarossa.ch/ambiente/</t>
  </si>
  <si>
    <t>Allacciamento alla rete di teleriscaldamento</t>
  </si>
  <si>
    <t>Riscaldamento con energia solare/legna</t>
  </si>
  <si>
    <t>Panelli fotovoltaiche e batterie di accumulo di energia</t>
  </si>
  <si>
    <t>- centrali fotovoltaiche&lt;br /&gt;- moduli di accumulo di energia (min. 4 kWh)</t>
  </si>
  <si>
    <t>Risanamento energetico</t>
  </si>
  <si>
    <t>Riattazioni, trasformazioni, rinnovo e ricostruzione</t>
  </si>
  <si>
    <t>https://www.comuneairolo.ch/ufficio_tecnico_comunale.jsp</t>
  </si>
  <si>
    <t>Pompe di calore</t>
  </si>
  <si>
    <t>https://www.comuneairolo.ch/azienda-elettrica/</t>
  </si>
  <si>
    <t>Costruzione e/o ristrutturazioni che rispettano lo standard Minergie</t>
  </si>
  <si>
    <t>https://www.arogno.ch/Energia-e-Ambiente-91491800</t>
  </si>
  <si>
    <t>Collettori solari termici</t>
  </si>
  <si>
    <t>Moduli solari fotovoltaici</t>
  </si>
  <si>
    <t>Analisi energetica</t>
  </si>
  <si>
    <t>https://www.ascona.ch/811-Ordinanza-concernente-l-erogazione-di-incentivi-in-favore-del-risparmio-energetico-dell-uso-di-energie-rinnovabili-e-della-mobilita-sostenibile-e8c50900?i=1</t>
  </si>
  <si>
    <t>Conversione impianti di riscaldamento</t>
  </si>
  <si>
    <t>Abbonamento bike o car sharing</t>
  </si>
  <si>
    <t>Stazione di ricarica auto elettriche</t>
  </si>
  <si>
    <t>Realizzazioni di nuove costruzioni o risanamenti Minergie</t>
  </si>
  <si>
    <t>https://www.balerna.ch/Incentivi-e-servizi-36690600</t>
  </si>
  <si>
    <t>Acquisto di benzina alchilata</t>
  </si>
  <si>
    <t>Acquisto di abbonamenti annuali Arcobaleno</t>
  </si>
  <si>
    <t>Acquisto di biciclette elettriche</t>
  </si>
  <si>
    <t>Certificazioni e analisi energetiche degli edifici</t>
  </si>
  <si>
    <t>https://www.brissago.ch/it/sportello-energia</t>
  </si>
  <si>
    <t>Nuovi edifici a basso fabbisogno energetico</t>
  </si>
  <si>
    <t>Auto elettriche</t>
  </si>
  <si>
    <t>Impianti tecnici</t>
  </si>
  <si>
    <t>Elettrodomestici ad alta efficienza energetica</t>
  </si>
  <si>
    <t>Abbonamento di trasporto</t>
  </si>
  <si>
    <t>Analisi energetiche (CECE, CECE Plus)</t>
  </si>
  <si>
    <t>https://www.brusinoarsizio.ch/wp-content/uploads/2020/02/Regolamento-incentivi.pdf</t>
  </si>
  <si>
    <t>Nuove costruzioni a basso fabbisogno energetico</t>
  </si>
  <si>
    <t>Impianti tecnici (solare termico, fotovoltaico, termopompa, teleriscaldamento)</t>
  </si>
  <si>
    <t>Abbonamento trasporti pubblici</t>
  </si>
  <si>
    <t>http://www.cadempino.ch/amministrazione/contributi-e-sussidi/Abbonamento-trasporti-pubblici/</t>
  </si>
  <si>
    <t>Acquisto automobile elettrica</t>
  </si>
  <si>
    <t>http://www.cadempino.ch/amministrazione/contributi-e-sussidi/Acquisto-automobile-elettrica/</t>
  </si>
  <si>
    <t>Acquisto benzina alchilata</t>
  </si>
  <si>
    <t>http://www.cadempino.ch/amministrazione/contributi-e-sussidi/Acquisto-benzina-alchilata/</t>
  </si>
  <si>
    <t>Acquisto biciclette elettriche, modifica biciclette tradizionali, sostituzione batterie, acquisto cicolomotori/scooter elettrici</t>
  </si>
  <si>
    <t>https://www.cadempino.ch/amministrazione/contributi-e-sussidi/Acquisto-biciclette-elettriche-modifica-biciclette-tradizionali-sostituzione-batterie-acquisto-ciclomotori-scooter-elettrici/</t>
  </si>
  <si>
    <t>Installazione di una stazione di ricarica elettrica domiciliare o presso il datore di lavoro</t>
  </si>
  <si>
    <t>http://www.cadempino.ch/amministrazione/contributi-e-sussidi/Incentivi-comunali-in-ambito-energetico/</t>
  </si>
  <si>
    <t>Risanamenti energetici di edifici esistenti che beneficiano degli incentivi cantonali</t>
  </si>
  <si>
    <t>Nuove costruzioni Minergie-A e Minergie-P</t>
  </si>
  <si>
    <t>Consulenze e certificazioni in ambito energetico</t>
  </si>
  <si>
    <t>Sostituzione di un impianto di riscaldamento ad olio combustibile, gas o elettrico diretto</t>
  </si>
  <si>
    <t>Sostituzione di una pompa di calore installata prima del 2000</t>
  </si>
  <si>
    <t>Batterie di accumulo abbinate a impianti fotovoltaici</t>
  </si>
  <si>
    <t>Benzina alchilata</t>
  </si>
  <si>
    <t>https://www.cadenazzo.ch/Energia-ambiente-3d6a2f00?vis=2</t>
  </si>
  <si>
    <t>Certificato energetico cantonale degli edifici (CECE)</t>
  </si>
  <si>
    <t>Abbonamenti per trasporto pubblico</t>
  </si>
  <si>
    <t>Sostituzione impianti di riscaldamento a vettore fossile con un impianto a energia rinnovabile</t>
  </si>
  <si>
    <t>Sostituzione autovetture e/o motoveicoli a energia fossile con veicoli a propulsione elettrica o ibrida</t>
  </si>
  <si>
    <t>Acquisto di stazione di ricarica private per auto elettriche</t>
  </si>
  <si>
    <t>Consulenza energetica</t>
  </si>
  <si>
    <t>Acquisto e-bike</t>
  </si>
  <si>
    <t>https://www.castelsanpietro.ch/index.php?node=352&amp;lng=1&amp;rif=c18c166485</t>
  </si>
  <si>
    <t>Acquisto autoveicoli e motoveicoli elettrici</t>
  </si>
  <si>
    <t>Abbonamento per l'utilizzo dei mezzi pubblici</t>
  </si>
  <si>
    <t>Sostituzioni di lucernari e finestre</t>
  </si>
  <si>
    <t>Risanamenti energetici</t>
  </si>
  <si>
    <t>Nuovi edifici con certificazione energetica efficiente</t>
  </si>
  <si>
    <t>Certificazioni e analisi energetiche</t>
  </si>
  <si>
    <t>Impianti per la produzione e/o lo stoccaggio di calore o elettricità</t>
  </si>
  <si>
    <t>Postazioni di ricarica per automobili elettriche</t>
  </si>
  <si>
    <t>Risanamento edifici</t>
  </si>
  <si>
    <t>https://cevio.ch/amministrazione/sportello-energia/</t>
  </si>
  <si>
    <t>Sostituzione impianti di riscaldamento</t>
  </si>
  <si>
    <t>Sostituzione caminetti</t>
  </si>
  <si>
    <t>Acquisto elettrodomestici</t>
  </si>
  <si>
    <t>Acquisto veicoli elettrici</t>
  </si>
  <si>
    <t>Acquisto bici elettriche</t>
  </si>
  <si>
    <t>Nuova costruzione</t>
  </si>
  <si>
    <t>https://www.comano.ch/Risparmio-energetico-Ordinanza-2bf90f00?i=1</t>
  </si>
  <si>
    <t>Miglioria puntuale (riscladamento/produzione acqua calda/produzione elettricità)</t>
  </si>
  <si>
    <t>https://www.comano.ch/Benzina-alchilata-Ordinanza-f6801900?i=1</t>
  </si>
  <si>
    <t>Abbonamenti per i trasporti pubblici</t>
  </si>
  <si>
    <t>https://www.comano.ch/Sussidio-abbonamenti-mezzi-di-trasporto-pubblici-Regolamento-cd7dd800?i=1</t>
  </si>
  <si>
    <t>Acquisto di elettricità ecologica certificata</t>
  </si>
  <si>
    <t>Trasporto pubblico (privati)</t>
  </si>
  <si>
    <t>Acquisto o la sostituzione di elettrodomestici</t>
  </si>
  <si>
    <t>https://www.giornico.ch/Regolamento-comunale-concernente-l-erogazione-di-incentivi-per-l-efficienza-energetica-lo-sfruttamento-delle-energie-rinnovabili-e-a-favore-della-mobilita-sostenibile-e7ce3900?i=1</t>
  </si>
  <si>
    <t>sostituzione di tutte le finestre, isolazione del tetto o isolamento facciate</t>
  </si>
  <si>
    <t>Der Förderbeitrag der Gemeinde Eich für die Erstellung von Gebäudeenergieausweisen mit Beratungsbericht «GEAK Plus» beträgt neu und rückwirkend ab dem 1. Juli 2021 CHF 400.00. Massgebend für die Auszahlung des Förderbeitrages ist die Förderzusage des Kantons Luzern inkl. Zahlungsnachweis.</t>
  </si>
  <si>
    <t>https://www.eich.ch/wirtschaft-tourismus/energie/</t>
  </si>
  <si>
    <t>Analisi energetiche degli stabili CECE e CECE Plus</t>
  </si>
  <si>
    <t>https://www.gordola.ch/Sportello-Energia-Sassariente-e867ef00</t>
  </si>
  <si>
    <t>Risanamento energetico di edifici esistenti</t>
  </si>
  <si>
    <t>Sostituzione vecchio boiler elettrico con Ecoboiler</t>
  </si>
  <si>
    <t>Acquisto di una bicicletta elettrica e per la sostituzione della batteria</t>
  </si>
  <si>
    <t>Costruzione edifici Minergie-A e/o Minergie-P</t>
  </si>
  <si>
    <t>https://www.gravesano.ch/index.php?node=314&amp;lng=1&amp;vis=5&amp;rif=15e022cd8f</t>
  </si>
  <si>
    <t>Risanamento edifici abitativi</t>
  </si>
  <si>
    <t>Autoveicolo elettrico</t>
  </si>
  <si>
    <t>Sostituzione impianto riscaldamento da fonte fossile/elettrico a termopompa</t>
  </si>
  <si>
    <t>Pannelli solari termici</t>
  </si>
  <si>
    <t>Analisi energetiche</t>
  </si>
  <si>
    <t>https://www.locarno.ch/it/formulari</t>
  </si>
  <si>
    <t>Acquisto abbonamenti annuali trasporto pubblico</t>
  </si>
  <si>
    <t>Pompa di calore</t>
  </si>
  <si>
    <t>https://www.losone.ch/Sostenibilita-e-incentivi-989bd800</t>
  </si>
  <si>
    <t>Impianti solari fotovoltaici</t>
  </si>
  <si>
    <t>Batterie di accumulo abbinate a impianti solari fotovoltaici</t>
  </si>
  <si>
    <t>Analisi energetiche (Certificato CECE + CECE Plus)</t>
  </si>
  <si>
    <t>Risanamento energetico degli edifici (involucro)</t>
  </si>
  <si>
    <t>Stazione di ricarica domestica per auto elettriche</t>
  </si>
  <si>
    <t>E-bike</t>
  </si>
  <si>
    <t>Batteria sostitutiva e-bike</t>
  </si>
  <si>
    <t>Abbonamento bike sharing</t>
  </si>
  <si>
    <t>Certificazioni e analisi energetiche CECE e CECE plus</t>
  </si>
  <si>
    <t>https://www.lugano.ch/temi-servizi/energia-ambiente/energia/incentivi-efficienza-energetica.html</t>
  </si>
  <si>
    <t>Risanamento energetico con bonus CECE</t>
  </si>
  <si>
    <t>Risanamento energetico con una delle certificazioni Minergie</t>
  </si>
  <si>
    <t>Realizzazione di un nuovo edificio con una delle certificazioni Minergie</t>
  </si>
  <si>
    <t>https://www.maggia.ch/files/NUOVO_REG_INCENTIVI_risparmio_energetico_2022.pdf</t>
  </si>
  <si>
    <t>Nuovi edifici Minergie P o A</t>
  </si>
  <si>
    <t>Conversione generatori di calore</t>
  </si>
  <si>
    <t>Installazione pannelli solari termici o impianti a legna</t>
  </si>
  <si>
    <t>Acquisto biciclette elettriche</t>
  </si>
  <si>
    <t>Interventi di risanamento energetico su edifici esistenti</t>
  </si>
  <si>
    <t>https://www.magliaso.ch/Regolamento-comunale-per-l-erogazione-di-incentivi-in-favore-dell-efficienza-energetica-e-delle-energie-rinnovabili-a052db00?i=1</t>
  </si>
  <si>
    <t>Impianti per la produzione di calore o elettricità̀ efficienti e/o a energia rinnovabile</t>
  </si>
  <si>
    <t>Analisi energetiche su edifici esistenti</t>
  </si>
  <si>
    <t>Soluzioni per una mobilità efficiente</t>
  </si>
  <si>
    <t>Sostituzione di un impianto di riscaldamento</t>
  </si>
  <si>
    <t>Abbonamenti ai mezzi di trasporto pubblico</t>
  </si>
  <si>
    <t>https://www.manno.ch/manno/Amministrazione/Sussidi-e-prestazioni.html</t>
  </si>
  <si>
    <t>Realizzazione di nuovi edifici con una delle certificazioni Minergie</t>
  </si>
  <si>
    <t>http://www.comune-mergoscia.ch/index.php?node=315&amp;lng=1&amp;rif=bedf9a9043</t>
  </si>
  <si>
    <t>Calore da rinnovabili</t>
  </si>
  <si>
    <t>Elettricità da rinnovabili</t>
  </si>
  <si>
    <t>Produzione  di  acqua  calda  sanitaria  per  tutto  l’edificio  per mezzo di pannelli solari e/o legna</t>
  </si>
  <si>
    <t>http://paradiso.ch/pdf/legislazione/Ordinanze%20Municipali/Ordinanza%20sul%20risparmio%20energetico%20del%2019.7.2010.pdf</t>
  </si>
  <si>
    <t>Riscaldamento  dell’edificio esclusivamente per  mezzo  di energia solare e/o legna</t>
  </si>
  <si>
    <t>Pompe di calore elettriche o sonda geotermica</t>
  </si>
  <si>
    <t>Risanamento  energetico dell’edificio</t>
  </si>
  <si>
    <t>Integrazione di sistemi di riscaldamento passivo</t>
  </si>
  <si>
    <t>Recupero del calore domestico</t>
  </si>
  <si>
    <t>http://paradiso.ch/pdf/legislazione/Ordinanze%20Municipali/Ordinanza%20contributo%20finanziario%20bici%20elettriche.pdf</t>
  </si>
  <si>
    <t>Apparecchi ed elettrodomestici</t>
  </si>
  <si>
    <t>https://www.personico.ch/wp-content/uploads/2020/04/Regolamento-incentivi-efficienza-energetica-e-mobilit%C3%A0-sostenibile-10.2019.pdf</t>
  </si>
  <si>
    <t>Abbonamento trasporto pubblico</t>
  </si>
  <si>
    <t>Risanamento energetico degli stabili</t>
  </si>
  <si>
    <t>Recupero di stabili nucleo tradizionale</t>
  </si>
  <si>
    <t>Produzione di energia elettrica</t>
  </si>
  <si>
    <t>Produzione calore da energie rinnovabili</t>
  </si>
  <si>
    <t>Analisi CECE Plus</t>
  </si>
  <si>
    <t>Trasporto pubblico e abbonamenti PubliBike</t>
  </si>
  <si>
    <t>Certificato CECE Plus</t>
  </si>
  <si>
    <t>https://savosa.ch/Sussidi-e-incentivi-35657f00</t>
  </si>
  <si>
    <t>Benzina alchilata e apparecchi da giardinaggio con motore elettrico</t>
  </si>
  <si>
    <t>https://www.sorengo.ch/Ufficio-tecnico-85065000</t>
  </si>
  <si>
    <t>Sfruttamento delle energie rinnovabili</t>
  </si>
  <si>
    <t>Bicicletta electrica</t>
  </si>
  <si>
    <t>Analisi energetiche standardizzate degli edifici CECE o CECE-Plus</t>
  </si>
  <si>
    <t>https://www.stabio.ch/servizi/ambiente-e-territorio/ufficio-energia-sostenibilita/incentivi</t>
  </si>
  <si>
    <t>Risanamenti di edifici esistenti</t>
  </si>
  <si>
    <t>Sostituzione riscaldamento elettrico diretto o a energia fossile (olio o gas)</t>
  </si>
  <si>
    <t>Accumulatori per fotovoltaico</t>
  </si>
  <si>
    <t>Apparecchi elettrodomestici</t>
  </si>
  <si>
    <t>Auto totalmente elettriche</t>
  </si>
  <si>
    <t>Superfici verdi</t>
  </si>
  <si>
    <t>https://www.vezia.ch/Sportello-energia-00cfbb00</t>
  </si>
  <si>
    <t>Impianti per la produzione di calore o acqua calda sanitaria alimentati da energie rinnovabili</t>
  </si>
  <si>
    <t>Impiego dell'energia solare per la produzione dell'elettricità (impianti fotovoltaici)</t>
  </si>
  <si>
    <t>Analisi energetica CECE-Plus</t>
  </si>
  <si>
    <t>Beratung zu Elektromobilität</t>
  </si>
  <si>
    <t>Die Elektromobilitäts-Beratung im Wert von 450 Franken ist für Kundinnen und Kunden von EKZ vergünstigt und kostet 150 Franken.</t>
  </si>
  <si>
    <t>https://www.ekz.ch/de/privatkunden/energieberatung/unabhaengige-beratungen/beratung-elektromobilitaet.html</t>
  </si>
  <si>
    <t>Beratung Elektromobilität MFH und Unternehmen</t>
  </si>
  <si>
    <t>Die Basisberatung Elektromobilität MFH und Unternehmen im Wert von 450 Franken ist für Kundinnen und Kunden von EKZ vergünstigt und kostet 250 Franken.&lt;br /&gt;&lt;br /&gt;Falls Sie ausführliche Infos zu den verschiedenen Abrechnungsmöglichkeiten benötigen, können Sie in unserem Buchungssystem den Zusatzbaustein "Zugangs- und Zahlungssysteme" für 150 Franken dazu buchen.</t>
  </si>
  <si>
    <t>https://www.ekz.ch/de/privatkunden/energieberatung/beratungen-mehrfamilienhaus/elektromobilitaet-mfh.html</t>
  </si>
  <si>
    <t>Erfahren Sie, wie Sie Ihr Dach optimal zur Produktion von Wärme und Strom nutzen und mit welchem Ertrag und welcher Amortisationszeit Sie rechnen können. Dazu wird die Dachfläche und Hausinstallation analysiert.&lt;br /&gt;&lt;br /&gt;Die Solarberatung im Wert von 450 Franken ist für Kundinnen und Kunden von EKZ vergünstigt und kostet 200 Franken.</t>
  </si>
  <si>
    <t>https://www.ekz.ch/de/privatkunden/energieberatung/unabhaengige-beratungen/solarberatung.html</t>
  </si>
  <si>
    <t>Initialberatung KMU</t>
  </si>
  <si>
    <t>Vorortberatung für KMU zur groben Potenzialabschätzung und Evaluation eines weiterführenden Beratungsprodukts wie beispielsweise:&lt;br /&gt;PEIK, Industrie/Gewerbe/Dienstleistung, energoPREMIUM etc.&lt;br /&gt;&lt;br /&gt;&lt;strong&gt;Förderbeitrag&lt;/strong&gt;&lt;br /&gt;- Kanton: 350 Fr.&lt;br /&gt;- Kundenbeteiligung: ab 150 Fr.&lt;br /&gt;&lt;br /&gt;Hinweis: Gilt nicht für Neubauten!</t>
  </si>
  <si>
    <t>Audit énergétique CECB+</t>
  </si>
  <si>
    <t>La commune subventionne le 50% du coût des audits énergétiques pour des constructions datant de plus de 10 ans. Un plafond a toutefois été fixé à 700 Fr. pour les habitations jusqu’à 10 logements et à 1'200 Fr. pour les habitations de 11 logements et plus.</t>
  </si>
  <si>
    <t>https://www.collombey-muraz.ch/commune/subventions-energetiques-2714.html</t>
  </si>
  <si>
    <t>Chauffage à bois automatique, puissance calorifique ≤ 70 kW</t>
  </si>
  <si>
    <t>Chauffage à bois automatique d’une puissance calorifique inférieure ou égale à 70 kW. L'installation remplace un chauffage fonctionnant au mazout ou au gaz naturel, ou un chauffage électrique fixe à résistance.&lt;br /&gt;&lt;br /&gt;&lt;strong&gt;Contribution financière:&lt;/strong&gt;&lt;br /&gt;- 4000 fr. + 100 fr./kW&lt;sub&gt;th&lt;/sub&gt;&lt;strong&gt;&lt;br /&gt;&lt;/strong&gt;</t>
  </si>
  <si>
    <t>Chauffage à bois automatique, puissance calorifique &amp;gt; 70 kW</t>
  </si>
  <si>
    <t>Chauffage à bois automatique d’une puissance calorifique supérieure à 70 kW. Installation sans réseau de chauffage (aucune limite de puissance) ou installation avec réseau de chauffage dont la puissance calorifique s'élève jusqu'à 300 kW.&lt;br /&gt;&lt;br /&gt;&lt;strong&gt;Contribution financière:&lt;/strong&gt;&lt;br /&gt;- 360 fr. par kW&lt;sub&gt;th&lt;/sub&gt;&lt;br /&gt;- à partir de 280 kW&lt;sub&gt;th&lt;/sub&gt;: forfait de 100 000 fr. par installation</t>
  </si>
  <si>
    <t>Pompe à chaleur électrique (sol/eau, eau/eau) puissance ≤ 70 kW</t>
  </si>
  <si>
    <t>Installation d'une pompe à chaleur électrique sol/eau ou eau/eau avec une puissance ≤ 70 kW. L'installation remplace un chauffage fonctionnant au mazout ou au gaz naturel, ou un chauffage électrique fixe à résistance.&lt;br /&gt;&lt;br /&gt;&lt;strong&gt;Contribution financière:&lt;/strong&gt;&lt;br /&gt;- 5000 fr. + 180 fr. par kW&lt;sub&gt;th&lt;/sub&gt;</t>
  </si>
  <si>
    <t>Nouvelle construction ou extension du réseau de chaleur</t>
  </si>
  <si>
    <t>Nouvelle construction ou extension du réseau de chaleur ou de l'installation de production de chaleur d’un réseau de chaleur.&lt;br /&gt;&lt;br /&gt;&lt;strong&gt;Contribution financière:&lt;/strong&gt;&lt;br /&gt;- Nouvelle construction / extension du réseau de chaleur ou anergie: 150 fr. par MWh/a&lt;br /&gt;- Nouvelle construction / extension de l'installation de production de chaleur: 130 fr. par MWh/a</t>
  </si>
  <si>
    <t>Raccordement à un réseau de chauffage ≤ 70 kW</t>
  </si>
  <si>
    <t>Cette subvention est allouée pour le raccordement à un réseau de chauffage à distance alimenté majoritairement par des énergies renouvelables ou des rejets de chaleur. Le raccordement doit remplacer un chauffage principal au mazout, au gaz naturel ou un chauffage électrique.&lt;br /&gt;&lt;br /&gt;&lt;strong&gt;Contribution financière:&lt;/strong&gt;&lt;br /&gt;- Puissance &amp;lt; 20 kW ou habitat individuel: 6000 fr.&lt;br /&gt;- Puissance &amp;gt; 20 kW: 4800 fr. + 60 fr. par kW  &lt;br /&gt;&lt;br /&gt;En cas de première création d’un réseau de distribution hydraulique, une subvention spécifique doit être demandée séparément (nouvelle mesure IP-19).</t>
  </si>
  <si>
    <t>https://www.vd.ch/prestation/11-demander-une-subvention-pour-un-raccordement-a-un-reseau-de-chauffage-m07</t>
  </si>
  <si>
    <t>Cette subvention est allouée pour l’installation dans un bâtiment d’habitation existant faisant ou ayant fait l’objet d’une rénovation globale d’un système de ventilation avec pulsion, extraction et récupération de chaleur.&lt;br /&gt;&lt;br /&gt;&lt;strong&gt;Contribution financière:&lt;/strong&gt;&lt;br /&gt;- Montant forfaitaire de 2400 fr. par unité d'habitation</t>
  </si>
  <si>
    <t>https://www.vd.ch/prestation/13-demander-une-subvention-pour-linstallation-de-la-ventilation-dans-les-habitations-m09</t>
  </si>
  <si>
    <t>Gefördert wird die Installation einer Stückholzfeuerung oder einer Pelletfeuerung mit Tagesbehälter. Die Anlage muss als Hauptheizung eingesetzt werden und eine Heizöl- oder Elektroheizung ersetzen.&lt;br /&gt;&lt;br /&gt;&lt;strong&gt;Förderbeitrag&lt;/strong&gt;&lt;br /&gt;- Pauschal 4000 Fr.&lt;br /&gt;- Zusatzbeitrag bei Erstinstallation Wärmeverteilsystem: 10 000 Fr. plus 40 Fr. pro m&lt;sup&gt;2&lt;/sup&gt; EBF (max. 30 000 Fr.)</t>
  </si>
  <si>
    <t>Gefördert wird die Installation einer automatischen Holzfeuerung. Als automatische Holzheizung gilt eine Pellets- oder Holzschnitzelheizung mit vollautomatischer Zufuhr der Pellets/Holzschnitzel aus einem Lager. &lt;br /&gt;&lt;br /&gt;&lt;br /&gt;&lt;strong&gt;Förderbeitrag:&lt;/strong&gt;&lt;br /&gt;- bis 30 kW: 6000 Fr.&lt;br /&gt;- ab 30 kW: 6000 Fr. + 100 Fr. pro kW&lt;br /&gt;- ab 70 kW: 360 Fr. pro kW&lt;br /&gt;- ab 500 kW: 80 000 Fr. + 200 Fr. pro kW</t>
  </si>
  <si>
    <t>Wärmepumpe (Erdsonde oder Grundwasser)</t>
  </si>
  <si>
    <t>Gefördert wird der Einbau einer Grundwasser- oder einer Erdsonden-Wärmepumpe als Ersatz einer Heizöl- oder Elektroheizung.&lt;br /&gt;&lt;br /&gt;&lt;strong&gt;Förderbeitrag:&lt;/strong&gt;&lt;br /&gt;- bis 30 kW: 8000 Fr.&lt;br /&gt;- ab 30 kW: 8000 Fr. + 180 Fr. pro kW&lt;br /&gt;- ab 70 kW: 4800 Fr. + 360 Fr. pro kW &lt;br /&gt;- ab 500 kW: 84 800 Fr. + 200 Fr. pro kW</t>
  </si>
  <si>
    <t>Bonus Gesamtenergieeffizienz</t>
  </si>
  <si>
    <t>Der Bonus Gesamtenergieeffizienz für Gebäudesanierungen wird zusätzlich zur Sanierung der Wärmedämmung ausbezahlt, falls einer der Standards Minergie, Minergie-P oder Minergie-A erreicht wird. Da der Kanton Uri die Minergie-Zertifizierungsstelle und das Förderprogramm Energie Uri betreibt, muss für den Bonus Gesamtenergieeffizienz kein Fördergesuch gestellt werden. Das Gesuch wird vom Amt für Energie beim Einreichen des Antrags für die Minergie-Zertifizierung automatisch eröffnet.&lt;br /&gt;&lt;br /&gt;&lt;strong&gt;Förderbeitrag:&lt;/strong&gt;&lt;br /&gt;- Pauschal: 40 000 Fr.&lt;br /&gt;- Flächenbeitrag: Ab 200 m&lt;sup&gt;2&lt;/sup&gt; EBF zusätzlich 100 Fr. pro m&lt;sup&gt;2&lt;br /&gt;&lt;/sup&gt;- Zusatzbeitrag Eco: 10 Fr. pro m&lt;sup&gt;2&lt;/sup&gt; EBF&lt;sup&gt;&lt;br /&gt;&lt;/sup&gt;</t>
  </si>
  <si>
    <t>Betriebsoptimierung</t>
  </si>
  <si>
    <t>Gefördert werden Betriebsoptimierung mit z. B. energo Advanced oder vergleichbaren Effizienz-Beratungsprogrammen.&lt;br /&gt;&lt;br /&gt;&lt;strong&gt;Förderbeitrag:&lt;/strong&gt;&lt;br /&gt;- Übernahme der Kosten im ersten Vertragsjahr.</t>
  </si>
  <si>
    <t>Automatische Holzfeuerung bis 70 kW</t>
  </si>
  <si>
    <t>Förderung von automatischen Holzfeuerungen bis 70 kW in bestehenden Gebäuden als Ersatz einer Heizöl-, Erdgas-, Elektro- oder Holzheizung.&lt;br /&gt;&lt;br /&gt;&lt;strong&gt;Förderbeitrag:&lt;/strong&gt;&lt;br /&gt;- Grundbeitrag an Neuanlage als Ersatz einer Holzheizung: 3000 Fr.&lt;br /&gt;- Grundbeitrag an Neuanlage als Ersatz einer Heizöl-, Erdgas- oder Elektroheizung: 4000 Fr.&lt;br /&gt;- Zusätzlicher leistungsabhängiger Beitrag: 50 Fr. pro kW&lt;sub&gt;th&lt;/sub&gt;</t>
  </si>
  <si>
    <t>Automatische Holzfeuerung über 70 kW</t>
  </si>
  <si>
    <t>Förderung von automatischen Holzfeuerungen über 70 kW in bestehenden Gebäuden als Ersatz einer Heizöl-, Erdgas-, oder Elektroheizung.&lt;br /&gt;&lt;br /&gt;&lt;strong&gt;Förderbeitrag:&lt;/strong&gt;&lt;br /&gt;- 360 Fr. pro kW&lt;sub&gt;th&lt;/sub&gt;</t>
  </si>
  <si>
    <t>Sole-Wasser-Wärmepumpe bis 70 kW</t>
  </si>
  <si>
    <t>Förderung von elektrisch getriebenen Sole-Wasser-Wärmepumpenanlagen mit Erdwärmesonden bis 70 kW in bestehenden Gebäuden als Ersatz einer Heizöl, Erdgas- oder Elektroheizung.&lt;br /&gt;&lt;br /&gt;&lt;strong&gt;&lt;span style="text-decoration: underline;"&gt;Förderbeitrag:&lt;/span&gt;&lt;/strong&gt;&lt;br /&gt;- 2400 Fr. + 180 Fr. pro kW&lt;sub&gt;th&lt;/sub&gt;</t>
  </si>
  <si>
    <t>Förderung von Neubauten / Ersatzneubauten GEAK A/A.&lt;br /&gt;&lt;br /&gt;&lt;strong&gt;Förderbeitrag:&lt;/strong&gt;&lt;br /&gt;- Einfamilienhaus/Zweifamilienhaus: 65 Fr. pro m&lt;sup&gt;2&lt;/sup&gt; EBF&lt;br /&gt;- Mehrfamilienhaus: 35 Fr. pro m&lt;sup&gt;2&lt;/sup&gt; EBF&lt;br /&gt;- Nicht-Wohnbauten: 25 Fr. pro m&lt;sup&gt;2&lt;/sup&gt; EBF</t>
  </si>
  <si>
    <t>Appareils électroménagers (remplacement réfrigérateur, congélateur, lave-linge, lave-vaisselle, four et cuisinière de catégorie vertfoncé sur le document annexe).&lt;br /&gt;&lt;br /&gt;&lt;span style="text-decoration: underline;"&gt;Contribution financière:&lt;/span&gt;&lt;br /&gt;- 10 % du prix d'achat, maximum CHF 200.- pourtout appareil ménager. &lt;br /&gt;- Une subvention tous les 5 ans par ménage&lt;br /&gt;- Pas d'achat sur Internet, mais auprès de commerces localisés dans un rayon de 10 km.</t>
  </si>
  <si>
    <t>https://www.grandson.ch/infos-pratiques/environnement/subventions-developpement-durable/</t>
  </si>
  <si>
    <t>Certificat énergétique cantonal des bâtiments (CECB+)</t>
  </si>
  <si>
    <t>Certificat énergétique cantonal des bâtiments (CECB+). Sont exclus les CECB ou CECB+ liés à un acte de vente. Auprès d'un expert certifié selon liste&lt;br /&gt;disponible sur le site officiel, localisé dans un rayon de 15 km.&lt;br /&gt;&lt;span style="text-decoration: underline;"&gt;&lt;br /&gt;Contribution financière:&lt;br /&gt;&lt;/span&gt;- 10 % du coût restant après déduction de la subvention cantonale, maximum CHF 200.-, une subvention par bâtiment.</t>
  </si>
  <si>
    <t>Prise de recharge pour véhicule électrique</t>
  </si>
  <si>
    <t>Prise de recharge pour véhicule électrique.&lt;br /&gt;&lt;br /&gt;&lt;span style="text-decoration: underline;"&gt;Contribution financière:&lt;/span&gt;&lt;br /&gt;- 10 % du coût d'installation, maximum CHF 300.-</t>
  </si>
  <si>
    <t>Remplacement d'un chauffage à mazout, gaz ou électrique</t>
  </si>
  <si>
    <t>Remplacement d'un chauffage à mazout, gaz ou électrique par une source renouvelable.&lt;br /&gt;&lt;br /&gt;&lt;span style="text-decoration: underline;"&gt;Contribution financière:&lt;/span&gt;&lt;br /&gt;- 10 % du coût résiduel de l'installation après subvention cantonale, maximum CHF 2'000.-, une subvention par bâtiment</t>
  </si>
  <si>
    <t>Remplacement d'un chauffe-eau électrique</t>
  </si>
  <si>
    <t>Remplacement d'un chauffe-eau électrique par une source renouvelable.&lt;br /&gt;&lt;br /&gt;&lt;span style="text-decoration: underline;"&gt;Contribution financière:&lt;/span&gt;&lt;br /&gt;- CHF 500.-, une subvention par chauffe-eau</t>
  </si>
  <si>
    <t>Installation d'une batterie de stockage du courant d'origine photovoltaïque propre au bâtiment.&lt;br /&gt;&lt;br /&gt;&lt;span style="text-decoration: underline;"&gt;Contribution financière:&lt;/span&gt;&lt;br /&gt;- 10 % du coût de l'installation, maximum 800.-, une subvention par bâtiment</t>
  </si>
  <si>
    <t>Vélo, vélo électrique ou scooter</t>
  </si>
  <si>
    <t>Vélo mécanique ou électrification d'un vélo, scooter/vélo électrique auprès d'un commerce figurant sur la liste des revendeurs agréés. &lt;br /&gt;&lt;br /&gt;&lt;span style="text-decoration: underline;"&gt;Contribution financière:&lt;/span&gt;&lt;br /&gt;- 20 % du prix d'achat, maximum CHF 300.- &lt;br /&gt;- Une subvention tous les 10 ans par personne ou 5 ans pour les 6 à 16 ans</t>
  </si>
  <si>
    <t>Remorque à vélo</t>
  </si>
  <si>
    <t>Remorque à vélo.&lt;br /&gt;&lt;br /&gt;&lt;span style="text-decoration: underline;"&gt;Contribution financière:&lt;/span&gt;&lt;br /&gt;-10 % du prix d'achat, maximum CHF 150.-, une subvention par ménage</t>
  </si>
  <si>
    <t>Remplacement batterie usagée  ou reconditionnement</t>
  </si>
  <si>
    <t>Remplacement batterie usagée ou reconditionnement.&lt;br /&gt;&lt;br /&gt;&lt;span style="text-decoration: underline;"&gt;Contribution financière:&lt;/span&gt;&lt;br /&gt;- 20 % du prix d'achat, maximum CHF 200.-, une subvention tous les 4 ans par véhicule</t>
  </si>
  <si>
    <t>Un financement est disponible pour l'installation d'un chauffage à bois automatique.&lt;br /&gt;&lt;br /&gt;&lt;strong&gt;Contribution financière:&lt;/strong&gt;&lt;br /&gt;- Chauffage ≤ 70 kW&lt;sub&gt;th:&lt;/sub&gt; 3000 fr. + 50 fr. par kW&lt;sub&gt;th&lt;/sub&gt;&lt;br /&gt;- Eau chaude sanitaire: 1000 fr. (montant forfaitaire)&lt;br /&gt;- Chauffage &amp;gt; 70 kW&lt;sub&gt;th&lt;/sub&gt;: 360 fr. par kW&lt;sub&gt;th&lt;/sub&gt;</t>
  </si>
  <si>
    <t>Pompe à chaleur saumure/eau ou eau/eau</t>
  </si>
  <si>
    <t>Un financement est disponible pour l'installation d'une pompe à chaleur saumure/eau ou eau/eau.&lt;br /&gt;&lt;br /&gt;&lt;strong&gt;Contribution financière:&lt;/strong&gt;&lt;span style="text-decoration: underline;"&gt;&lt;br /&gt;&lt;/span&gt;-&lt;sub&gt; &lt;/sub&gt;Chauffage ≤ 70 kW&lt;sub&gt;th&lt;/sub&gt;: 5000 fr. + 300 fr. par kW&lt;sub&gt;th&lt;br /&gt;&lt;/sub&gt;- Eau chaude sanitaire : 1000 fr. (montant forfaitaire)&lt;br /&gt;- Chauffage &amp;gt; 70 kW&lt;sub&gt;th&lt;/sub&gt;: 700 fr. par kW&lt;sub&gt;th&lt;/sub&gt;</t>
  </si>
  <si>
    <t>Förderung Lastenvelos und Veloanhänger</t>
  </si>
  <si>
    <t>Fördersatz: 25% des Kaufpreises bis maximal 2000.- Fr. beim Kauf eines neuen Lastenvelos oder neuen Veloanhängers für den Transport von Gütern und Kindern.</t>
  </si>
  <si>
    <t>https://www.zweisimmen.ch/inhalt/energiefonds</t>
  </si>
  <si>
    <t>Pro Anschluss 15% der einmaligen Anschlussgebührt bis maximal 3000 Fr.</t>
  </si>
  <si>
    <t>Machbarkeitsstudie zur Nutzung erneuerbarer Energien</t>
  </si>
  <si>
    <t>Sanierung Wohngebäude über GEAK-Klassen</t>
  </si>
  <si>
    <t>GEAK plus</t>
  </si>
  <si>
    <t>Séances d'informations et formations continues</t>
  </si>
  <si>
    <t>Le canton encourage la formation (continue) dans le domaine de l'énergie, en conformité avec les programmes fédéraux et en étroite collaboration avec les institutions existantes.&lt;br /&gt;&lt;br /&gt;&lt;strong&gt;Contribution financière:&lt;/strong&gt;&lt;br /&gt;- max. 50 % des coûts imputables</t>
  </si>
  <si>
    <t>https://www.weu.be.ch/fr/start/themen/energie/foerderprogramm-energie/foerderbeitraege-bedingungen/information.html</t>
  </si>
  <si>
    <t>Chauffage à bûches/pellets avec réservoir journalier</t>
  </si>
  <si>
    <t>Contributions sont disponibles pour le remplacement d'un système de chauffage au mazout, au gaz ou à l'électricité par une chaudière à bois ou à pellets avec un réservoir journalier. L'installation doit être réalisée à une altitude supérieure ou égale à 800 m.s.m.&lt;br /&gt;&lt;br /&gt;&lt;strong&gt;Contribution financière:&lt;/strong&gt;&lt;br /&gt;- 5000 fr. par système</t>
  </si>
  <si>
    <t>https://www.vs.ch/web/energie/m-02</t>
  </si>
  <si>
    <t>Neubau und Erweiterung Wärmenetz</t>
  </si>
  <si>
    <t>Mit dieser Massnahme wird die Möglichkeit geschaffen, dass die Förderbeiträge für kleinere Wärmeverbünde pauschal berechnet werden können. Es wird jeweils ein Beitrag an das Verteilnetz und an die Wärmeerzeugung berechnet. Die Beiträge gelten sowohl für die Erweiterung bestehender Netze / Erzeugungsanlagen als auch für den Bau neuer Netze.&lt;br /&gt;&lt;br /&gt;&lt;strong&gt;Förderbeitrag:&lt;/strong&gt;&lt;br /&gt;- Neubau oder Erweiterung Wärme- oder Anergienetz: 40 Fr. pro MWh/a&lt;br /&gt;- Neubau oder Erweiterung Wärmeerzeugungsanlage:     &lt;br /&gt;     -- Sole-Wasser-, Wasser-Wasser-Wärmepumpe &amp;gt; 70 kW: 245 Fr. pro MWh/a&lt;br /&gt;     -- Automatische Holzfeuerung &amp;gt; 300 kW: 80 Fr. pro MWh/a</t>
  </si>
  <si>
    <t>https://www.bs.ch/wsu/aue/abteilung-energie/foerderbeitraege-energie/neubau-und-erweiterung-waermenetz</t>
  </si>
  <si>
    <t>Umfassende Gesamtsanierungen mit Minergie-Zertifikat sind ebenfalls förderbeitragsberechtigt.&lt;br /&gt;&lt;br /&gt;&lt;strong&gt;Förderbeitrag:&lt;/strong&gt;&lt;br /&gt;- Abhängig vom Gebäudetyp, vom Standard und von der EBF.</t>
  </si>
  <si>
    <t>https://www.bs.ch/wsu/aue/abteilung-energie/foerderbeitraege-energie/gesamtsanierung-mit-minergie</t>
  </si>
  <si>
    <t>Standortbestimmung und Energieausweis mit Beratungsbericht für Ihre Gebäude.&lt;br /&gt;&lt;br /&gt;&lt;strong&gt;Förderbeitrag:&lt;br /&gt;&lt;/strong&gt;- 1200 Fr.</t>
  </si>
  <si>
    <t>Heizung von 70 bis 500 kW</t>
  </si>
  <si>
    <t>Förderung für den Ersatz einer Heizöl-, Erdgas- oder Elektroheizung durch eine Holzheizung oder eine Wärmepumpe.&lt;br /&gt;&lt;br /&gt;&lt;strong&gt;Förderbeiträge&lt;/strong&gt;&lt;br /&gt;- Autom. Holzheizung: 360 Fr. pro kW&lt;sub&gt;th&lt;/sub&gt;&lt;br /&gt;- Luft-Wasser-Wärmepumpe: 3200 Fr. + 120 Fr. pro kW&lt;sub&gt;th&lt;/sub&gt;&lt;br /&gt;- Wasser-Wasser-Wärmepumpe: 4800 Fr. + 360 Fr. pro kW&lt;sub&gt;th&lt;/sub&gt;&lt;br /&gt;- Sole-Wasser- Wärmepumpe: 4800 Fr. + 360 Fr. pro kW&lt;sub&gt;th&lt;/sub&gt;&lt;br /&gt;&lt;br /&gt;Hinweis: Maximalbeitrag 200 000 Fr.</t>
  </si>
  <si>
    <t>MakeHeatSimple</t>
  </si>
  <si>
    <t>Förderung für die Installation einer Heizungsfernsteuerung für Ferienwohnungen und Ferienhäuser.&lt;br /&gt;&lt;br /&gt;&lt;strong&gt;Förderbeitrag:&lt;/strong&gt;&lt;br /&gt;- Pauschal 200 Fr.</t>
  </si>
  <si>
    <t>Ersatz Fenster</t>
  </si>
  <si>
    <t>Die Fenster müssen gleichzeitig ersetzt werden wie die Heizung. Die Fenster müssen einen Ug-Wert von ≤ 0,7 W/m2K erreichen.&lt;br /&gt;&lt;br /&gt;&lt;strong&gt;Förderbeitrag:&lt;/strong&gt;&lt;br /&gt;- Kombi Fenster und Heizung: 4000 Fr.</t>
  </si>
  <si>
    <t>Photovoltaik (Kombination mit thermischer Solaranlage)</t>
  </si>
  <si>
    <t>Die Kombination ist nur bei gleichzeitiger Realisierung wie die Massnahme M-08 (Thermische Solaranlagen) möglich. Mindestleistung für eine Kombinationsförderung sind 2 kWp. Im Kommentar des Fördergesuchs erwähnen.&lt;br /&gt;&lt;br /&gt;&lt;strong&gt;Förderbeitrag:&lt;/strong&gt;&lt;br /&gt;- Kombi Photovoltaik + Thermische Solaranlage: 2000 Fr.</t>
  </si>
  <si>
    <t>Eine Gesamtsanierung liegt vor, wenn mindestens 90 Prozent aller drei Hauptflächen eines Gebäudes (Fassade, Fenster, Dach / Estrichboden) gleichzeitig erneuert und die Fördervoraussetzungen erfüllt werden. Das Beitragsgesuch "Gesamtsanierungsbonus" ist gleichzeitig mit dem Beitragsgesuch der "Wärmedämmung Gebäudehülle" zu beantragen.&lt;br /&gt;&lt;br /&gt;&lt;strong&gt;Förderbeitrag:&lt;/strong&gt;&lt;br /&gt;- Für die Bauteilflächen von Fassade und Dach, Wand und Boden gegen Erdreich: 60 Fr. pro m&lt;sup&gt;2&lt;br /&gt;&lt;/sup&gt;- Temporärer Greendeal-Bonus: + 50 %</t>
  </si>
  <si>
    <t>Der Kanton Luzern fördert Machbarkeitsabklärungen für Wärmenetze, um den Umstieg auf erneuerbare Energien in dicht bebauten Gebieten zu forcieren. &lt;br /&gt;&lt;br /&gt;&lt;strong&gt;Förderbeitrag:&lt;/strong&gt;&lt;br /&gt;- Der Kanton Luzern fördert maximal 1/3 der Gesamtkosten der Machbarkeitsstudie&lt;br /&gt;- Der maximale Förderbeitrag pro Machbarkeitsstudie beträgt 20 000 Fr.</t>
  </si>
  <si>
    <t>https://uwe.lu.ch/themen/energie/foerderprogramme/Machbarkeitsstudien</t>
  </si>
  <si>
    <t>Sole-Wasser- oder Wasser-Wasser-Wärmepumpe</t>
  </si>
  <si>
    <t>Im Rahmen einer Heizungssanierung wird als Ersatz für eine Heizöl-, Erdgas- oder Elektroheizung der Einbau einer Sole-Wasser- oder einer Wasser-Wasser-Wärmepumpe unterstützt.&lt;br /&gt;&lt;br /&gt;&lt;strong&gt;Förderbeitrag:&lt;/strong&gt;&lt;br /&gt;- Wärmepumpe: 4800 Fr. + 360 Fr. pro kW&lt;sub&gt;th&lt;/sub&gt;</t>
  </si>
  <si>
    <t>Kurse und Veranstaltungen</t>
  </si>
  <si>
    <t>Gefördert wird das Organisieren von Veranstaltungen, die zur Verminderung der CO2-Emissionen bei Gebäuden einschliesslich der Senkung des Stromverbrauchs im Winter beitragen, deren Inhalte eine breite Zielgruppe ansprechen und die im Kanton St.Gallen durchgeführt werden.&lt;br /&gt;&lt;br /&gt;&lt;strong&gt;Förderbeitrag:&lt;/strong&gt;&lt;br /&gt;- Abend-, Kurz- und Halbtagesanlässe werden mit Fr. 2000 Fr. unterstützt &lt;br /&gt;- Tagesanlässe werden mit 4000 Fr. unterstützt&lt;br /&gt;- Mehrtägige Anlässe ab zwei Tagen werden mit 5000 Fr. unterstützt. &lt;br /&gt;&lt;br /&gt;Die Beitragssätze für Anlässe betragen höchstens 50 Prozent des Veranstaltungsaufwandes.</t>
  </si>
  <si>
    <t>https://www.energieagentur-sg.ch/kurse-veranstaltungen</t>
  </si>
  <si>
    <t>Beratungsaktionen</t>
  </si>
  <si>
    <t>Gefördert werden Beratungsaktionen, die sich auf ein Projekt im Kanton St.Gallen beziehen, von einer Fachperson durchgeführt werden und zur Verminderung der CO&lt;sub&gt;2&lt;/sub&gt;-Emissionen bei Gebäuden einschliesslich der Senkung des Stromverbrauchs im Winter beitragen.&lt;br /&gt;&lt;br /&gt;&lt;strong&gt;Förderbeitrag:&lt;/strong&gt;&lt;br /&gt;- Für eine Machbarkeitsstudie: 50 Prozent der Kosten. Der Förderbeitrag muss wenigstens 2000 Fr. betragen.&lt;br /&gt;- Für eine Zertifizierung nach SNBS: 50 Prozent der Kosten.&lt;br /&gt;- Für das Initiieren des Energiestadt-Prozesses mit Zertifizierung der Gemeinde zur Energiestad 6000 Fr. pauschal (nur Erst-Zertifizierung).</t>
  </si>
  <si>
    <t>https://www.energieagentur-sg.ch/beratungsaktionen</t>
  </si>
  <si>
    <t>PR-Massnahmen</t>
  </si>
  <si>
    <t>Gefördert werden Massnahmen zur Verminderung der CO&lt;sub&gt;2&lt;/sub&gt;-Emissionen bei Gebäuden einschliesslich der Senkung des Stromverbrauchs im Winter.&lt;br /&gt;&lt;br /&gt;&lt;strong&gt;Förderbeitrag:&lt;/strong&gt;&lt;br /&gt;- Förderungsbeiträge für PR-Massnahmen werden auf Grundlage der Projektbeschreibung bestimmt.</t>
  </si>
  <si>
    <t>https://www.energieagentur-sg.ch/pr-massnahmen</t>
  </si>
  <si>
    <t>Gefördert wird der Einbau einer automatischen Schnitzel- oder Pelletfeuerung bis 70 kW, die in einem bestehenden Gebäude eine Öl-, Gas- oder Elektroheizung ersetzt.&lt;br /&gt;&lt;br /&gt;&lt;strong&gt;Förderbeitrag:&lt;/strong&gt;&lt;br /&gt;- 7500 Fr. + 125 Fr. pro kW&lt;sub&gt;th&lt;/sub&gt;</t>
  </si>
  <si>
    <t>Gefördert wird der Einbau einer automatischen Schnitzel- oder Pelletfeuerung über 70 kW, die in einem bestehenden Gebäude eine Öl-, Gas- oder Elektroheizung ersetzt.&lt;br /&gt;&lt;br /&gt;&lt;strong&gt;Förderbeitrag:&lt;/strong&gt;&lt;br /&gt;- Automatische Schnitzel- oder Pelletfeuerung ab 70 kW ohne Wärmenetz: 20'000 Fr. + 360 Fr. pro kW&lt;sub&gt;th&lt;br /&gt;&lt;/sub&gt;</t>
  </si>
  <si>
    <t>Gefördert wird der Ersatz von Heizöl-, Erdgas- oder Elektroheizungen durch eine automatische Holzfeuerung bis 70 kW.&lt;br /&gt;&lt;strong&gt;&lt;br /&gt;Förderbeitrag:&lt;/strong&gt;&lt;br /&gt;- Pro Anlage: 360 Fr. pro kW&lt;sub&gt;th&lt;/sub&gt;</t>
  </si>
  <si>
    <t>Gefördert wird der Ersatz von Heizöl-, Erdgas- oder Elektroheizungen durch automatische Holzfeuerungen über 70 kW.&lt;br /&gt;&lt;br /&gt;&lt;strong&gt;Förderbeitrag:&lt;/strong&gt;&lt;br /&gt;- ≤ 500 kW&lt;sub&gt;th&lt;/sub&gt; 360 Fr./kW&lt;sub&gt;th&lt;/sub&gt; &lt;br /&gt;- &amp;gt; 500 kW&lt;sub&gt;th&lt;/sub&gt; 80'000 Fr. + 200 Fr./kW&lt;sub&gt;th&lt;/sub&gt;</t>
  </si>
  <si>
    <t>Sole-Wasser- oder Wasser-Wasser-Wärmepumpe bis 70 kW&lt;sub&gt;th&lt;/sub&gt;</t>
  </si>
  <si>
    <t>Das Gebäudeprogramm unterstützt den Ersatz von Heizöl-, Erdgas- oder Elektroheizungen durch Sole/Wasser- oder Wasser-Wasser-Wärmepumpen.&lt;br /&gt;&lt;br /&gt;&lt;strong&gt;Förderbeitrag:&lt;/strong&gt;&lt;br /&gt;- Pro Anlage: 4800 Fr. + 360 Fr. pro kW&lt;sub&gt;th&lt;/sub&gt;</t>
  </si>
  <si>
    <t>Nouvelle Construction Minergie-P</t>
  </si>
  <si>
    <t>La certification d'un nouveau bâtiment selon Minergie-P est promu.&lt;br /&gt;&lt;br /&gt;&lt;strong&gt;Contribution financière&lt;/strong&gt;&lt;br /&gt;- Habitat individuel et collectif: 150 fr. par m&lt;sup&gt;2&lt;/sup&gt; SRE&lt;br /&gt;- Autres catégories de construction: 60 fr. par m&lt;sup&gt;2&lt;/sup&gt; SRE</t>
  </si>
  <si>
    <t>https://www.vs.ch/web/energie/m-16</t>
  </si>
  <si>
    <t>Pompe à chaleur sol/eau ou eau/eau ≤ 70 kW</t>
  </si>
  <si>
    <t>Le remplacement d'un chauffage au mazout, au gaz naturel ou électrique par une pompe à chaleur sol-eau ou eau-eau est promu.&lt;br /&gt;&lt;br /&gt;&lt;strong&gt;Contribution financière&lt;/strong&gt;&lt;br /&gt;- Habitat individuel: 13 000 fr.&lt;br /&gt;- Habitat collectif et autres constructions: 65 fr. par m&lt;sup&gt;2&lt;/sup&gt; de SRE</t>
  </si>
  <si>
    <t>https://www.vs.ch/web/energie/m-06</t>
  </si>
  <si>
    <t>HPE - Rénovation variante CECB</t>
  </si>
  <si>
    <t>Cette subvention est allouée pour une rénovation complète obtenant le label HPE - Rénovation.&lt;br /&gt;&lt;br /&gt;&lt;strong&gt;Contribution financière&lt;br /&gt;&lt;/strong&gt;- Habitat individuel &amp;lt; 250 m&lt;sup&gt;2&lt;/sup&gt;: 195 fr. par m&lt;sup&gt;2&lt;/sup&gt; SRE&lt;br /&gt;- Habitat individuel &amp;gt; 250 m&lt;sup&gt;2&lt;/sup&gt;: 22 500 fr. + 105 fr. par m&lt;sup&gt;2&lt;/sup&gt; SRE&lt;br /&gt;- Habitat collectif: 105 fr. par m&lt;sup&gt;2&lt;/sup&gt; SRE&lt;br /&gt;- Autre bâtiment: 75 fr. par m&lt;sup&gt;2&lt;/sup&gt; SRE</t>
  </si>
  <si>
    <t>https://www.ge-energie.ch/hpe-renovation-variante-cecbr</t>
  </si>
  <si>
    <t>THPE - Rénovation variante MoPEC</t>
  </si>
  <si>
    <t>Cette subvention est allouée pour une rénovation complète obtenant le label THPE - Rénovation.&lt;br /&gt;&lt;br /&gt;&lt;strong&gt;Contribution financière&lt;/strong&gt;&lt;br /&gt;- Habitat individuel &amp;lt; 250 m&lt;sup&gt;2&lt;/sup&gt;: 235 fr. par m&lt;sup&gt;2&lt;/sup&gt; SRE&lt;br /&gt;- Habitat individuel &amp;gt; 250 m&lt;sup&gt;2&lt;/sup&gt;: 25 000 fr. + 135 fr. par m&lt;sup&gt;2&lt;/sup&gt; SRE&lt;br /&gt;- Habitat collectif: 135 fr. par m&lt;sup&gt;2&lt;/sup&gt; SRE&lt;br /&gt;- Autre bâtiment: 95 fr. par m&lt;sup&gt;2&lt;/sup&gt; SRE</t>
  </si>
  <si>
    <t>https://www.ge-energie.ch/thpe-renovation-variante-mopec</t>
  </si>
  <si>
    <t>THPE - Rénovation variante CECB</t>
  </si>
  <si>
    <t>https://www.ge-energie.ch/thpe-renovation-variante-cecbr</t>
  </si>
  <si>
    <t>Rénovation Minergie-P</t>
  </si>
  <si>
    <t>Cette subvention est allouée pour une rénovation complète obtenant le label Minergie-P.&lt;br /&gt;&lt;br /&gt;&lt;strong&gt;Contribution financière&lt;/strong&gt;&lt;br /&gt;- Habitat individuel &amp;lt; 250 m&lt;sup&gt;2&lt;/sup&gt;: 235 fr. par m&lt;sup&gt;2&lt;/sup&gt; SRE&lt;br /&gt;- Habitat individuel &amp;gt; 250 m&lt;sup&gt;2&lt;/sup&gt;: 25 000 fr. +135 fr. par m&lt;sup&gt;2&lt;/sup&gt; SRE&lt;br /&gt;- Habitat collectif: 135 fr. par m&lt;sup&gt;2&lt;/sup&gt; SRE&lt;br /&gt;- Autre bâtiment: 95 fr. par m&lt;sup&gt;2&lt;/sup&gt; SRE&lt;br /&gt;- Bonus "Eco": 10 fr. par m&lt;sup&gt;2&lt;/sup&gt; SRE</t>
  </si>
  <si>
    <t>Construction neuve Minergie-P(-ECO ou -A)</t>
  </si>
  <si>
    <t>Cette subvention est allouée pour les nouvelles constructions (ou constructions de remplacement) obtenant le label Minergie-P(-ECO) ou Minergie-P(-A).&lt;br /&gt;&lt;br /&gt;&lt;strong&gt;Contribution financière&lt;/strong&gt;&lt;br /&gt;- Habitat individuel &amp;lt; 250 m&lt;sup&gt;2&lt;/sup&gt;: 75 fr. par m&lt;sup&gt;2&lt;/sup&gt; SRE&lt;br /&gt;- Habitat individuel &amp;gt; 250 m&lt;sup&gt;2&lt;/sup&gt;: 8750 fr. + 40 fr. par m&lt;sup&gt;2&lt;/sup&gt; SRE&lt;br /&gt;- Habitat collectif: 40 fr. par m&lt;sup&gt;2&lt;/sup&gt; SRE&lt;br /&gt;- Autre bâtiment: 30 fr. par m&lt;sup&gt;2&lt;/sup&gt; SRE&lt;br /&gt;- Bonus "Eco": 5 fr. par m&lt;sup&gt;2&lt;/sup&gt; SRE</t>
  </si>
  <si>
    <t>https://www.ge-energie.ch/index.php/construction-neuveconstruction-neuve-de-remplacement-minergier-p-eco</t>
  </si>
  <si>
    <t>Erhöhung kantonale Förderbeiträge</t>
  </si>
  <si>
    <t>Alle verfügten kantonalen Beiträge werden von der Gemeinde Landquart um zusätzlich 50% erhöht (ausgenommen sind Pilot- und Demonstrationsanlagen sowie Studien).</t>
  </si>
  <si>
    <t>&lt;p&gt;Le canton de Neuchâtel donne une impulsion à l’installation de bornes de recharge.&lt;/p&gt;_x000D_
&lt;p&gt;&lt;strong&gt;Contribution financière:&lt;/strong&gt;&lt;br /&gt;- montant forfaitaire de 800 fr. par borne&lt;/p&gt;</t>
  </si>
  <si>
    <t>https://www.ne.ch/autorites/DDTE/SENE/energie/Pages/mobilite-durable.aspx</t>
  </si>
  <si>
    <t>Ladestationen und Grundinfrastruktur (Lademanagement, Stromschienen)</t>
  </si>
  <si>
    <t>Es wird ein Einmaibeitrag von 500 Fr. pro Elektroladestation ausgerichtet. Falls die effektiven Kosten der Elektroladestation (inkl. Installationskosten) tiefer sind, wird dieser Betrag vergütet.</t>
  </si>
  <si>
    <t>https://www.energieuster.ch/de/Home/Services/Foerderung-Oekofonds.103.html</t>
  </si>
  <si>
    <t>Pompe di calore di grande potenza</t>
  </si>
  <si>
    <t>• Contributo: massimo 20% dei costi d’investimento riconosciuti&lt;br /&gt;• Condizioni: potenza termica nominale dell’impianto di almeno 200 kW&lt;sub&gt;th&lt;/sub&gt;, alimentazione di una rete di teleriscaldamento</t>
  </si>
  <si>
    <t>Biciclette e scooter elettriche</t>
  </si>
  <si>
    <t>https://www.aranno.ch/Formulari-8a3bf400</t>
  </si>
  <si>
    <t>Abbonamento arcobaleno annuale</t>
  </si>
  <si>
    <t> Risparmio energetico ed utilizzo di energia rinnovabile</t>
  </si>
  <si>
    <t>https://www.bedano.ch/Incentivi-comunali-ac4d1f00</t>
  </si>
  <si>
    <t>Biciclette e autovetture elettriche</t>
  </si>
  <si>
    <t>https://www.bellinzona.ch/index.php?node=949&amp;lng=1&amp;rif=9e6bd89cff</t>
  </si>
  <si>
    <t>Bicicletta eletrica</t>
  </si>
  <si>
    <t>https://www.biasca.ch/Ecocentro-comunale-dad86400</t>
  </si>
  <si>
    <t>https://www.brione.ch/Abbonamenti-arcobaleno-1d54a000</t>
  </si>
  <si>
    <t>Bike Sharing Locarnese</t>
  </si>
  <si>
    <t>https://www.brione.ch/Bike-Sharing-Locarnese-e7c42900</t>
  </si>
  <si>
    <t>https://www.cademario.ch/Servizi-comunali/Ufficio-tecnico-4f255900</t>
  </si>
  <si>
    <t>Installazione di un impianto solare termico</t>
  </si>
  <si>
    <t>Installazione di un impianto solare fotovoltaico</t>
  </si>
  <si>
    <t>Installazione di batterie di accumulo abbinate ad impianti fotovoltaici</t>
  </si>
  <si>
    <t>http://canobbio.ch/il-comune/tematiche/ambiente-e-mobilita/iniziative-e-progetti/</t>
  </si>
  <si>
    <t>Nuova costruzione di un edificio certificato MINERGIE-A o MINERGIE-P e MINERGIE-ECO</t>
  </si>
  <si>
    <t>Certificato Energetico Cantonale degli Edifici Plus (CEC® Plus)</t>
  </si>
  <si>
    <t>Der Kanton Luzern fördert den Anschluss an ein Wärmenetz, wenn dieser eine fossile (Öl oder Erdgas) oder elektrische Heizung ersetzt. Die bezogene Wärme muss hauptsächlich aus erneuerbarer Energie oder Abwärme stammen. Die Bezugsgrösse für die Berechnung des Förderbeitrags ist die thermische Nennleistung.&lt;br /&gt;&lt;br /&gt;&lt;strong&gt;Förderbeitrag:&lt;/strong&gt;&lt;br /&gt;- Bis 15 kW: 8200 Fr.&lt;br /&gt;- Ab 15 kW bis 500 kW: 7000 Fr. + 80 Fr. pro kW&lt;br /&gt;- Ab 500 kW: 27 000 Fr. + 40 Fr. pro kW</t>
  </si>
  <si>
    <t>Ladeinfrastruktur für E-Mobilität</t>
  </si>
  <si>
    <t>&lt;p class="MsoPlainText"&gt;Der Kanton Luzern fördert den Einbau von Elektro-Ladeinfrastrukturen in Mehrparteiengebäuden. Neubauten sind nicht förderberechtigt.&lt;/p&gt;_x000D_
&lt;strong&gt;Förderbeitrag:&lt;/strong&gt;&lt;br /&gt;- Basisinfrastruktur: 400 Fr. pro mit Strom erschlossenem Parkplatz</t>
  </si>
  <si>
    <t>https://uwe.lu.ch/themen/energie/foerderprogramme/Ladeinfrastruktur_fuer_E_Mobilitaet</t>
  </si>
  <si>
    <t>Gefördert werden neue thermische Solaranlagen auf bestehenden Gebäuden mit einer nicht fossilen Heizung.&lt;br /&gt;&lt;br /&gt;&lt;strong&gt;Förderbeitrag:&lt;/strong&gt;&lt;br /&gt;- 2400 Fr. Grundbeitrag + 1000 Fr. pro kW&lt;sub&gt;th&lt;/sub&gt;. &lt;br /&gt;- Hinweis: Bei Anlagen grösser als 70 kW&lt;sub&gt;th&lt;/sub&gt; sind auch Anlagen auf Neubauten förderberechtigt.</t>
  </si>
  <si>
    <t>Gefördert werden Photovoltaikanlagen mit Inbetriebnahmedatum nach 1.1.2022, die über eine rechtskräftige Verfügung zur definitiven Festsetzung der Einmalvergütung des Bundes verfügen. Im Gegensatz zu allen anderen kantonalen Fördermassnahmen muss das Gesuch nicht vor Installationsbeginn eingereicht werden, da sich die Förderung auf die Einmalvergütung des Bundes abstützt. Die rechtskräftige Verfügung zur definitiven Festsetzung der Einmalvergütung des Bundes dient als Grundlage für die Auszahlung der kantonalen Fördergelder. &lt;br /&gt;Auskunft zu diesem Förderangebot gibt das Amt für Umwelt: 071 353 65 35 / afu@ar.ch&lt;br /&gt;&lt;br /&gt;&lt;strong&gt;Förderbeitrag&lt;/strong&gt;&lt;br /&gt;- Datum Inbetriebnahme zwischen 1.1.2022 und 31.8.2025: Maximal Verdoppelung der Einmalvergütung des Bundes (abzgl. Pflichtteil bei Neubauten)&lt;br /&gt;- Datum Inbetriebnahme ab 1.9.2025: Maximal 50 % der Einmalvergütung des Bundes (abzgl. Pflichtteil bei Neubauten)</t>
  </si>
  <si>
    <t>Risanamenti energetici di edifici esistenti</t>
  </si>
  <si>
    <t>https://www.chiasso.ch/ambiente-territorio-sicurezza/ambiente/incentivi-in-campo-energetico/</t>
  </si>
  <si>
    <t>Nuova costruzione di un edificio certificato MINERGIE-A e MINERGIE-P e/o MINERGIE-ECO</t>
  </si>
  <si>
    <t>Sostituzione di un impianto di riscaldamento a olio combustibile o elettrico diretto</t>
  </si>
  <si>
    <t>Analisi CECE-Plus</t>
  </si>
  <si>
    <t>https://www.chiasso.ch/ambiente-territorio-sicurezza/trasporti-pubblici/</t>
  </si>
  <si>
    <t>Risanamento energetico su edifici esistenti</t>
  </si>
  <si>
    <t>Realizzazione di nuove costruzioni a basso fabbisogno energetico</t>
  </si>
  <si>
    <t>Sostituzioni di un impianto ad olio combustibile o elettrico diretto</t>
  </si>
  <si>
    <t> Nuovi impianti solari termici</t>
  </si>
  <si>
    <t>Nuovi impianti fotovoltaici</t>
  </si>
  <si>
    <t>Certificazioni e perizie energetiche (CECE)</t>
  </si>
  <si>
    <t>Utensili da giardino elettrici (inclusi robot tagliaerba)</t>
  </si>
  <si>
    <t>https://www.grancia.ch/richieste/</t>
  </si>
  <si>
    <t>https://www.massagno.ch/Ufficio-tecnico</t>
  </si>
  <si>
    <t>https://www.morbioinf.ch/Sussidi-trasporti-pubblici-1e2fde00</t>
  </si>
  <si>
    <t>https://www.morcote.ch/Sussidi-spiegazioni-2020-c3f1a300?i=1</t>
  </si>
  <si>
    <t>Mobilità lenta</t>
  </si>
  <si>
    <t>https://www.muzzano.ch/Cancelleria</t>
  </si>
  <si>
    <t>Biciclette e carrozzine elettriche</t>
  </si>
  <si>
    <t>https://www.neggio.ch/wp-content/uploads/2021/04/Ordinanza-attribuzione-sussidio-per-acquisto-biciclette-e-carozzine-ele....pdf</t>
  </si>
  <si>
    <t>https://www.pontecapriasca.ch/Rimborsi-716dca00</t>
  </si>
  <si>
    <t>https://www.porza.ch/index.php?node=335&amp;lng=1&amp;rif=3e6aeba5f7</t>
  </si>
  <si>
    <t>https://www.porza.ch/index.php?node=345&amp;lng=1&amp;rif=1d3269d000</t>
  </si>
  <si>
    <t>Robot taglia-erba elettrico o altri utensili da giardino</t>
  </si>
  <si>
    <t>https://www.porza.ch/downdoc.php?id_doc=4123&amp;lng=1&amp;i=1&amp;rif=e7293e99ba</t>
  </si>
  <si>
    <t>Certificazione Energetica Cantonale dell’edificio (CECE – CECE Plus)</t>
  </si>
  <si>
    <t>https://www.porza.ch/downdoc.php?id_doc=4052&amp;lng=1&amp;i=1&amp;rif=2cf007b1a9</t>
  </si>
  <si>
    <t>Nuovi edifici con elevati standard energetici (Minergie)</t>
  </si>
  <si>
    <t>Impianti solari per la produzione di energia solare termica</t>
  </si>
  <si>
    <t>Impianti solari per la produzione di elettricità fotovoltaica</t>
  </si>
  <si>
    <t>Sistemi di accumulo dell’energia prodotta tramite la realizzazione di un impianto solare</t>
  </si>
  <si>
    <t>Impianti di riscaldamento che utilizzano legna,pellet o altre fonti rinnovabili</t>
  </si>
  <si>
    <t>Sostituzione di sistemi di riscaldamento alimentati ancora con elettricità diretta, oli combustibili o a gas con una pompa di calore</t>
  </si>
  <si>
    <t>biciclette elettriche, kit elettrici per la modifica di biciclette tradizionali, batterie elettriche e ciclomotori elettrici</t>
  </si>
  <si>
    <t>https://www.pura.ch/Ordinanza-municipale-per-l-erogazione-di-incentivi-in-favore-dell-efficienza-energetica-delle-energie-rinnovabili-e-della-mobilita-sostenibile-668d8500?i=1</t>
  </si>
  <si>
    <t>Bussola Energia</t>
  </si>
  <si>
    <t>Bussola Energia è un servizio di orientamento energetico neutrale sul posto che, attraverso un sopralluogo, ha lo scopo di fornire supporto iniziale ai proprietari di un edificio. Maggiori informazioni possono essere richieste presso l'Ufficio Tecnico Comunale, oppure direttamente sul sito internet, &lt;a href="https://www.bussolaenergia.ch/" target="_blank" rel="noopener"&gt;www.bussolaenergia.ch&lt;/a&gt;</t>
  </si>
  <si>
    <t>https://www.tiquinto.ch/comune/piano-energetico-comunale/</t>
  </si>
  <si>
    <t>- Rimborso del 10% fino a un massimo di 300 fr. sull’acquisto di una bicicletta elettrica&lt;br /&gt;- Partecipazione di 500 fr. sull’acquisto di automobili ecologiche ibride o completamente elettriche presso un garage del Comune</t>
  </si>
  <si>
    <t>&lt;strong&gt;Trasporti pubblici per famiglie (bambini, studenti, apprendisti)&lt;/strong&gt;&lt;br /&gt;– Partecipazione al 50% della spesa di acquisto dell’abbonamento annuale del giovane che si trova agli studi post-obbligatori (max 25 anni) fino ad un massimo di 500 fr. Gli apprendisti che lavorano/studiano in Ticino hanno diritto ad un sussidio cantonale del 40% della spesa dell’abbonamento; in questo caso il Comune riconosce l’importo mancante affinché alle famiglie il titolo di trasporto costi il 50 % fino ad un massimo di 500 fr.&lt;br /&gt;– Contributo del 50% alle famiglie con bambini di SE e SM (scuole obbligatorie) che non ricevono l’abbonamento annuale Arcobaleno per il trasporto casa-scuola, fino ad un massimo di 300 fr.&lt;br /&gt;– Rimborso del 50% sull’abbonamento mensile giovani per un massimo di 500 fr. annuali&lt;br /&gt;– Partecipazione di 60 fr. alle spese dell’abbonamento annuale per giovani metà prezzo delle FFS e di 50 fr. per il rinnovo.&lt;br /&gt;&lt;br /&gt;&lt;strong&gt;Trasporti pubblici per adulti&lt;/strong&gt;&lt;br /&gt;– Rimborso del 10% per abbonamento di trasporto annuale per adulti, fino ad un massimo di 300 fr.&lt;br /&gt;– Partecipazione di 75 fr. alle spese dell’abbonamento annuale per adulti metà prezzodelle FFS e di 50 fr. per il rinnovo.</t>
  </si>
  <si>
    <t>https://www.vacallo.ch/Mobilita-elettrica-bc6f4000</t>
  </si>
  <si>
    <t>https://www.vacallo.ch/Altre-agevolazioni-3dd44d00</t>
  </si>
  <si>
    <t>Auto elettrica</t>
  </si>
  <si>
    <t>Installazione stazione di ricarica a domicilio</t>
  </si>
  <si>
    <t>Betriebsoptimierung in MFH und Dienstleistungsbauten</t>
  </si>
  <si>
    <t xml:space="preserve">&lt;p class="MsoNormal"&gt;Gefördert wird eine Betriebsoptimierung bei grossen Gebäuden wie Mehrfamilienhäusern, Verwaltungs- und Dienstleistungsbauten oder Schulen. &lt;br /&gt;&lt;br /&gt;&lt;strong&gt;Förderbeitrag&lt;/strong&gt;&lt;br /&gt;- 3000 Fr.&lt;/p&gt;_x000D_
</t>
  </si>
  <si>
    <t>https://www.energieagentur-sg.ch/betriebsoptimierung</t>
  </si>
  <si>
    <t>Schaffung von Netzwerken</t>
  </si>
  <si>
    <t>Die Massnahme unterstützt den Aufbau von partnerschaftlich organisierten Netzwerken und Kooperationen, die mit ihren Aktivitäten, Produkten oder Dienstleitungen zur Erreichung der energie- und klimapolitischen Ziele beitragen.&lt;br /&gt;&lt;br /&gt;&lt;strong&gt;Förderbeitrag&lt;/strong&gt;&lt;br /&gt;- Bis zu 35 000 Fr.</t>
  </si>
  <si>
    <t>https://www.energieagentur-sg.ch/netzwerke</t>
  </si>
  <si>
    <t>Mobilitätskonzepte</t>
  </si>
  <si>
    <t>&lt;p class="MsoNormal"&gt;Die Förderungsmassnahme &lt;span style="mso-fareast-font-family: Arial; mso-fareast-theme-font: minor-latin; mso-bidi-font-family: Arial; mso-fareast-language: EN-US;"&gt;unterstützt d&lt;/span&gt;ie Verbreitung des Mobilitätsmanagements bei Unternehmen und der öffentlichen Hand, indem Beiträge an die Erstellung von Mobilitätskonzepten geleistet werden. &lt;br /&gt;&lt;br /&gt;&lt;strong&gt;Förderbeitrag:&lt;/strong&gt;&lt;br /&gt;- Abhängig von der Unternehmensgrösse (Anzahl Vollzeitäquivalente) sowie vom Aufwand für die externe Beratung&lt;br /&gt;- Maximaler Betrag: 20 000 Fr.&lt;br /&gt;&lt;br /&gt;Details zum Angebot finden Sie auch &lt;a href="https://clemo.ch/beratung/foerdergelder/" target="_blank" rel="noopener"&gt;hier&lt;/a&gt;.&lt;/p&gt;_x000D_
&lt;p class="MsoNormal"&gt;&lt;/p&gt;</t>
  </si>
  <si>
    <t>https://www.energieagentur-sg.ch/mobilitaetskonzepte</t>
  </si>
  <si>
    <t>Ladeinfrastruktur in Einstellhallen</t>
  </si>
  <si>
    <t>Die Fördermassnahme unterstützt die Installation von neuen Ladeinfrastrukturen in Einstellhallen von bestehenden Bauten (Baubewilligung vor 31.12.2020). &lt;br /&gt;&lt;br /&gt;&lt;strong&gt;Förderbeitrag:&lt;/strong&gt;&lt;br /&gt;- Anschlussleitung: 300 Fr. pro Parkplatz&lt;br /&gt;- Betriebsbereite Ladestation: 800 Fr. pro Parkplatz&lt;br /&gt;- Zusatzbeitrag für Installation einer Photovoltaikanalage: 5000 Fr.&lt;span style="font-size: 10.5pt; font-family: 'Arial',sans-serif; mso-fareast-font-family: 'Times New Roman'; mso-fareast-theme-font: minor-fareast; mso-bidi-font-family: 'Times New Roman'; mso-bidi-theme-font: minor-bidi; mso-ansi-language: DE-CH; mso-fareast-language: DE-CH; mso-bidi-language: AR-SA;"&gt;&lt;br /&gt;&lt;/span&gt;</t>
  </si>
  <si>
    <t>https://www.energieagentur-sg.ch/ladeinfrastruktur</t>
  </si>
  <si>
    <t>Wärmedämmung Fassade, Dach, Wand und Boden gegen Erdreich und wärmegedämmte Wand zusätzlich gegen Aussenklima: Illnau-Effretikon fördert zusätzlich 50 % des Förderbeitrags des Kt. ZH, maximal 10 000 Fr.</t>
  </si>
  <si>
    <t>Gesamtmodernisierung Minergie oder Minergie-P</t>
  </si>
  <si>
    <t>Zusatzzertifizierung MQS-Bau, MQS-Betrieb oder SNBS bei Gesamtmodernisierung Minergie oder Minergie- P: Illnau-Effretikon fördert zusätzlich 50 % des Förderbeitrags des Kt. ZH, maximal 10 000 Fr.</t>
  </si>
  <si>
    <t>Anschluss an Wärmenetz mit Erneuerbaren Energien oder Abwärme</t>
  </si>
  <si>
    <t>Förderbeitrag:&lt;br /&gt;Bei Heizungsersatz Öl/Gas/Elektro: Zusätzlich gemäss der Anschlussleistung:&lt;br /&gt;– &amp;lt; 25 kWth nur Förderbeitrags des Kt. ZH&lt;br /&gt;– 25 bis &amp;lt; 40 kWth: zusätzlich 20 % des Förderbeitrags des Kt. ZH&lt;br /&gt;– ≥ 40 kWth: zusätzlich 40 % des Förderbeitrags des Kt. ZH, maximal 10 000 Fr.&lt;br /&gt;Bei Neubau: 5000 Fr./Anschluss</t>
  </si>
  <si>
    <t>Wärmepumpen Luft-Wasser, Sole-Wasser oder Wasser-Wasser</t>
  </si>
  <si>
    <t>Gefördert wird ein geologisches Gutachten bzw. eine hydrogeologische Begleitung für Wärmepumpe Sole/Wasser, wo vom Kanton gefordert:&lt;br /&gt;- 1500 Fr. pro Gutachten respektive Begleitung</t>
  </si>
  <si>
    <t>Förderbeiträge:&lt;br /&gt;Maximale Flächenausnutzung bei der Anlagen-Dimensionierung: 100 Fr. pro zusätzlich installierte kW, maximal 10'000 Fr.&lt;br /&gt;Integrierte Anlage in Kernzone oder bei inventarisierten Objekten (nur Indachanlage): Zuschlag von 50% der EIV, maximal 5000 Fr.</t>
  </si>
  <si>
    <t>Gefördert werden Energieeffiziente Haushaltgeräte (energieeffizienteste Klassifizierung, gemäss topten.ch) mit 25% des Kaufpreises, maximal 300 Fr. pro Gerät.</t>
  </si>
  <si>
    <t>Gefördert wird die Umsetzung von Betriebsoptimierungsmassnahmen: 20% der Kosten, maximal 10'000 Fr.&lt;br /&gt;Bedingung: Die Massnahme wurde bei der Erarbeitung des GEAK-Plus oder beim Energiecoaching identifiziert. Der/die zuständige BeraterIn bestätigt, dass er/sie die Massnahme empfiehlt.</t>
  </si>
  <si>
    <t>Ersatz fossiler Heizsysteme durch Heizsysteme auf Basis erneuerbarer Energieträger</t>
  </si>
  <si>
    <t>https://www.mettmenstetten.ch/dienstleistungen/uebersicht-dienstleistungen.html/147/service/387</t>
  </si>
  <si>
    <t>Ersatz von Elektro-Direktheizungen durch Heizsysteme auf Basis erneuerbarer Energieträger</t>
  </si>
  <si>
    <t>Stromspeicherung jeglicher Art</t>
  </si>
  <si>
    <t>Die Gemeinde Mettmenstetten übernimmt für die Erstellung eines GEAK-Plus einen Kostenanteil von 500 Fr. pro Objekt.&lt;br /&gt;Werden aufgrund eines GEAK-Plus energetische Modernisierungsmassnahmen umgesetzt, werden die vollen Kosten des GEAK-Plus rückerstattet (abzüglich bereits geleisteter Fördergelder).</t>
  </si>
  <si>
    <t>Mobility-Genossenschaftsbeitrag</t>
  </si>
  <si>
    <t>Die Gemeinde Mettmenstetten übernimmt die einmalige Einschreibegebühr als Mobility-Genossenschafter von 250.- Fr.&lt;br /&gt;Bedingungen: &lt;br /&gt;- Der Förderbeitrag wird nur für Erst-Genossenschafter gewährt.&lt;br /&gt;- Der Antragsteller muss im Besitz eines Halb-Tax oder General-Abos der SBB sein.</t>
  </si>
  <si>
    <t>Der Kanton Zug fördert den Anschluss an ein Wärmenetz, wenn dieses eine fossile (Öl oder Erdgas) oder elektrische Hauptheizung ersetzt.&lt;br /&gt;&lt;br /&gt;&lt;strong&gt;Förderbeitrag:&lt;/strong&gt;&lt;br /&gt;- Bis 500 kW: 4000 Fr. + 200 Fr. pro kW&lt;br /&gt;- Über 500 kW: 54 000 Fr. + 100 Fr. pro kW</t>
  </si>
  <si>
    <t>Der Kanton Zug fördert das Erstellen von Neuanlagen automatischer Holzfeuerungen bei der Umstellung von fossilen Energieträgern (Öl oder Erdgas) oder von Elektroheizungen auf naturbelassenes Holz.&lt;br /&gt;&lt;br /&gt;&lt;strong&gt;Förderbeitrag:&lt;/strong&gt;&lt;br /&gt;- Automatische Holzfeuerungen bis 70 kW Feuerungswärmeleistung: 4000 Fr. + 75 Fr. pro kW&lt;sub&gt;th&lt;/sub&gt;&lt;br /&gt;- Automatische Holzfeuerungen ab 70 kW Feuerungswärmeleistung: &lt;br /&gt;     bis 500 kW&lt;sub&gt;th&lt;/sub&gt;: 360 Fr. pro kW&lt;sub&gt;th&lt;/sub&gt;&lt;br /&gt;     über 500 kW&lt;sub&gt;th&lt;/sub&gt;: 80 000 Fr. + 200 Fr. pro kW&lt;sub&gt;th&lt;/sub&gt;</t>
  </si>
  <si>
    <t>Gefördert werden Wärmepumpen, wenn diese eine fossile (Öl oder Erdgas) oder elektrische Hauptheizung ersetzen. Förderberechtigt sind Luft/Wasser-, Sole/Wasser- und Wasser/Wasser-Wärmepumpen, die Aussenluft oder Umweltwärme aus dem Untergrund, Grundwasser, Seewasser, Wärme aus Eisspeicher etc. nutzen.&lt;br /&gt;&lt;br /&gt;&lt;strong&gt;Förderbeitrag:&lt;br /&gt;&lt;/strong&gt;&lt;br /&gt;&lt;strong&gt;Luft/Wasser-Wärmepumpe&lt;/strong&gt;&lt;br /&gt;- bis 30 kW&lt;sub&gt;th&lt;/sub&gt;: 8500 Fr.&lt;br /&gt;-  über 30 kW&lt;sub&gt;th&lt;/sub&gt;: 4000 Fr. + 150 Fr. pro kW&lt;sub&gt;th&lt;/sub&gt;&lt;br /&gt;&lt;br /&gt;&lt;strong&gt;Sole/Wasser- und Wasser/Wasser-Wärmepumpe&lt;/strong&gt;&lt;br /&gt;- bis 500 kW&lt;sub&gt;th&lt;/sub&gt;: 20'000 Fr. + 400 Fr. pro kW&lt;sub&gt;th&lt;/sub&gt;&lt;br /&gt;- über 500 kW&lt;sub&gt;th&lt;/sub&gt;: 120'000 Fr. + 200 Fr. pro kW&lt;sub&gt;th&lt;/sub&gt;</t>
  </si>
  <si>
    <t>Ladeinfrastruktur Elektrofahrzeuge</t>
  </si>
  <si>
    <t>Gefördert wird die elektrische Erschliessung von Parkierungsanlagen bei Mehrfamilienhäusern und Stockwerkeigentumsbauten ab drei Einheiten. Gemeinsam erschlossene Garagen von einzelnen Einheiten werden ebenfalls berücksichtigt.&lt;br /&gt;&lt;br /&gt;Förderbeiträge:&lt;br /&gt;- Erschliessung der Ladeinfrastruktur: 25% der Investitionskosten, jedoch höchstens 500 Fr. pro Parkplatz. Die Erschliessungskosten beinhalten die Erstellung von Strom- und Kommunikationsleitungen zu den Parkplätzen (Ausbaustufe C1 gemäss SIA Norm 2060).</t>
  </si>
  <si>
    <t>https://www.baden.ch/de/leben-wohnen/energie-mobilitaet/energie/foerderung/elektromobilitaet.html/2668</t>
  </si>
  <si>
    <t>Halböffentliche Ladestation</t>
  </si>
  <si>
    <t>Förderung bei der Installation einer Ladestation im halböffentlichen Bereich: pauschal 1000 Fr.</t>
  </si>
  <si>
    <t>Ladeinfrastruktur für Elektroautos in Wohnbauten</t>
  </si>
  <si>
    <t>Gefördert wird das Ausrüsten von mindestens 10 Parkplätzen mit einer Basisinfrastruktur. Mindestens 1 Parkplatz wird mit einer Ladestation ausgerüstet.&lt;br /&gt;&lt;br /&gt;&lt;strong&gt;Förderbeitrag:&lt;/strong&gt;&lt;br /&gt;- Pauschal 2000 Fr. pro Hausanschluss</t>
  </si>
  <si>
    <t>Sanierung Dämmung Aussenhülle</t>
  </si>
  <si>
    <t>Gefördert wird die Sanierung der Dämmung der Aussenhülle.&lt;br /&gt;&lt;br /&gt;&lt;strong&gt;Förderbeitrag&lt;/strong&gt;:&lt;br /&gt;- 60 Fr. pro m&lt;sup&gt;2&lt;/sup&gt; sanierte Aussenhülle (Steildach, Fassade und Gebäudeteile im Erdreich) &lt;br /&gt;- 400 Fr. pro m&lt;sup&gt;2&lt;/sup&gt; sanierte Fläche mit fassaden- oder dachintegrierter Photovoltaik (Neigungswinkel zwischen 60 und 90°)</t>
  </si>
  <si>
    <t>Beitrag an die Erschliessungskosten für die Ladeinfrastruktur in Mehrfamilienhäusern, Industrie/Gewerbe und Bürogebäuden. Der minimale Beitrag pro Projekt muss mindestens 1000 Fr. erreichen.&lt;br /&gt;&lt;br /&gt;&lt;strong&gt;Förderbeitrag:&lt;/strong&gt;&lt;br /&gt;- Einmalig 25 % der Investitionskosten</t>
  </si>
  <si>
    <t>Sportello energia</t>
  </si>
  <si>
    <t>Certificazione Bio</t>
  </si>
  <si>
    <t>Il Comune promuove la riconversione delle aziende agricole e di trasformazione convenzionali (artigianato alimentare) in aziende con prodotti certificati biologici.</t>
  </si>
  <si>
    <t>Geologisches Gutachten/hydrogeologische Begleitung für Wärmepumpe Sole/Wasser</t>
  </si>
  <si>
    <t>Geologisches Gutachten/hydrogeologische Begleitung für Wärmepumpe Sole/Wasser, wo vom Kanton gefordert: 1500.- Fr. pro Gutachten respektive Begleitung</t>
  </si>
  <si>
    <t>https://www.ilef.ch/foerderprogrammenergie/46009</t>
  </si>
  <si>
    <t>Unterstütz werden Luft-Wasser-Wärmepumpen mit 500 Fr. Pauschalbeitrag + 5 Fr. pro m&lt;sup&gt;2&lt;/sup&gt; EBF / Sole- oder Wasser-Wasser-Wärmepumpe mit 3500 Fr. Pauschalbeitrag + 10 Fr. pro m&lt;sup&gt;2&lt;/sup&gt; EBF</t>
  </si>
  <si>
    <t>https://efoerderportal.sg.ch/foerdergeldrechner</t>
  </si>
  <si>
    <t>Förderbeitrag an die Erstellung eines Gebäudeenergieausweises Plus (50% des Restbetrags nach Abzug Kantonsbeitrag). Max. 500 Fr. für Ein-/Zweifamilienhaus, max. 1‘000 Fr. für MFH/Verwaltung/Schule/Restaurant/Verkauf.</t>
  </si>
  <si>
    <t>Energieberatung für Unternehmen</t>
  </si>
  <si>
    <t>Beitrag für professionelle Energieberatung in Unternehmen (z.B. Effizienzanalyse, PEIK-Beratung, freiwillige Zielvereinbarung, KMU-Modell etc.).</t>
  </si>
  <si>
    <t>Elektro-Speicher für Photovoltaikanlagen</t>
  </si>
  <si>
    <t>Der Förderbeitrag ist abhängig von der Nutzkapazität. Maximal 2000 Fr. pro Anlage.</t>
  </si>
  <si>
    <t>https://www.gemeindeschwyz.ch/dienstleistungen/63016</t>
  </si>
  <si>
    <t>Die Beitragsberechtigung besteht nur, wenn das Gütesiegel der Holzenergie Schweiz verwendet wird.</t>
  </si>
  <si>
    <t>Abonnement annuel de transports publics</t>
  </si>
  <si>
    <t>Gefördert werden Anlagen für Warmwasser sowie Warmwasser mit Heizungsunterstützung.</t>
  </si>
  <si>
    <t>Energiecheck/GEAK</t>
  </si>
  <si>
    <t>Gefördert wird ein Energiecheck und GEAK durch eine von der Gemeinde subventionerte Prüfung von Solaranlagen.</t>
  </si>
  <si>
    <t>Gefördert werden Batteriespeicher für Photovoltaikanlagen.</t>
  </si>
  <si>
    <t>Energieberatung/GEAK Plus</t>
  </si>
  <si>
    <t>50% der Kosten für die Beratung und den GEAK Plus-Bericht werden übernommen (max. 700.- Fr. für EFH und 1000.- Fr. für MFH und Nichtwohngebäude).&lt;br /&gt;&lt;br /&gt;Erstberatungen für Hauseigentümer sind kostenlos.</t>
  </si>
  <si>
    <t>50% der Kosten für Beratung und Erfolgskontrolle werden übernommen (max. 2000.- Fr. pro Unternehmen und Jahr).</t>
  </si>
  <si>
    <t>Gefördert wird die Wärmedämmung für Wand, Dach und Boden (ohne Zusatzbeitrag PV-Anlage).&lt;br /&gt;Förderbeitrag: 20 % des Beitrages aus dem kantonalen Förderprogramm, max. 10'000 Fr.</t>
  </si>
  <si>
    <t>Anschluss an Fernwärme</t>
  </si>
  <si>
    <t>Gefördert wird der Ersatz von fossilen oder elektrischen Heizungen.&lt;br /&gt;Beitragsberechtig sind neu installierte Anschlüsse an einen Wärmeverbund (Neuanschlüsse sowie der Ersatz bestehender Anlagen), die den Heizwärmebedarf eines bestehenden, bereits beheizten Gebäudes decken. Gebäude gelten als bestehend, wenn sie mindestens 5 Jahre alt sind.</t>
  </si>
  <si>
    <t>Ladestation für Elektrofahrzeuge</t>
  </si>
  <si>
    <t>Gefördert wird die Grundinstallation für Elektro-Ladestationen in privaten Mehrfamilienhäusern.</t>
  </si>
  <si>
    <t>https://www.altenrhein.ch/umwelt/photovoltaik</t>
  </si>
  <si>
    <t>Wärmekraftkopplungsanlagen bzw. Blockheizkraftwerke</t>
  </si>
  <si>
    <t>Die WKK-Anlage muss wärmegeführt sein. Die Abwärme muss vollständig genutzt werden.</t>
  </si>
  <si>
    <t>Gefördert wird der Anschluss an Mitteltemperatur-Wärmenetze basierend auf erneuerbaren Energien bzw. Abwärme.&lt;br /&gt;Der Anschluss muss als Hauptheizungssystem des Gebäudes konzipiert sein (Ersatz von Oel-, Gas- oder Elektrospeicherheizungen).</t>
  </si>
  <si>
    <t>Hausbatterie für Solarstromanlagen</t>
  </si>
  <si>
    <t>Mobilité durable</t>
  </si>
  <si>
    <t>https://www.yverdon-les-bains.ch/aides-subventions/developpement-durable-/-energies/subventionspopulation</t>
  </si>
  <si>
    <t>Installation de chauffe-eau à pompe à chaleur</t>
  </si>
  <si>
    <t>Soutien financier pour la préparation de l’eau chaude économe en énergie.&lt;br /&gt;&lt;br /&gt;Un programme de ProKilowatt</t>
  </si>
  <si>
    <t>https://www.agrocleantech.ch/fr/pour-les-agriculteurs/programme-de-soutien-boiler-pac.html</t>
  </si>
  <si>
    <t>A l’achat d’un vélo mécanique neuf ou d’occasion, le montant de la subvention s’élève à 30 % du prix d’achat, mais au maximum Fr. 300.</t>
  </si>
  <si>
    <t>https://www.rolle.ch/N1035/subventions-mobilite-douce.html</t>
  </si>
  <si>
    <t>Vélocargo ou dispositif de remorquage neuf ou d'occasion</t>
  </si>
  <si>
    <t>Cours de vélo pour enfant</t>
  </si>
  <si>
    <t>  Abonnement Mobilis zone 25</t>
  </si>
  <si>
    <t>Beiträge für Energieberatungen wie Projektberatungen und Gebäudeanalysen sowie Studien gemäss Förderprogramm der energieberatungAARGAU.&lt;br /&gt;Eimaliger Beitrag: EFH max. 500 Franken, MFH max. 800 Franken</t>
  </si>
  <si>
    <t>https://www.lenzburg.ch/dienstleistungen/106177</t>
  </si>
  <si>
    <t>Energetische Sanierung</t>
  </si>
  <si>
    <t>Beiträge für energetische Sanierung von Fenstern und Aussentüren im beheizten Wohnbereich.</t>
  </si>
  <si>
    <t>Einmaliger Beitrag: 500 Franken für die Erstellung einer Sole/Wasser- oder Wasser/Wasser-Wärmepumpe</t>
  </si>
  <si>
    <t>Ersatz Elektroheizung und Elektroboiler</t>
  </si>
  <si>
    <t>Gefördert wird der Ersatz von Elektroheizungen und Boilern durch energieeffiziente Wärmepumpen oder lokale Holzheizungen. Die Förderbeiträge betragen 10 Fr. pro m&lt;sup&gt;2&lt;/sup&gt; Energiebezugsfläche. Der Maximalbetrag beträgt 2000 Fr. bei Heizungssanierungen und 450 Fr. bei Boilerersatz durch Wärmepumpenboiler.&lt;br /&gt;Wer bisher kein Wasserwärmeverteilsystem (Bodenheizung oder Heizkörper) hatte, erhält einen zusätzlichen Beitrag von 10 Fr. pro m&lt;sup&gt;2&lt;/sup&gt; Energiebezugsfläche. Der Maximalbetrag beträgt auch hier 2000 Fr.</t>
  </si>
  <si>
    <t>smart-dry.ch: déshumidificateurs efficaces</t>
  </si>
  <si>
    <t>smart-dry est un programme de motivation et de promotion de ProKilowatt et de l’Office fédéral de l’énergie visant à remplacer les anciens déshumidificateurs et les sèche-linge à air ambiant par de nouveaux appareils efficaces.</t>
  </si>
  <si>
    <t>https://www.smart-dry.ch/fr/home.html</t>
  </si>
  <si>
    <t>Machbarkeitsstudien für Wärmenetze</t>
  </si>
  <si>
    <t>&lt;p&gt;Der Kanton unterstützt Gemeinden bei ihren Abklärungen zur Erweiterung oder Neuerstellung von Wärmenetzen.&lt;br /&gt;&lt;br /&gt;&lt;strong&gt;Förderbeitrag:&lt;/strong&gt;&lt;br /&gt;- maximal 50 % der Kosten&lt;/p&gt;</t>
  </si>
  <si>
    <t>https://www.energiepaket-bl.ch/foerdermassnahmen/beratung/gemeinde_beratung</t>
  </si>
  <si>
    <t>Kommunikation rund um das Thema Energieeffizienz und erneuerbare Energie am Gebäude</t>
  </si>
  <si>
    <t>Der Kanton unterstützt Gemeinden finanziell bei der Durchführung von Messen, Ausstellungen oder Veranstaltungen rund um das Thema Energieeffizienz und erneuerbare Energie am Gebäude. Mögliche Formate der Kommunikationsmassnahme sind Messen/Ausstellungen oder Veranstaltungen wie Tage der offenen Tür, Energie-Aperitifs, Energietage oder Erfahrungsaustausch-Seminare.&lt;br /&gt;&lt;br /&gt;&lt;strong&gt;Förderbeitrag:&lt;/strong&gt;&lt;br /&gt;- maximal 50 % der Kosten</t>
  </si>
  <si>
    <t>https://www.energiepaket-bl.ch/foerdermassnahmen/beratung/kommunikation-von-gemeinden</t>
  </si>
  <si>
    <t>Wärmepumpen-System-Modul (WPSM)</t>
  </si>
  <si>
    <t>&lt;p&gt;Gefördert wird das Erlangen eines Zertifikats für  ein Wärmepumpen-System-Modul (WPSM).&lt;br /&gt;&lt;br /&gt;&lt;strong&gt;Förderbeitrag:&lt;/strong&gt;&lt;br /&gt;- 350 Fr. + MWST&lt;/p&gt;</t>
  </si>
  <si>
    <t>https://www.wp-systemmodul.ch/de/</t>
  </si>
  <si>
    <t>Efficience-PME</t>
  </si>
  <si>
    <t>Les PME consommant moins de 100'000 kWh par année (électricité, chaleur et eau) bénéficient d’un conseil gratuit par un Conseiller en énergie. À la clé, un prime pouvant aller jusqu’à 50% de l’investissement en cas de mise en œuvre des mesures d’efficacité énergétique.</t>
  </si>
  <si>
    <t>https://www.esb.ch/de/geschaeftskunden/foerderprogramme/</t>
  </si>
  <si>
    <t>Wärmepumpen-Boiler</t>
  </si>
  <si>
    <t>Bei Ersatz eines Elektro-Boilers durch einen Wärmepumpen-Boiler wird ein einmaliger Investitionsbeitrag von 10% der Investitionskosten, jedoch maximal 500 Fr. pro Wärmepumpen-Boiler bezahlt.</t>
  </si>
  <si>
    <t>Energiespeicher für Photovoltaikanlagen</t>
  </si>
  <si>
    <t>Energiespeicher namentlich Batteriespeicher, die zur Ergänzung der PV-Anlage dienen, werden mit folgenden einmaligen Investitionsbeiträgen gefördert: 2–10 kWh: 200 Fr. pro kWh, grösser 10 kWh: 50 Fr. pro kWh.</t>
  </si>
  <si>
    <t>Blockheizkraftwerke (BHKW), Wärmekopplung (WKK), Brennstoffzellen</t>
  </si>
  <si>
    <t>Die Errichtung von Anlagen, die gleichzeitig Wärme und Strom erzeugen (BHKW, WKK-Anlagen, Brennstoffzellen), werden über den Ökologiefonds gefördert. Voraussetzung ist, dass Wärme und Strom mit erneuerbaren Energiequellen (z.B. Biogas, Holz etc.) erzeugt werden. Pro Anlage bis 20 kW: Grundbetrag 2000 Fr., grösser 20 kW: Grundbetrag von 2000 Fr. plus ein Zusatzbeitrag von 60 Fr. pro kW über 20 kW gewährt.</t>
  </si>
  <si>
    <t>Förderung von intelligenten Steuerungen in der öffentlichen Beleuchtung</t>
  </si>
  <si>
    <t>Ladeinfrastruktur im öffentlichen Raum</t>
  </si>
  <si>
    <t>Das Förderprogramm leistet Beiträge an den Anschluss an ein Wärmenetz für den Ersatz von Gas-, Öl- und Elektroheizungen, sofern der Anschluss als Hauptheizung für die Erzeugung von Raumwärme, Warmwasser und/oder Prozesswärme eingesetzt wird. &lt;br /&gt;Das Förderprogramm leistet ebenfalls einen Beitrag an die Planungskosten zur Erstellung und Erweiterung von thermischen Energienetzen für die Wärmeversorgung von Gebäuden.</t>
  </si>
  <si>
    <t>https://stadtwerk.winterthur.ch/Nachhaltigkeit/Foerdermassnahmen/Foerderprogramm-Energie-Winterthur/Foerderung-Waermenetze</t>
  </si>
  <si>
    <t>Photovoltaik-Anlagen</t>
  </si>
  <si>
    <t>Das Förderprogramm leistet Beiträge an die Erstellung neuer Solarstromanlagen mit einer Leistung kleiner 30 kWp, sofern diese eine Einmalvergütung des Bundes nach Energiegesetz und Energieförderungsverordnung erhalten. Anlagen ab 30 kWp erhalten 50 Prozent des Pronovo-Einmalvergütungsbeitrages für Anlagen mit 30 kWp. &lt;br /&gt;Eine Doppelförderung mit «Maximierung des Ausbaus von Photovoltaik-Anlagen ab 30 kWp» sowie dem Programm «Hohe Einmalvergütung» (HEIV) des Bundes ist ausgeschlossen.</t>
  </si>
  <si>
    <t>https://stadtwerk.winterthur.ch/Nachhaltigkeit/Foerdermassnahmen</t>
  </si>
  <si>
    <t>Thermische Energienetze</t>
  </si>
  <si>
    <t>Das Förderprogramm leistet einen Beitrag an die Planungskosten zur Erstellung und Erweiterung von thermischen Energienetzen für die Wärmeversorgung von Gebäuden.</t>
  </si>
  <si>
    <t>Fernwärmeanschluss (Ersatz Öl-, Gas- oder Elektroheizung)</t>
  </si>
  <si>
    <t>Gefördert werden Anschluss an das Fernwärmenetz oder Reparaturmassnahmen zur Überbrückung bis zum Fernwärmeanschluss.&lt;br /&gt;&lt;br /&gt;Förderbeitrag: &lt;br /&gt;Bis 500 kW: Grundbeitrag 500 Fr., Leistungsbeitrag 180 Fr./kW&lt;br /&gt;Ab 500 kW: Prüfung erfolgt im Einzelfall</t>
  </si>
  <si>
    <t>Sanierungsaktion Fernwärmeanschluss Altstadt</t>
  </si>
  <si>
    <t>https://www.stadtzug.ch/energiefoerderprogramme/3423</t>
  </si>
  <si>
    <t>Sonderaktion für Dämmmassnahmen mit GEAK Plus bis 2027</t>
  </si>
  <si>
    <t>Elektrische und thermische Speichersysteme zur Optimierung der PV-Anlagen</t>
  </si>
  <si>
    <t>Basisinstallationen für eMobilität</t>
  </si>
  <si>
    <t>Zuger Job Abo (ZJA)</t>
  </si>
  <si>
    <t>Car-Sharing- und Pooling-Lösungen</t>
  </si>
  <si>
    <t>Conseil incitatif «chauffez renouvelable»</t>
  </si>
  <si>
    <t>Le conseil incitatif gratuit «chauffage renouvelable» montre aux propriétaires de maisons quelles alternatives renouvelables sont en cause pour le remplacement des systèmes de chauffage au mazout, au gaz et à l'électricité. &lt;br /&gt;Les conseils incitatifs pouvant donner droit à une subvention sont ceux concernant le remplacement d’une installation de production de chaleur, qui a plus de 10 ans, et ce indépendamment de la catégorie de bâtiments et de l’agent énergétique de l’ancien générateur de chaleur. L’installation de production de chaleur doit servir de chauffage principal pour chauffer les locaux (la chaleur de processus est exclue).</t>
  </si>
  <si>
    <t>https://www.chauffezrenouvelable.ch/conseil-incitatif/</t>
  </si>
  <si>
    <t>PEIK-Beratung für KMU</t>
  </si>
  <si>
    <t>Speicher Photovoltaik</t>
  </si>
  <si>
    <t>Fassade, Dach, Wand und Boden gegen Erdreich.</t>
  </si>
  <si>
    <t>https://energiestadt-weggis.ch/foerderprogramme/</t>
  </si>
  <si>
    <t>Geföderdert werden Luft-Wasser- und Sole-Wasser-Wärmepumpen.</t>
  </si>
  <si>
    <t>Anschluss an Fernwärmenetz</t>
  </si>
  <si>
    <t>Automatische Holzfeuerung</t>
  </si>
  <si>
    <t>Sostituzione di un impianto di riscaldamento ad olio, gas o elettrico diretto</t>
  </si>
  <si>
    <t>Filtro antiparticolato</t>
  </si>
  <si>
    <t>Automobili e motocicli elettrici</t>
  </si>
  <si>
    <t>Stazioni di ricarica domestiche per auto elettriche</t>
  </si>
  <si>
    <t>Colonnine elettriche</t>
  </si>
  <si>
    <t>Elaborazione analisi energetiche</t>
  </si>
  <si>
    <t>Impianti tecnici - calore da energie rinnovabili</t>
  </si>
  <si>
    <t>Realizzazione nuove costruzioni Minergie</t>
  </si>
  <si>
    <t>Energieberatung für KMU</t>
  </si>
  <si>
    <t>Stückholzfeuerung, Pelletfeuerung</t>
  </si>
  <si>
    <t>Gefördert wird der Ersatz einer Heizöl-, Erdgas- oder Elektroheizung durch eine Stückholzfeuerung oder Pelletfeuerung mit Tagesbehälter.</t>
  </si>
  <si>
    <t>Mobilitätskonzepte für Unternehmen</t>
  </si>
  <si>
    <t>Energieeffizienz</t>
  </si>
  <si>
    <t>Für spezielle Kampagnen und Aktionen zur Steigerung der Energieeffizienz, der Energieoptimierung oder der CO&lt;sub&gt;2&lt;/sub&gt;-Reduktion stehen maximal pro Jahr 50’000 Fr. zur Verfügung.</t>
  </si>
  <si>
    <t>Energiespeicher</t>
  </si>
  <si>
    <t>- Anlagenkapazität min. 4 kWh elektrisch, kobaltfreies Speichersystem&lt;br /&gt;- Kobaltfreies Speichersystem 600 Fr., maximal 25% der Speicherkosten</t>
  </si>
  <si>
    <t>Organisation von Veranstaltungen</t>
  </si>
  <si>
    <t>Vergünstigung der General- und Halbtaxabonnements</t>
  </si>
  <si>
    <t>https://www.triengen.ch/foederprogramm</t>
  </si>
  <si>
    <t>Sanierungen und den Ersatz von Leuchtmitteln</t>
  </si>
  <si>
    <t>Gesuche aus Hergiswil erhalten zusätzlich zum kantonalen Beitrag 25% der Kosten, max. 750 Fr.</t>
  </si>
  <si>
    <t>https://www.hergiswil.ch/publikationen/145834</t>
  </si>
  <si>
    <t>https://www.woelflinswil.ch/de/esmain/esfoerderungberatung/</t>
  </si>
  <si>
    <t>Risanamento energetico edificio esistente</t>
  </si>
  <si>
    <t>Nuovo edificio certificato Minergie</t>
  </si>
  <si>
    <t>Sostituzione impianto di riscaldamento con pompa di calore</t>
  </si>
  <si>
    <t>Impianto solare fotovoltaico e solare termico</t>
  </si>
  <si>
    <t>Installazione batterie d'accumulo abbinate a impianti fotovoltaici</t>
  </si>
  <si>
    <t>Autoveicolo e motoveicolo elettrico</t>
  </si>
  <si>
    <t>Prese-colonnine di ricarica elettrica domestiche</t>
  </si>
  <si>
    <t>CAD (chauffage à distance)</t>
  </si>
  <si>
    <t>https://matran.ch/service-technique/energie</t>
  </si>
  <si>
    <t>Abonnement MobilityCarSharing</t>
  </si>
  <si>
    <t>Tondeuse à gazon robotisée électrique</t>
  </si>
  <si>
    <t>dépourvue d’un bac de ramassage</t>
  </si>
  <si>
    <t>Batterie di accumulo</t>
  </si>
  <si>
    <t>Abonnement transports publics</t>
  </si>
  <si>
    <t>Pack CECB+</t>
  </si>
  <si>
    <t>Remplacement de chauffages électriques</t>
  </si>
  <si>
    <t>https://www.villeneuve.ch/_rte/publikation/525778</t>
  </si>
  <si>
    <t>Chauffage à distance</t>
  </si>
  <si>
    <t>Eolienne</t>
  </si>
  <si>
    <t>Centrale Hydroélectrique</t>
  </si>
  <si>
    <t>Installation utilisant la biomasse</t>
  </si>
  <si>
    <t>Installation de production de Biogaz</t>
  </si>
  <si>
    <t>Grands consommateurs d'énergie</t>
  </si>
  <si>
    <t>Installation de bornes de recharge</t>
  </si>
  <si>
    <t>Raccordement à un chauffage à distance à base d’énergie renouvelable</t>
  </si>
  <si>
    <t>Étude de faisabilité pour l’installation d’une centrale solaire photovoltaïque</t>
  </si>
  <si>
    <t>Rénovation globale du bâtiment</t>
  </si>
  <si>
    <t>Visite-conseil pour réduire sa consommation d’énergie</t>
  </si>
  <si>
    <t>Remplacement d’appareils électroménagers gourmands en énergie</t>
  </si>
  <si>
    <t>Cours de formation continue pour concierges ou responsables techniques du bâtiment</t>
  </si>
  <si>
    <t>Abonnement «découverte» Publibike, Carvelo2go ou Mobility Car Sharing</t>
  </si>
  <si>
    <t>Umsetzung Betriebsoptimierungsmassnahmen: 20% der Kosten, maximal 10'000 Fr.</t>
  </si>
  <si>
    <t>https://www.ilef.ch/foerderprogrammenergie/46111</t>
  </si>
  <si>
    <t>Hydrogeologische und geologische Abklärungen für energetische Nutzungen</t>
  </si>
  <si>
    <t>Gefördert werden Hydrogeologische und geologische Abklärungen inkl. Probebohrungen für energetische Nutzungen (Erdwärme- und Grundwassernutzungen). Bei Abklärungen für Grundwassernutzungen werden nur Nutzungen ab einer Leistung von mindestens 70 kW gefördert.</t>
  </si>
  <si>
    <t>Gefördert wird eine Ladestation (privat oder öffentlich zugänglich) bei nachgewiesenem Bedarf: 50 % des Kaufpreises, maximal 1500 Fr. pro Anschluss.</t>
  </si>
  <si>
    <t>https://www.ilef.ch/foerderprogrammenergie/46105</t>
  </si>
  <si>
    <t>Remplacement chauffage au bois par chauffage au bois</t>
  </si>
  <si>
    <t>Le remplacement d'un chauffage au bois par un chauffage au bois est encouragé.&lt;strong&gt;&lt;br /&gt;&lt;br /&gt;Contribution financière:&lt;/strong&gt;&lt;br /&gt;- Nouveau chauffage ≤ 30 kW: 3000 fr.&lt;br /&gt;- Nouveau chauffage &lt;span style="font-size: 11.0pt; font-family: 'Calibri',sans-serif; mso-ascii-theme-font: minor-latin; mso-fareast-font-family: Calibri; mso-fareast-theme-font: minor-latin; mso-hansi-theme-font: minor-latin; mso-bidi-font-family: 'Times New Roman'; mso-bidi-theme-font: minor-bidi; mso-ansi-language: DE-CH; mso-fareast-language: EN-US; mso-bidi-language: AR-SA;"&gt;&amp;gt;&lt;/span&gt; 30 kW: 100 fr./kW&lt;br /&gt;- Contribution supplémentaire pour la première installation du système de distribution de chaleur: SRE &amp;lt; 250 m&lt;sup&gt;2&lt;/sup&gt;: 3000 fr. / SRE ≥ 250 m&lt;sup&gt;2&lt;/sup&gt;: 60 fr. par m&lt;sup&gt;2&lt;/sup&gt; SRE</t>
  </si>
  <si>
    <t>https://www.weu.be.ch/fr/start/themen/energie/foerderprogramm-energie/foerderbeitraege-bedingungen/anlagen.html#textimage_780427140__1808300589</t>
  </si>
  <si>
    <t>http://www.la-tour-de-peilz.ch/energie/capteurs-solaires-thermiques.php</t>
  </si>
  <si>
    <t>http://www.la-tour-de-peilz.ch/energie/panneaux-solaires-photovoltaiques.php</t>
  </si>
  <si>
    <t>http://www.la-tour-de-peilz.ch/energie/pompes-a-chaleur.php</t>
  </si>
  <si>
    <t>Raccordement au CAD</t>
  </si>
  <si>
    <t>http://www.la-tour-de-peilz.ch/energie/raccordement-au-cad.php</t>
  </si>
  <si>
    <t>Isolation thermique ponctuelle</t>
  </si>
  <si>
    <t>http://www.la-tour-de-peilz.ch/energie/isolation-thermique-ponctuelle.php</t>
  </si>
  <si>
    <t>Bonus pour rénovation globale</t>
  </si>
  <si>
    <t>http://www.la-tour-de-peilz.ch/energie/bonus-pour-renovation-globale.php</t>
  </si>
  <si>
    <t>Bonus pour standard Minergie</t>
  </si>
  <si>
    <t>http://www.la-tour-de-peilz.ch/energie/bonus-pour-standard-minergie.php</t>
  </si>
  <si>
    <t>Suivi et stratégie d'assainissement énergétique</t>
  </si>
  <si>
    <t>http://www.la-tour-de-peilz.ch/energie/suivi-et-strategie-d-assainissement-energetique.php</t>
  </si>
  <si>
    <t>Transport en commun</t>
  </si>
  <si>
    <t>http://www.la-tour-de-peilz.ch/energie/transport-en-commun.php</t>
  </si>
  <si>
    <t>Mobilité douce</t>
  </si>
  <si>
    <t>Achat vélo mécanique, électrique, Scooter électrique, Révision du vélo</t>
  </si>
  <si>
    <t>http://www.la-tour-de-peilz.ch/energie/velo-scooter-moto.php?id_form=16</t>
  </si>
  <si>
    <t>Consulenza energetica profondita sugli stabili esistenti</t>
  </si>
  <si>
    <t>Sostituzione riscaldamento</t>
  </si>
  <si>
    <t>Sostituzione di un impianto di riscaldamento ad olio combustibile, gas, elettrico diretto o pompe di calore installate prima del 2000</t>
  </si>
  <si>
    <t>Sistema di recupero dell’acqua piovana</t>
  </si>
  <si>
    <t>Inverdimento dei tetti</t>
  </si>
  <si>
    <t>Gasatori di acqua potabile</t>
  </si>
  <si>
    <t>Förderberechtigt sind Luft/Wasser-, Sole/Wasser- und Wasser/Wasser-Wärmepumpen, die Aussenluft oder Umweltwärme aus dem Untergrund, Grundwasser, Seewasser, Wärme aus Eisspeicher etc. nutzen.</t>
  </si>
  <si>
    <t>https://www.sursee.ch/energiestadt/65422</t>
  </si>
  <si>
    <t>Förderberechtigt sind Neuanlagen von Holzfeuerungen welche mit naturbelassenem Holz befeuert werden (Holzpellets gelten als naturbelassen).</t>
  </si>
  <si>
    <t>Förderberechtigt ist der Anschluss an ein Wärmenetz, wenn die gelieferte Wärme hauptsächlich aus erneuerbarer Energie oder Abwärme stammt.</t>
  </si>
  <si>
    <t>https://www.saviese.ch/fr/reglements-communaux-bourgeoisiaux-128.html</t>
  </si>
  <si>
    <t>Isolation thermique du bâtiment</t>
  </si>
  <si>
    <t>CECB plus</t>
  </si>
  <si>
    <t>https://www.fully.ch/fr/Vivre-a-Fully/Services-municipaux/Services-Industriels/</t>
  </si>
  <si>
    <t>Achat vélo / scooter électrique</t>
  </si>
  <si>
    <t>Solaire photovoltaique</t>
  </si>
  <si>
    <t>Subvention pour formation énergie ou écodrive</t>
  </si>
  <si>
    <t>Förderung von stationären Batteriespeichern in Verbindung mit neuen oder bestehenden Photovoltaikanlagen</t>
  </si>
  <si>
    <t>http://www.neftenbach.ch/de/energiestadt/foerderbeitraege/</t>
  </si>
  <si>
    <t>Förderung von Stückholz- oder automatischen Holzheizungen als Hauptheizung (min. 75%) in bestehenden Gebäuden, als Ersatz einer Holz-, Heizöl-, Erdgas- oder Elektroheizung.</t>
  </si>
  <si>
    <t>Öffentliche Baselbieter Energieberatung:  061 415 45 47, www.primeo-energie.ch, energieberatung@primeo-energie.ch</t>
  </si>
  <si>
    <t>Unterstütz werden Kollektoranlagen ab 3 m&lt;sup&gt;2 &lt;/sup&gt;mit maximal 20% an die Planungs- und Installationskosten bis max. 15'000.- Fr. pro Anlage.</t>
  </si>
  <si>
    <t>https://www.meyrin.ch/fr/fonds_energie_climat_biodiversite</t>
  </si>
  <si>
    <t>Ventilation dans les habitations avec récupération de chaleur</t>
  </si>
  <si>
    <t>Audit PEIK PME</t>
  </si>
  <si>
    <t>Rénovation de l’enveloppe thermique</t>
  </si>
  <si>
    <t>Construction neuve exemplaire</t>
  </si>
  <si>
    <t>Cours de formation continue pour concierges ou responsables&lt;br /&gt;techniques du bâtiment</t>
  </si>
  <si>
    <t>Biodiversité</t>
  </si>
  <si>
    <t>Réparation des appareils électroménagers</t>
  </si>
  <si>
    <t>https://www.yverdon-energies.ch/equiwatt/reparation-des-appareils-electromenagers/</t>
  </si>
  <si>
    <t>Raccordement à un chauffage à distance</t>
  </si>
  <si>
    <t>https://www.yverdon-energies.ch/equiwatt/raccordement-a-un-chauffage-a-distance/</t>
  </si>
  <si>
    <t>https://www.sennwald.ch/de/verwaltung/aemter/welcome.php?amt_id=11421</t>
  </si>
  <si>
    <t>Kostenloste Energieberatung für Hauseigentümer und Hauseigentümerinnen. Die Beratung findet vor Ort statt und dauert bei einem Einfamilienhaus ca. 1 bis maximal 2 Stunden.</t>
  </si>
  <si>
    <t>https://www.regensdorf.ch/kostenloseenergieberatung</t>
  </si>
  <si>
    <t>https://www.lupsingen.ch/verwaltung/dienstleistungen.html/36/egov_service/369</t>
  </si>
  <si>
    <t>Stückholz-, Pellets- und Erdsondenheizung</t>
  </si>
  <si>
    <t>Ersatz- und Neuanlagen</t>
  </si>
  <si>
    <t>Einzelbauteile oder Gesamtsanierung</t>
  </si>
  <si>
    <t>Brauchwarmwasser und Heizungsunterstützung</t>
  </si>
  <si>
    <t>Ladestation</t>
  </si>
  <si>
    <t>Gefördert werden solaroptimierte Ladestationen.</t>
  </si>
  <si>
    <t>Gefördert wird die Erstinstallation einer Solarstrombatterie zur Speicherung des selbst erzeugten Solarstroms. &lt;br /&gt;Die Solarstrombatterie muss mindestens 3 kWh Speicherkapazität aufweisen.</t>
  </si>
  <si>
    <t>Indach-Photovoltaikanlage</t>
  </si>
  <si>
    <t>Förderung einer Beratung zur aktiven Solarenergienutzung (thermische oder elektrische Solaranlagen). Die Beratung erfolgt ausschliesslich durch den Verein Energie AR/AI.&lt;br /&gt;&lt;br /&gt;&lt;strong&gt;Förderbeitrag: &lt;/strong&gt;&lt;br /&gt;- 100 Fr.&lt;br /&gt;&lt;span style="font-size: 10.0pt; font-family: 'Arial',sans-serif; mso-fareast-font-family: Calibri; mso-fareast-theme-font: minor-latin; mso-ansi-language: DE-CH; mso-fareast-language: EN-US; mso-bidi-language: AR-SA;"&gt;&lt;br /&gt;&lt;br /&gt;&lt;/span&gt;</t>
  </si>
  <si>
    <t>https://energie-ar-ai.ch/cms/index.php/angebot/beratung-solarenergie-ar</t>
  </si>
  <si>
    <t>Accompagnement des maîtres d’ouvrage (AMO)</t>
  </si>
  <si>
    <t>L’AMO soutient le MO dans la définition du projet de rénovation, le choix et la coordination des intervenants, la planification ainsi que dans les démarches administratives liées au mesures énergétiques.&lt;br /&gt;&lt;br /&gt;&lt;strong&gt;Contribution financière:&lt;/strong&gt;&lt;br /&gt;- Habitation individuelle : 4000 fr.&lt;br /&gt;- Autres catégories : 8000 fr.&lt;br /&gt;- Bâtiments communaux : 12 000 fr.</t>
  </si>
  <si>
    <t>https://www.vd.ch/prestation/27-2023-demander-une-subvention-pour-laccompagnement-des-maitres-douvrage-amo</t>
  </si>
  <si>
    <t>Gefördert wir die Erstellung des Gebäudeenergieausweis GEAK Plus mit 400 Fr. (Ein- und Zweifamilienhäuser) bzw. 550 Fr. (Mehrfamilienhäuser etc.).</t>
  </si>
  <si>
    <t>https://www.ebikon.ch/topics/planung-bau/ortsentwicklung/umwelt-energie/energie/geakplus</t>
  </si>
  <si>
    <t>Un financement est disponible pour l'établissement d'un CECB Plus.&lt;br /&gt;&lt;br /&gt;&lt;strong&gt;Contribution financière:&lt;/strong&gt;&lt;br /&gt;- Habitat individuel: 1000 fr.&lt;br /&gt;- Autres catégories de bâtiments: 1500 fr.</t>
  </si>
  <si>
    <t xml:space="preserve">&lt;p class="MsoPlainText"&gt;Remplacement des chauffages fossiles&lt;/p&gt;_x000D_
</t>
  </si>
  <si>
    <t>Lors du remplacement d'un chauffage fossile, une subvention de 1000 fr. est octroyée sous réserve des limites budgétaires.</t>
  </si>
  <si>
    <t>https://www.morlon.ch/index.php?idm=9_53&amp;page=Aides_communales</t>
  </si>
  <si>
    <t>Lors de la pose d'une borne de recharge, la commune octroie une subvention de 20% (max. 700 fr.) sur présentation de la facture.</t>
  </si>
  <si>
    <t>Robot tondeuse</t>
  </si>
  <si>
    <t>Lors de l'achat d'un robot tondeuse, la commune octroie une subvention de 20% (max.700 fr.) sur présentation de la facture.</t>
  </si>
  <si>
    <t>Etude Remplacement du système de chauffage</t>
  </si>
  <si>
    <t>Raccordement au Chauffage à distance</t>
  </si>
  <si>
    <t>Abonnement CFF</t>
  </si>
  <si>
    <t>Coaching Empreinte carbone</t>
  </si>
  <si>
    <t>Feinstaubfilter für Holzheizungen</t>
  </si>
  <si>
    <t>Automatische Holzfeuerungen über 70 kW</t>
  </si>
  <si>
    <t>Der Kanton St. Gallen fördert automatische betriebene Holzfeuerungen mit mehr als 70 kW Feuerungswärmeleistung, wenn sie eine Heizöl, Erdgas- oder Elektroheizung ersetzen. Gefördert wird sowohl die Erstinstallation wie auch die Sanierung von Holzfeurungen.&lt;br /&gt;&lt;br /&gt;&lt;strong&gt;Förderbeitrag&lt;/strong&gt;&lt;br /&gt;- thermische Leistung 70 bis 500 kW: 360 Fr. pro kW&lt;sub&gt;th&lt;/sub&gt;&lt;br /&gt;- thermische Leistung ab 500 kW: 80 000 Fr. + 200 Fr. pro kW&lt;sub&gt;th&lt;/sub&gt;&lt;br /&gt;&lt;br /&gt;Hinweis Umsetzungsanreiz: Bis Ende 2026 erhöht sich der Förderbeitrag um 30 %.</t>
  </si>
  <si>
    <t>https://www.energieagentur-sg.ch/holzfeuerungen</t>
  </si>
  <si>
    <t>Borne Smotion</t>
  </si>
  <si>
    <t>Installez une borne Smotion et bénéficiez de maximum 700 fr.</t>
  </si>
  <si>
    <t>Beratung E-Auto Ladelösungen</t>
  </si>
  <si>
    <t>Die Gemeinde leistet ergänzend zum Kanton Luzern folgende Förderbeiträge an einen Anschluss an einen Wärmeverbund: 100 Franken pro kW Anschlussleistung. Der Maximalbeitrag beträgt 5000 Franken.</t>
  </si>
  <si>
    <t>Die Gemeinde Horw unterstützt ergänzend zum Kanton Luzern den Einbau einer Wärmepumpe.&lt;br /&gt;Luft/Wasser: 500 Fr. + 100 Fr./kW Anschlussleistung&lt;br /&gt;Sole/Wasser (Erdwärmesonden): 1'000 Fr. + 100 Fr./kW Anschlussleistung.&lt;br /&gt;Der Förderbeitrag wird auf maximal 30 Wth Anschlussleistung pro m&lt;sup&gt;2&lt;/sup&gt; EBF bemessen. Der maximale Förderbeitrag beträgt 5'000 Fr.</t>
  </si>
  <si>
    <t>Heizungs-Check</t>
  </si>
  <si>
    <t>Die Gemeinde übernimmt 300 Fr. der Gesamtkosten von 400 Fr.</t>
  </si>
  <si>
    <t>In einer Energieberatung erhalten Sie individuelle und neutrale Auskunft zu unterschiedlichen Energiethemen, wie die Nutzung von erneuerbaren Energien, Heizungssanierung, Subventionen und gesetzliche Vorgaben.</t>
  </si>
  <si>
    <t>https://www.lyss.ch/de/aktuelles/dossiers/Energiestadt/Energiestadt.php#anchor_1f899761_Accordion-Foerderprogramm-Energiestadt</t>
  </si>
  <si>
    <t>Beitragsberechtigt sind Eigentümer von Gebäuden mit Baujahr vor 2012.</t>
  </si>
  <si>
    <t>Machbarkeitsstudie Nahwärmeverung</t>
  </si>
  <si>
    <t>Gefördert werden Machbarkeitsstudien, die zum Ziel haben, drei und mehr Gebäude gemeinsam mit erneuerbarer Energie zu erwärmen.</t>
  </si>
  <si>
    <t>- Beitragsberechtigt sind bestehende Bauten, die älter als 2 Jahre sind&lt;br /&gt;- Der Wärmeverbund muss drei oder mehr Gebäude umfassen.&lt;br /&gt;- Der Wärmeverbund liefert jährlich einen Anteil von mind. 80 % an erneuerbaren Energien oder Abwärme.&lt;br /&gt;- Es werden nur Anschlüsse mit zeitlich unmittelbarem Wärmebezug gefördert, keine kalten Anschlüsse. &lt;br /&gt;- Keine Doppelförderung: mit einem Gesuch «Gebäude» kann nicht gleichzeitig ein Gesuch «Anlagen» für denselben Standort eingereicht&lt;br /&gt;werden.</t>
  </si>
  <si>
    <t>Die Gemeinde Lyss fördert die Installation von Solaranlagen und unterstützt in diesem Zusammenhang die Einrichtung von thermischen Solaranlagen auf bestehenden Gebäuden.</t>
  </si>
  <si>
    <t>Die Gemeinde Lyss unterstützt die Installation von kleineren Photovoltaikanlagen auf bereits bestehenden Gebäuden.</t>
  </si>
  <si>
    <t>Die Gemeinde Lyss unterstützt Batteriespeicher, die in Kombination mit erneuerbaren Energien betrieben werden.</t>
  </si>
  <si>
    <t>Gefördert wird ergänzend 25 % des Förderbeitrags des Kantons Bern, max. 5000 Franken</t>
  </si>
  <si>
    <t>https://www.murisolar.ch/pv-anlage</t>
  </si>
  <si>
    <t>https://www.murisolar.ch/thermische-anlage</t>
  </si>
  <si>
    <t>Die Gemeinde Lindau unterstützt Liegenschaftenbesitzerinnen und -besitzer in den Jahren 2021 bis 2025 finanziell.</t>
  </si>
  <si>
    <t>https://www.lindau.ch/foerderbeitraege</t>
  </si>
  <si>
    <t>https://le-mouret.ch/environnement-constructions/dechets/energie</t>
  </si>
  <si>
    <t>Programme d’appui à l’amélioration de l'efficacité énergétique des véhicules et des transports</t>
  </si>
  <si>
    <t>Le programme d’appui à l’amélioration de l'efficacité énergétique des véhicules et des transportsencourage le transfert du trafic de marchandises de la route vers le rail. La promotion comprend une contribution annuelle de fr. 130 par tonne de CO&lt;sub&gt;2&lt;/sub&gt; réduite jusqu'en 2030.&lt;br /&gt;&lt;br /&gt;Un programme de ProKilowatt.</t>
  </si>
  <si>
    <t>https://enaw.ch/fr/angebot/programme-transport</t>
  </si>
  <si>
    <t>Programme de subvention pour les trolleybus électriques et hybrides en Suisse</t>
  </si>
  <si>
    <t>Lors de l'achat d'un véhicule, votre entreprise de bus reçoit une contribution d'encouragement pouvant aller jusqu'à 140'000 fr. sur 7 ans pour l'acquisition d'un bus électronique.</t>
  </si>
  <si>
    <t>https://www.myclimate.org/fr/sinformer/projets-de-protection-climatique/detail-des-projets-de-protection-du-climat/suisse-efficience-energetique-7813-1/</t>
  </si>
  <si>
    <t>Installations de biogaz agricole</t>
  </si>
  <si>
    <t>"Ökostrom Schweiz" gère le programme de protection climatique pour les installations de biogaz agricoles, qui est soutenu par la fondation KliK. Toutes les installations de biogaz agricole en cours de planification et construites en Suisse peuvent participer à ce programme de protection du climat.&lt;br /&gt;Important : l'inscription au programme doit être effectuée avant la signature du contrat d'achat de l'installation de biogaz.</t>
  </si>
  <si>
    <t>https://oekostromschweiz.ch/fr/translate-to-franzoesisch-news/translate-to-franzoesisch-detail/le-nouveau-systeme-de-soutien-en-un-coup-doeil</t>
  </si>
  <si>
    <t>Engins de chantier électriques</t>
  </si>
  <si>
    <t>Le programme encourage l'achat de pelles, chargeuses et dumpers à batterie électrique ainsi que de pelles à câble en Suisse. Il s'adresse aux entreprises de construction et aux loueurs de véhicules de chantier. Sont éligibles les pelles sur chenilles et sur roues, les chargeuses sur pneus et sur chenilles ainsi que les tombereaux sur roues et sur chenilles (max. 40 t). &lt;br /&gt;&lt;br /&gt;La promotion comprend une contribution annuelle à l'exploitation (200 Fr. par tonne de CO₂ réduite).&lt;br /&gt;&lt;br /&gt;Pour les nouveaux projets, seuls les véhicules mis en service avant le 31 décembre 2025 peuvent bénéficier d'une aide. Les nouvelles immatriculations de véhicules dans le cadre de projets existants restent possibles.</t>
  </si>
  <si>
    <t>https://www.klik.ch/fr/suisse/transports/engins-chantier-electriques/</t>
  </si>
  <si>
    <t>Chargeurs agricoles électriques</t>
  </si>
  <si>
    <t>Le Programme pour chargeurs agricoles électriques soutient l’utilisation de chargeurs agricoles à batterie électrique en Suisse. Il s’adresse aux exploitations agricoles qui souhaitent acheter des chargeurs à batterie électrique.&lt;br /&gt;&lt;br /&gt;Pour les nouveaux projets, seuls les véhicules mis en service avant le 31 décembre 2025 peuvent encore bénéficier d'une subvention. Les nouvelles immatriculations de véhicules dans le cadre de projets existants restent possibles. La subvention comprend une contribution annuelle à l'exploitation (200 francs par tonne de CO₂ réduite).</t>
  </si>
  <si>
    <t>https://www.klik.ch/fr/suisse/agriculture/chargeur-agricole-electrique/</t>
  </si>
  <si>
    <t>https://www.worb.ch/de/energie-umwelt/energie/energieberatung/</t>
  </si>
  <si>
    <t>https://www.worb.ch/de/energie-umwelt/energie/foerderprogramme/</t>
  </si>
  <si>
    <t>Effizienzprogramme für KMUs</t>
  </si>
  <si>
    <t>Energetische Sanierung Baudenkmäler</t>
  </si>
  <si>
    <t>https://www.worb.ch/de/energie-umwelt/energie/foerderprogramme/index.php</t>
  </si>
  <si>
    <t>Energetische Sanierung Altbauten</t>
  </si>
  <si>
    <t>Programme de subvention pour un chauffage de serre respectueux du climat</t>
  </si>
  <si>
    <t>Le programme d'encouragement myclimate offre des subventions lors du remplacement du chauffage fossile des serres. La promotion s'applique aux pompes à chaleur, aux chauffages au bois (incl. pyrolyse) ou au raccordement à un réseau de chaleur des technologies mentionnées. Les subventions s'élèvent à 115 fr. par tonne de CO&lt;sub&gt;2&lt;/sub&gt; réduite. On peut par conséquent s'attendre à un revenu annuel moyen de 30'000 fr.par hectare jusqu'à fin 2030. L'inscription doit être déposée avant la décision d'investissement et au plus tard le 31 juillet 2027.</t>
  </si>
  <si>
    <t>https://www.myclimate.org/fr/sinformer/projets-de-protection-climatique/detail-des-projets-de-protection-du-climat/suisse-biomasse-7826/</t>
  </si>
  <si>
    <t>Protections solaires</t>
  </si>
  <si>
    <t>CHF 80.-/m&lt;sup&gt;2&lt;/sup&gt; d'ouverture&lt;br /&gt;Max. CHF 4'000.- par requérant-e</t>
  </si>
  <si>
    <t>https://www.monthey.ch/N9049/programme-de-subventions-energies-et-durabilite.html</t>
  </si>
  <si>
    <t>https://www.voenergies.ch/fondation-actif</t>
  </si>
  <si>
    <t>Borne de recharge véhicule électrique</t>
  </si>
  <si>
    <t>Création RCP</t>
  </si>
  <si>
    <t>Nouvelle distribution de chaleur remplaçant une énergie non renouvelable</t>
  </si>
  <si>
    <t>Gebäudehüllensanierung mit GEAK Plus</t>
  </si>
  <si>
    <t>Als Ergänzung zum Kanton fördert die Stadt Zürich die Gebäudehüllensanierung mit GEAK Plus.</t>
  </si>
  <si>
    <t>https://www.stadt-zuerich.ch/de/umwelt-und-energie/energie/foerdergelder.html#gebaeudesanierung</t>
  </si>
  <si>
    <t>Sanierung von Fenstern und Fassaden an inventarisierten oder geschützten Gebäuden</t>
  </si>
  <si>
    <t>Da bei Inventar- und Schutzobjekten die energetische Sanierung anspruchsvoll ist, wird sie von der Stadt Zürich speziell unterstützt.</t>
  </si>
  <si>
    <t>Anschlüsse an temporäre Heizzentralen</t>
  </si>
  <si>
    <t>Der Ersatz einer bestehenden fossil betriebenen Heizung oder Elektroheizung durch den Anschluss an eine temporäre Heizzentrale mittels Übergabestation wird gefördert.&lt;br /&gt;&lt;br /&gt;&lt;a href="https://www.stadt-zuerich.ch/portal/de/index/politik_u_recht/amtliche_sammlung/inhaltsverzeichnis/7/732/361-ausfuehrungsbestimmungen-zur-verordnung-ueber-gemeinwirtscha.html" target="_blank" rel="noopener"&gt;Bestimmungen&lt;/a&gt;</t>
  </si>
  <si>
    <t>https://www.stadt-zuerich.ch/energie/de/index/foerderung/alle-foerderprogramme/energieverbunde.html</t>
  </si>
  <si>
    <t>Effectuez un CECB Plus pour votre bâtiment et bénéficiez de 400 fr.</t>
  </si>
  <si>
    <t>https://sim.moutier.ch/sim/SIM/Subventions.html</t>
  </si>
  <si>
    <t>Installez des capteurs solaires thermiques et bénéficiez de 500 fr.</t>
  </si>
  <si>
    <t>Installez des capteurs solaires photovoltaïques sous forme de tuiles intégrées et bénéficiez de 3000 fr.</t>
  </si>
  <si>
    <t>Chauffage électrique</t>
  </si>
  <si>
    <t>Remplacez votre chauffage électrique et bénéficiez de 3000 fr.</t>
  </si>
  <si>
    <t>Borne de recharge Smotion</t>
  </si>
  <si>
    <t>Installez une borne de recharge Smotion et bénéficiez jusqu'à un maximum de 4'000 fr.</t>
  </si>
  <si>
    <t>Remplacez votre lave-linge, lave-vaisselle, réfrigérateur ou congélateur et bénéficiez d'une subvention jusqu'à 300 fr.</t>
  </si>
  <si>
    <t>Etude d'efficacité énergétique</t>
  </si>
  <si>
    <t>Réalisez une étude d'efficacité énergétique dans votre entreprise et bénéficiez d'une subvention jusqu'à 4'000 fr.</t>
  </si>
  <si>
    <t>Thermographie</t>
  </si>
  <si>
    <t>Faites réaliser une thermographie de votre bâtiment et bénéficiez de 100 fr.</t>
  </si>
  <si>
    <t>https://sed.develier.ch/sed/SED/Subventions/Nos-programmes.html</t>
  </si>
  <si>
    <t>CECB et CECB Plus</t>
  </si>
  <si>
    <t>Effectuez un CECB pour votre bâtiment et bénéficiez de maximum 400 fr.</t>
  </si>
  <si>
    <t>Pompes de circulation</t>
  </si>
  <si>
    <t>Remplacez votre pompe de circulation d’eau chaude par des modèles plus efficients (classe énergétique A ou mieux) et bénéficiez de 200 fr.</t>
  </si>
  <si>
    <t>Installez des capteurs solaires thermiques et bénéficiez de maximum 2'500 fr.</t>
  </si>
  <si>
    <t>Pompes à chaleur ou bois-énergie</t>
  </si>
  <si>
    <t>Remplacez votre chauffage électrique par une pompe à chaleur ou un chauffage bois-énergie et bénéficiez de 1'500 fr.</t>
  </si>
  <si>
    <t>Remplacez votre chauffe-eau électrique et bénéficiez de maximum 1'000 fr.</t>
  </si>
  <si>
    <t>Assainissement Minergie</t>
  </si>
  <si>
    <t>Assainissez votre bâtiment aux normes Minergie et bénéficiez de 2'000 fr.</t>
  </si>
  <si>
    <t>Fenêtres</t>
  </si>
  <si>
    <t>Remplacez vos fenêtres et bénéficiez de 40 fr. par m²</t>
  </si>
  <si>
    <t>Toiture</t>
  </si>
  <si>
    <t>Isolez votre toiture et bénéficiez de 20 fr. par m²</t>
  </si>
  <si>
    <t>Façades</t>
  </si>
  <si>
    <t>Isolez vos façades et bénéficiez de 20 fr. par m²</t>
  </si>
  <si>
    <t>Bornes de recharge Smotion</t>
  </si>
  <si>
    <t>Installez une borne Smotion et bénéficiez d'une subvention</t>
  </si>
  <si>
    <t>Remplacez votre lave-linge, lave-vaisselle, réfrigérateur ou congélateur et bénéficiez d'une subvention jusqu'à 250 fr.</t>
  </si>
  <si>
    <t>Die Plattform Energiestadt Burgdorf fördert den GEAK Plus ergänzend zur kantonalen Förderung mit zusätzlichen 500.- Fr.</t>
  </si>
  <si>
    <t>https://www.plattform-energiestadt.ch/fuer-hauseigentuemer</t>
  </si>
  <si>
    <t>energo - Energiesparen für Unternehmen</t>
  </si>
  <si>
    <t>Der Kanton Bern unterstützt Betriebsoptimierungen mit "energo" mit bis zu 3000.- Fr. &lt;br /&gt;Die Plattform Energiestadt Burgdorf leistet einen zusätzlichen Beitrag von 1000.- Fr., wenn sich ein Unternehmen für eine Betriebsoptimierung "energo Advanced" anmeldet.</t>
  </si>
  <si>
    <t>https://www.plattform-energiestadt.ch/fuer-kmus</t>
  </si>
  <si>
    <t>https://www.lancy.ch/prestations/programme-bonus-energie</t>
  </si>
  <si>
    <t>Rénovation Minergie + Minergie-P</t>
  </si>
  <si>
    <t>Rénovation variante MoPEC</t>
  </si>
  <si>
    <t>Raccordement à un réseau de chauffage</t>
  </si>
  <si>
    <t>Installation photovoltaïque</t>
  </si>
  <si>
    <t>Mon projet exemplaire</t>
  </si>
  <si>
    <t>Votre entreprise, PPE ou association souhaite mettre en œuvre un projet exemplaire en matière d'énergie et/ou climat? Nous pouvons vous soutenir.&lt;br /&gt;&lt;br /&gt;&lt;strong&gt;Contribution financière&lt;/strong&gt;&lt;br /&gt;- 25 % du coût du projet, max. 10 000 fr.</t>
  </si>
  <si>
    <t>Die Stadt Aarau bezahlt zusätzlich 50% der Förderbeiträge des Kantons. Maximal 30'000 Fr. pro Gebäude.</t>
  </si>
  <si>
    <t>Ersatz von Heizöl-, Erdgas- und Elektroheizungen durch Wärmepumpe</t>
  </si>
  <si>
    <t>Gefördert werden Sole/Wasser-, Wasser/Wasser- und Luft/Wasser-Wärmepumpen.&lt;br /&gt;Förderbeiträge:&lt;br /&gt;Bis 500 kW Nennheizleistung der Sole/Wasser- und Wasser/Wasser-Wärmepumpe: Grundbeitrag 2000 Fr., Leistungsbeitrag 60 Fr. / kW&lt;br /&gt;Ab 500 kW Nennheizleistung der Sole/Wasser- und Wasser/Wasser-Wärmepumpe: werden im Einzelfall geprüft.&lt;br /&gt;&lt;br /&gt;Bis 50 kW Nennheizleistung der Luft/Wasser-Wärmepumpe: Grundbeitrag 2000 Fr., Leistungsbeitrag 30 Fr. / kW&lt;br /&gt;Ab 50 KW Nennheizleistung der Luft/Wasser-Wärmepumpe: werden im Einzelfall geprüft.</t>
  </si>
  <si>
    <t>Ersatz von Heizöl-, Erdgas- und Elektroheizungen durch Pelletfeuerung</t>
  </si>
  <si>
    <t>Gefördert werden Pelletfeuerung mit Tagesbehälter und automatische Pelletfeuerungen. &lt;br /&gt;Förderbeiträge:&lt;br /&gt;Pelletfeuerung mit Tagesbehälter: 2000 Fr. / Anlage&lt;br /&gt;Automatische Pelletfeuerung bis 70 kW Heizleistung: Grundbeitrag 2000 Fr., Leistungsbeitrag 30 Fr. / kW&lt;br /&gt;Automatische Pelletfeuerung ab 70 kW Heizleistung: werden im Einzelfall geprüft.</t>
  </si>
  <si>
    <t>Ersatz von Heizöl-, Erdgas- und Elektroheizungen durch alternative Wärmelösungen</t>
  </si>
  <si>
    <t>Alternative Lösungen für die Erzeugung von Wärme und/oder Energie aus erneuerbaren Quellen (auch bei Installation in Neubauten). &lt;br /&gt;Förderbeiträge:&lt;br /&gt;Bis 500 kW Nennheizleistung: Grundbeitrag: 5000 Fr., Leistungsbeitrag: 60 Fr./kW&lt;br /&gt;Ab 500 kW Nennheizleistung: Werden im Einzelfall geprüft</t>
  </si>
  <si>
    <t>Planungskosten für Konzept Elektroheizungsersatz</t>
  </si>
  <si>
    <t>Förderbeiträge: 1/3 der Erstellungskosten des Planungskonzeptes, maximal 2500 Fr.</t>
  </si>
  <si>
    <t>https://www.bex.ch/subventions</t>
  </si>
  <si>
    <t>Batterie de stockage ou borne de recharge électrique pour véhicule électrique</t>
  </si>
  <si>
    <t>Achat de véhicules électriques</t>
  </si>
  <si>
    <t>Amélioration thermique de l'enveloppe des bâtiments</t>
  </si>
  <si>
    <t>Achat d'un abonnement demi-tarif ou de transport public</t>
  </si>
  <si>
    <t>Das Fördergesuch ist erst nach Fertigstellung der Beratung zu stellen, entschädigt werden maximal 50 % der Kosten. Die Energieberatung hat durch einen akkreditierten Energieberater zu erfolgen.&lt;br /&gt;&lt;br /&gt;&lt;strong&gt;Förderbeitrag:&lt;/strong&gt;&lt;br /&gt;- Betriebsoptimierung Heizung 300 Fr.&lt;br /&gt;- Beratung Solarenergie 600 Fr.&lt;br /&gt;- Gebäudeenergieausweis mit Beratungsbericht GEAK Plus 1'500 Fr.&lt;br /&gt;- Gebäudeanalyse mit Vorgehensempfehlung gemäss Pflichtenheft BFE 1'500 Fr.</t>
  </si>
  <si>
    <t>Gebäudeanalyse mit Vorgehensempfehlung gemäss Pflichtenheft BFE. Gilt für Gebäudekategorien, die nicht im GEAK abgebildet werden können.&lt;br /&gt;&lt;br /&gt;&lt;strong&gt;Förderbeitrag:&lt;/strong&gt;&lt;br /&gt;- 1500 Fr.</t>
  </si>
  <si>
    <t>Basis-Ladeinfrastruktur E-Mobilität</t>
  </si>
  <si>
    <t>Gefördert wird die Basis-Ladeinfrastruktur für E-Mobilität in bestehenden, nicht öffentlichen Mehrparteiengebäuden mit mindestens drei Wohneinheiten.&lt;br /&gt;&lt;br /&gt;&lt;strong&gt;Förderbeitrag:&lt;/strong&gt;&lt;br /&gt;- pro erschlossenem Parkplatz nach Ausbaustufe C1 (Merkblatt SIA 2060): 400 Fr.</t>
  </si>
  <si>
    <t>https://www.brione.ch/Biciclette-elettriche-03fefa00</t>
  </si>
  <si>
    <t>Wärmekraftkopplungsanlagen</t>
  </si>
  <si>
    <t>Förderung von Wärmekraftkopplungsanlagen, welche erneuerbare Energieträger (z.B. Holz, Biogas) nutzen.&lt;br /&gt;&lt;br /&gt;&lt;strong&gt;Förderbeitrag:&lt;/strong&gt;&lt;br /&gt;- 500 Fr. pro kW elektrische Leistung</t>
  </si>
  <si>
    <t>Förderung von Projekten, die erneuerbare Energien nutzen oder die Energieeffizienz steigern. Beispiele: Umstellung auf erneuerbare Energieträger in Gewächshäusern, Agri-Photovoltaik, Kundenparkplätze mit Solardach.&lt;br /&gt;&lt;br /&gt;&lt;strong&gt;Förderbeitrag:&lt;/strong&gt;&lt;br /&gt;- individuelle Beurteilung, max. 25 % der Gesamtkosten</t>
  </si>
  <si>
    <t>ProEDA: Installations d'air comprimé à haute efficacité énergétique</t>
  </si>
  <si>
    <t>Le programme soutient par des mesures d'encouragement les rénovations et les optimisations d'installations d'air comprimé dans le domaine des compresseurs, des commandes, des sécheurs et des optimisations de réseau ainsi que des systèmes à basse pression et à vide.&lt;br /&gt;&lt;br /&gt;ProEDA est un programme de ProKilowatt.</t>
  </si>
  <si>
    <t>https://proeda.enerprice.ch/home-fr/</t>
  </si>
  <si>
    <t>Neubauten Minergie-ECO oder minimierte Treibhausgasemissionen in der Erstellung</t>
  </si>
  <si>
    <t>Der Kanton Luzern fördert mit Minergie-Neubauten mit Zusatz ECO oder Neubauten, welche 90 % des Minergie-Grenzwerts THGE erreichen. Förderberechtigt sind Neubauten mit Baubewilligungsjahr 2023.&lt;br /&gt;&lt;br /&gt;&lt;strong&gt;Förderbeiträge:&lt;/strong&gt;&lt;br /&gt;&lt;br /&gt;Minergie-/-P/-A-ECO Zertifizierungen: Basisbeitrag 3000 Fr. pro Gebäude&lt;br /&gt;- Zusatzbeitrag EFH: Einhaltung Grenzwert 1 THGE 30 Fr./m&lt;sup&gt;2&lt;/sup&gt; EBF; Einhaltung Grenzwert 2 THGE 20 Fr./m&lt;sup&gt;2&lt;/sup&gt; EBF; Maximalbeitrag 30 000 Fr.&lt;br /&gt;- Zusatzbeitrag sonstige Gebäudekategorien: Einhaltung Grenzwert 1 THGE 20 Fr./m&lt;sup&gt;2&lt;/sup&gt; EBF; Einhaltung Grenzwert 2 THGE 10 Fr./m&lt;sup&gt;2&lt;/sup&gt; EBF; Maximalbeitrag 60 000 Fr..&lt;br /&gt;&lt;br /&gt;Einhaltung 90% des Minergie-Grenzwert THGE (auch ohne Minergie-Zertifizierung und einfachem Nachweis möglich): Basisbeitrag 500 Fr. pro Gebäude&lt;br /&gt;- Zusatzbeitrag EFH: 10 Fr./m&lt;sup&gt;2&lt;/sup&gt; EB; Maximalbeitrag 10 000 Fr.&lt;br /&gt;- Zusatzbeitrag sonstige Gebäudekategorien: 5 Fr./m&lt;sup&gt;2&lt;/sup&gt; EBF; Maximalbeitrag: 20 000 Fr.</t>
  </si>
  <si>
    <t>https://uwe.lu.ch/themen/energie/Foerderprogramme/Minergie_Neubauten_mit_Zusatz_ECO</t>
  </si>
  <si>
    <t>EffiVini: Mesures d'économie d'électricité dans la viticulture</t>
  </si>
  <si>
    <t>Ces 4 mesures sont soutenues financièrement :&lt;br /&gt;- Remplacement des chauffages électriques d’appoint (Public cible : domaines vinicoles)&lt;br /&gt;- Remplacement des groupes froids (Public cible : domaines vinicoles)&lt;br /&gt;- Remplacement des ventilateurs (Public cible : domaines vinicoles, Porcheries, exploitations avicoles)&lt;br /&gt;- Remplacement des pompes de transfert (Public cible : domaines vinicoles, pisciculture)&lt;br /&gt;&lt;br /&gt;EffiVini est un programme de ProKilowatt.</t>
  </si>
  <si>
    <t>https://www.agrocleantech.ch/fr/pour-les-agriculteurs/programme-de-soutien-mesures-defficacite-electrique.html</t>
  </si>
  <si>
    <t>Batteriespeicher in Kombination mit Photovoltaikanlage</t>
  </si>
  <si>
    <t>Massnahmen in den Bereichen Innovation und Bildung</t>
  </si>
  <si>
    <t>Vor-Ort-Beratung</t>
  </si>
  <si>
    <t>Vor-Ort-Beratung durch öffentliche Energieberatung Bern-Mittelland</t>
  </si>
  <si>
    <t>Beitragsberechtigt sind Eigentümerschaften von Gebäuden mit Baujahr vor 2012. Gekoppelt an Förderung durch Kanton Bern</t>
  </si>
  <si>
    <t>Effizienzprogramme für KMU</t>
  </si>
  <si>
    <t>PEIK, Professionelle Energieberatung für Ihr KMU</t>
  </si>
  <si>
    <t>Stromsparhilfe</t>
  </si>
  <si>
    <t>Produkt Shelly 3EM, Messgerät zur Erfassung des Stromverbrauches inkl. App</t>
  </si>
  <si>
    <t>Stromspar-Coaching</t>
  </si>
  <si>
    <t>Energieeffiziente Elektrogeräte im Haushalt</t>
  </si>
  <si>
    <t>Energetische Sanierungen über GEAK-Klassen</t>
  </si>
  <si>
    <t>Effiziente und umweltfreundliche Aussenbeleuchtung</t>
  </si>
  <si>
    <t>Photovoltaik-Strom für die Allgemeinheit (Nettojahresbilanz)</t>
  </si>
  <si>
    <t>Zusammenschluss für den Eigenverbrauch (ZEV)</t>
  </si>
  <si>
    <t>Private Ladestationen für Elektrofahrzeuge</t>
  </si>
  <si>
    <t>https://www.bernex.ch/vie-pratique/dechets-energie-et-nature/energie/subventions-energies-batiments-394/</t>
  </si>
  <si>
    <t>Rénovation globale et certification</t>
  </si>
  <si>
    <t>- Amélioration de la classe CECB&lt;br /&gt;- Obtention du label Minergie/Minergie-P&lt;br /&gt;- Obtention du label HPE/THPE</t>
  </si>
  <si>
    <t>Nuove costruzioni Minergie-A e Minergie-P e/o -ECO</t>
  </si>
  <si>
    <t>Sostituzione finestre e/o lucernari</t>
  </si>
  <si>
    <t>Batterie di accumulo per impianti fotovoltaici</t>
  </si>
  <si>
    <t>Pauschalbeitrag: 5000 Fr.</t>
  </si>
  <si>
    <t>Lastmanagement für Elektroladestationen</t>
  </si>
  <si>
    <t>Unterstützt wird die Basisinstallation von Systemlösungen mit Lastmanagement für Elektroladestationen in Mehrfamilienhäusern. Von der Unterstützung&lt;br /&gt;können nur bestehende Mehrfamilienhäuser profitieren. Die Einwohnergemeinde Oberägeri beteiligt sich mit 30 % an den Initialkosten für das Lastmanagement. Der maximale Förderbeitrag beträgt 5000 Fr.&lt;br /&gt;Die Ladestationen sowie deren Installation werden nicht unterstützt.</t>
  </si>
  <si>
    <t>Cours futé et sensibilisation à l’efficience énergétique</t>
  </si>
  <si>
    <t>https://www.yverdon-energies.ch/equiwatt/cours-fute/</t>
  </si>
  <si>
    <t>Système de batterie pour installation solaire photovoltaïque</t>
  </si>
  <si>
    <t>https://www.yverdon-energies.ch/programmes/systeme-de-batterie-pour-installation-solaire-photovoltaique/</t>
  </si>
  <si>
    <t>Kit d’économie d’énergie</t>
  </si>
  <si>
    <t>https://www.yverdon-energies.ch/programmes/se-procurer-son-kit-equiwatt/</t>
  </si>
  <si>
    <t>Analyses énergétiques et CECB Plus</t>
  </si>
  <si>
    <t>Acquisto di abbonamenti annuali al trasporto pubblico</t>
  </si>
  <si>
    <t>https://www.vezia.ch/Ordinanza-Municipale-Concernente-il-contributo-comunale-per-l-acquisto-di-abbonamenti-annuali-per-il-trasporto-pubblico-bd1c3800?i=1</t>
  </si>
  <si>
    <t>Installazione di stazioni di ricarica per automobili elettriche</t>
  </si>
  <si>
    <t>Ersatz von Heizungs-Umwälzpumpen</t>
  </si>
  <si>
    <t>Ersatz durch Pumpen mit dem Effizienz-Index EEI ≤ 0.20.</t>
  </si>
  <si>
    <t>Energie- und Solarberatung</t>
  </si>
  <si>
    <t>Die Gemeinde bietet vergünstigte Vor-Ort-Beratungen zu Gebäudehülle, Haustechnik und Solardach an.</t>
  </si>
  <si>
    <t>https://www.selzach.ch/gemeinde/umwelt-energie/energie-foerderprogramme.html/312</t>
  </si>
  <si>
    <t>Stückholzfeuerung, Pelletfeuerung mit Tagesbehälter</t>
  </si>
  <si>
    <t>Beratung Zusammenschluss für den Eigenverbrauch (ZEV)</t>
  </si>
  <si>
    <t>Gesamtsanierungen und Neubauten</t>
  </si>
  <si>
    <t>Biodiversität</t>
  </si>
  <si>
    <t>Erdwärmesonden</t>
  </si>
  <si>
    <t>https://www.uzwil.ch/de/politik-verwaltung/dienstleistungen/energiefoerderbeitraege-986</t>
  </si>
  <si>
    <t>https://www.la-tour-de-peilz.ch/energie/chauffage-a-bois.php</t>
  </si>
  <si>
    <t>Formation en lien avec l’énergie</t>
  </si>
  <si>
    <t>https://www.la-tour-de-peilz.ch/energie/formation-en-lien-avec-l-nergie.php</t>
  </si>
  <si>
    <t>Audit installations techniques PME</t>
  </si>
  <si>
    <t>https://www.la-tour-de-peilz.ch/energie/audit-installations-techniques-pour-pme.php</t>
  </si>
  <si>
    <t>Remplacement d’un chauffage à énergie fossile par du renouvelable (pompe à chaleur avec PV / chauffage à bois)</t>
  </si>
  <si>
    <t>Récupérateur d’eau de pluie pour usage sanitaire</t>
  </si>
  <si>
    <t>Récupérateur extérieur d’eau de pluie pour l’arrosage</t>
  </si>
  <si>
    <t>Vélo cargo (neuf ou d’occasion)</t>
  </si>
  <si>
    <t>Remorque vélo (neuve ou d’occasion)</t>
  </si>
  <si>
    <t>Service vélo (révisons, réparation et entretien annuel)</t>
  </si>
  <si>
    <t>Abonnement demi-tarif transports publics (nouveau client)</t>
  </si>
  <si>
    <t>Velofördernde Massnahmen</t>
  </si>
  <si>
    <t>https://www.rueti.ch/politik-verwaltung/dienstleistungen.html/222/egov_service/624</t>
  </si>
  <si>
    <t>bis 70 kW&lt;sub&gt;FL&lt;/sub&gt;</t>
  </si>
  <si>
    <t>Förderbeiträge: 300 Fr. pro kWPeak, maximal 5000 Fr. pro Anlage.&lt;br /&gt;&lt;strong&gt;&lt;br /&gt;Die rechtlichen Grundlagen treten ab 1. Juni 2023 in Kraft. Fördergesuche können ab 01.06.2023 – vor Baubeginn – eingereicht werden.&lt;/strong&gt;</t>
  </si>
  <si>
    <t>https://www.walchwil.ch/energie.html/372</t>
  </si>
  <si>
    <t>Solarthermische Anlagen</t>
  </si>
  <si>
    <t>Förderbeiträge: &lt;br /&gt;- Selektiv verglaste Sonnenkollektoren: Pauschalbetrag 1000 Fr., 300 Fr. pro m&lt;sup&gt;2&lt;/sup&gt; Absorberfläche, maximal 5000 Fr.&lt;br /&gt;- Vakuumröhren-Kollektoren: Pauschalbetrag 1000 Fr., 390 Fr. pro m&lt;sup&gt;2&lt;/sup&gt; Absorberfläche, maximal 5000 Fr.&lt;br /&gt;&lt;br /&gt;&lt;strong&gt;Die rechtlichen Grundlagen treten ab 1. Juni 2023 in Kraft. Fördergesuche können ab 01.06.2023 – vor Baubeginn – eingereicht werden.&lt;/strong&gt;</t>
  </si>
  <si>
    <t>100% Biogaz d’origine suisse</t>
  </si>
  <si>
    <t>100% de la différence de coût entre le tarif « Biogaz 100% » d’origine suisse et le tarif « Gaz naturel » pour la consommation d’une année (max. 5000 fr.)</t>
  </si>
  <si>
    <t>https://www.vevey.ch/prestations/mix-gaz-100-biogaz-dorigine-suisse</t>
  </si>
  <si>
    <t>Projet Energie</t>
  </si>
  <si>
    <t>50% des coûts au minimum (Max. CHF 10'000.- par projet). Subvention valable uniquement pour des associations/fondations/coopératives à but non lucratif.</t>
  </si>
  <si>
    <t>https://www.vevey.ch/prestations/projet-energie</t>
  </si>
  <si>
    <t>Amélioration de la classe d’efficacité CECB pour les bâtiments protégés</t>
  </si>
  <si>
    <t>Audit énergétique des installations électriques</t>
  </si>
  <si>
    <t>Sportello energia comunale</t>
  </si>
  <si>
    <t>https://www.lamone.ch/sportello/informazioni/</t>
  </si>
  <si>
    <t>Energiespeicher für PV-Anlagen</t>
  </si>
  <si>
    <t>Der Förderbeitrag beträgt 500 Fr. (jährlich max. 5000 Fr.)</t>
  </si>
  <si>
    <t>https://www.energiewettingen.ch/de/energieloesungen/foerderprogramm-energie/heizungsersatz/heizungsersatz-waermepumpen-neubau.html</t>
  </si>
  <si>
    <t>Heizsysteme mit grossem thermischem Speicher</t>
  </si>
  <si>
    <t>Solarthermie-Anlagen</t>
  </si>
  <si>
    <t>Ladeinfrastruktur Elektromobilität</t>
  </si>
  <si>
    <t>Wärmenetzausbau</t>
  </si>
  <si>
    <t>Die Gemeinde Mönchaltorf unterstützt Wohneigentümerinnen und -eigentümer mit einer kostenlosen Energie-Erstberatung.</t>
  </si>
  <si>
    <t>https://www.moenchaltorf.ch/dienstleistungen/umwelt/energie/kontakte.html/515</t>
  </si>
  <si>
    <t>Energieberatung Landwirtschaft</t>
  </si>
  <si>
    <t>Das Beratungsangebot richtet sich an Landwirtschaftsbetriebe im Kanton Luzern. Wer eine Energieberatung Landwirtschaft durchführen lässt, erhält einen detaillierten Bericht zu den Energieverbrauchern und möglichen Massnahmen, wie der Energieverbrauch reduziert werden kann. &lt;br /&gt;&lt;br /&gt;&lt;strong&gt;Förderbeitrag&lt;/strong&gt;&lt;br /&gt;- 35% der Kosten, maximal 525 Fr.</t>
  </si>
  <si>
    <t>https://uwe.lu.ch/themen/energie/Foerderprogramme/Energieberatung_Landwirtschaft</t>
  </si>
  <si>
    <t>E-Auto Ladelösungen</t>
  </si>
  <si>
    <t>Beratungsangebot für alle Liegenschaftsbesitzenden mit mind. 3 Wohneinheiten; Unterstützung im Hinblick auf die Planung von E-Auto Ladelösungen.&lt;br /&gt;Die maximal drei-stündige Beratung wird vollständig aus dem Energiefonds finanziert und ist für die Eigentümerschaft kostenlos.</t>
  </si>
  <si>
    <t>https://www.stadtluzern.ch/dienstleistungeninformation/41059</t>
  </si>
  <si>
    <t>Effizient heizen</t>
  </si>
  <si>
    <t>Beratungsangebot für Eigentümerschaften grösserer Liegenschaften (ab 6 Wohneinheiten) mit dem Ziel, die bestehenden Heizungsanlagen effizient zu betreiben.</t>
  </si>
  <si>
    <t>https://www.stadtluzern.ch/dienstleistungeninformation/19622</t>
  </si>
  <si>
    <t>Gefördert werden Ladeinfrastrukturen bei Unternehmen, privaten Haushalten und Siedlungen, bei Gemeindebetrieben sowie auf öffentlich zugänglichen Parkplätzen öffentlicher oder privater Eigentümer (exkl. Fördertatbestände Kanton).</t>
  </si>
  <si>
    <t>Intelligente Lichtsteuerung</t>
  </si>
  <si>
    <t>Förderbeitrag: 500.- Fr. (Schaufenster und Aussenbeleuchtung für Gewerbe)</t>
  </si>
  <si>
    <t>Boiler a pompa di calore</t>
  </si>
  <si>
    <t>in sostituzione di impianto a resistenza elettrica</t>
  </si>
  <si>
    <t>Recupero dell’acqua piovana e impianto di irrigazione</t>
  </si>
  <si>
    <t>PEIK</t>
  </si>
  <si>
    <t>Beiträge für PEIK-Energieberatungen: 20 Prozent der Kosten, max. 1000 Franken.</t>
  </si>
  <si>
    <t>Einmaliger Beitrag: 1000 Franken</t>
  </si>
  <si>
    <t>GEAK Plus der Stadt Bern</t>
  </si>
  <si>
    <t>Sie können eine umfassende kostengünstige Gebäudeanalyse erstellen lassen. Das Beratungsprogramm steht allen Eigentümerinnen und Eigentümern von Wohn-, Büro- und Verwaltungsgebäuden auf dem Gebiet der Gemeinde Bern offen.</t>
  </si>
  <si>
    <t>https://energieberatungstadtbern.ch/themen/GEAK/</t>
  </si>
  <si>
    <t>Vélo Cargo</t>
  </si>
  <si>
    <t>Structures favorisant la biodiversité</t>
  </si>
  <si>
    <t>Haies vives</t>
  </si>
  <si>
    <t>Récupération des eaux de pluies pour l'eau sanitaire</t>
  </si>
  <si>
    <t>La récupération des eaux de pluies pour le jardin</t>
  </si>
  <si>
    <t>https://www.koblenz.ch/politik-verwaltung/verwaltung/gemeindeverwaltung/bauverwaltung</t>
  </si>
  <si>
    <t>Impianto di ricarica con sistema di gestione del carico centralizzato</t>
  </si>
  <si>
    <t>Condizioni: Impianto di ricarica dotato di un sistema di gestione del carico centralizzato. Incentivo concesso ai datori di lavoro solo se l’impianto è destinato ad uso del personale. Deve essere fissata al muro o su di un supporto, avere una pot. minima di 3.7 kW ed essere conforme al Modo 3/4.&lt;br /&gt;Importi: 1200 Fr. per stazioni installate; 4000 Fr. per stazioni bidirezionali.</t>
  </si>
  <si>
    <t>BornB</t>
  </si>
  <si>
    <t>Messa fuori circolazione di un veicolo ad alte emissioni di CO&lt;sub&gt;2&lt;/sub&gt; e inquinanti</t>
  </si>
  <si>
    <t>&lt;strong&gt;Condizioni&lt;/strong&gt;&lt;br /&gt;Il richiedente è stato detentore del veicolo per almeno gli ultimi 2 anni prima della sua messa fuori circolazione. Il veicolo messo fuori circolazione deve essere rottamato o ceduto a terzi e non potrà essere rimesso in circolazione in Svizzera. Il nuovo veicolo è acquistato presso concessionari o rivenditori con sede in Ticino. Incentivo non cumulabile con l’incentivo di cui all’art. 7.&lt;br /&gt;&lt;br /&gt;&lt;strong&gt;Importi&lt;/strong&gt;&lt;br /&gt;- Messa fuori circolazione di un’automobile dotata di motore a combustione interna con codice di emissione B04 o inferiore: 2000 Fr. in caso di immatricolazione di una nuova automobile ibrida o 4000 Fr. in caso di immatricolazione di una nuova automobile totalmente elettrica.&lt;br /&gt;- Messa fuori circolazione di motoveicoli, quadricicli a motore o tricicli a motore immatricolati prima del 1° gennaio 2005: 1000 Fr. in caso di immatricolazione di veicoli o cicli a motore con codice di emissione C05 o superiore o 2000 Fr. in caso di immatricolazione di veicoli o cicli a motore totalmente elettrici.</t>
  </si>
  <si>
    <t>https://www4.ti.ch/dt/da/spaas/ucd/temi/risparmio-energetico/incentivi/incentivi-mobilita-elettrica</t>
  </si>
  <si>
    <t>https://www.aire-la-ville.ch/mobilite/</t>
  </si>
  <si>
    <t>Borne électrique</t>
  </si>
  <si>
    <t>Abonnement tpg ou CFF</t>
  </si>
  <si>
    <t>https://www.mairie-bellevue.ch/velo</t>
  </si>
  <si>
    <t>https://www.chigny.ch/f/reglements-communaux.asp</t>
  </si>
  <si>
    <t>Installation d’une chaudière à bois ou à pellets</t>
  </si>
  <si>
    <t>Batterie stockage courant solaire</t>
  </si>
  <si>
    <t>Réisolation thermique</t>
  </si>
  <si>
    <t>https://www.paudex.ch/subventions-fr4286.html</t>
  </si>
  <si>
    <t>Batterie neuve de vélo électrique</t>
  </si>
  <si>
    <t>Die Gemeinde verdoppelt die Förderbeiträge des Kantons Graubünden.</t>
  </si>
  <si>
    <t>https://gemeinde-lapunt.ch/steckbrief/energiestadt</t>
  </si>
  <si>
    <t>Nutzungsgradverbesserung gewerblicher  oder industrieller Prozesse</t>
  </si>
  <si>
    <t>https://www.lapunt.ch/gemeinde/dorf/energiestadt/foerdermittel/finanzielle-unterstuetzung</t>
  </si>
  <si>
    <t>Die kostenlose Kurzberatung von jeweils einer Stunde pro Jahr können alle gratis in Anspruch nehmen, die in Meilen Wohnsitz haben oder in Meilen eine Liegenschaft besitzen.</t>
  </si>
  <si>
    <t>https://www.embrach.ch/online-schalter/104456/detail</t>
  </si>
  <si>
    <t>Solari termici</t>
  </si>
  <si>
    <t>Pannelli fotovoltaici</t>
  </si>
  <si>
    <t>Riscaldamento a energie rinnovabili</t>
  </si>
  <si>
    <t>Sostituzione di pompe di circolazione senza premistoppa</t>
  </si>
  <si>
    <t>Sostituzione di finestre</t>
  </si>
  <si>
    <t>Fernkälte bei Sanierungen</t>
  </si>
  <si>
    <t>&lt;span class="text_content"&gt;Energieberatungen für Wohnbauten (Beratung zu einzelnen Bauteilen, Aufzeigen von energetischen Schwachstellen, Heizungsersatz, Solarthermieanlagen, Photovoltaik etc.) werden durch den Verein Energienetz-Zug durchgeführt.&lt;/span&gt;</t>
  </si>
  <si>
    <t>https://www.zg.ch/behoerden/gemeinden/hunenberg/de/verwaltung/bau-und-planung/energie/energiefoerderprogramm</t>
  </si>
  <si>
    <t>Gebäudebeheizung</t>
  </si>
  <si>
    <t>&lt;span class="text_content"&gt;Gefördert wird der Anschluss an einen konzessionierten Fernwärmeverbund beim Ersatz fossiler oder elektrischer Heizungen.&lt;/span&gt;</t>
  </si>
  <si>
    <t>&lt;span class="text_content"&gt;Gefördert wird die Neuanlage oder Anlagenerweiterung von solarthermischen-Anlagen (kein reiner Ersatz bestehender Solarkollektoranlagen) auf Gebäuden, wobei bei Neubauten (bis fünf Jahre) die Beitragssätze um 50 % reduziert werden.&lt;/span&gt;</t>
  </si>
  <si>
    <t>&lt;span class="text_content"&gt;Gefördert wird die Neuanlage oder Anlagenerweiterung von PV-Anlagen, soweit sie nicht von Gesetzes wegen umgesetzt werden müssen.&lt;/span&gt;</t>
  </si>
  <si>
    <t>&lt;span class="text_content"&gt;Stromspeichersysteme&lt;/span&gt;</t>
  </si>
  <si>
    <t>&lt;span class="text_content"&gt;Gefördert werden Stromspeichersysteme in Verbindung mit Photovoltaikanlagen.&lt;/span&gt;</t>
  </si>
  <si>
    <t>Ladestationen für Elektromobilität</t>
  </si>
  <si>
    <t>&lt;span class="text_content"&gt;Gefördert werden Ladestationen für Elektromobilität (Einzellösungen) sowie die Installation von Basisstationen für mehrere Anschlusspunkte (smarte Ladestationen).&lt;/span&gt;</t>
  </si>
  <si>
    <t>https://www.nyon.ch/demarches/complements-communaux-aux-subventions-cantonales-1757</t>
  </si>
  <si>
    <t>Raccordement à un réseau de chauffage alimenté par une énergie renouvelable ou des rejets de chaleur</t>
  </si>
  <si>
    <t>https://www.nyon.ch/demarches/subvention-pour-l-installation-de-capteurs-solaires-photovoltaiques-13642</t>
  </si>
  <si>
    <t>Installation des couplages chaleur-force</t>
  </si>
  <si>
    <t>https://www.nyon.ch/demarches/subvention-pour-une-installation-des-couplages-chaleur-force-1753</t>
  </si>
  <si>
    <t>Rénovation Minergie-P et/ou -ECO</t>
  </si>
  <si>
    <t>Rénovation complète avec CECB</t>
  </si>
  <si>
    <t>Programme d’optimisation energo Advanced</t>
  </si>
  <si>
    <t>https://www.nyon.ch/demarches/subvention-des-programmes-doptimisation-energo-advanced-1756</t>
  </si>
  <si>
    <t>Changement d'appareil électroménager</t>
  </si>
  <si>
    <t>https://www.nyon.ch/demarches/subvention-pour-un-changement-d-appareil-electromenager-1752</t>
  </si>
  <si>
    <t>Cours ou formations continues</t>
  </si>
  <si>
    <t>https://www.nyon.ch/demarches/subvention-pour-cours-ou-formation-continue-en-energie-1758</t>
  </si>
  <si>
    <t>Basisinfrastruktur für Ein- und Mehrfamilienhäuser</t>
  </si>
  <si>
    <t>&lt;p&gt;Es wird die Basisinfrastruktur für Ladestationen auf privaten Parkplätzen in Ein- und Mehrfamilienhäusern gefördert.&lt;br /&gt;&lt;br /&gt;&lt;strong&gt;Förderbeitrag:&lt;/strong&gt;&lt;br /&gt;- Pauschalbeitrag von 500 Franken pro Parkplatz&lt;br /&gt;- ab dem 16. Parkplatz 300 Franken pro Parkplatz&lt;/p&gt;</t>
  </si>
  <si>
    <t>https://www.zh.ch/de/mobilitaet/gesamtverkehrsplanung/dinamo/foerderprogramm-ladeinfrastruktur.html#-538763814</t>
  </si>
  <si>
    <t>Bidirektionale DC-Ladestationen</t>
  </si>
  <si>
    <t>Es werden bidirektionale DC-Ladestationen an privaten Parkplätzen in Ein- und Mehrfamilienhäusern gefördert.&lt;br /&gt;&lt;br /&gt;&lt;strong&gt;Förderbeitrag:&lt;/strong&gt;&lt;br /&gt;- 2000 Fr. pauschal pro Ladestation</t>
  </si>
  <si>
    <t>https://www.zh.ch/de/mobilitaet/gesamtverkehrsplanung/dinamo/foerderprogramm-ladeinfrastruktur.html#1283206819</t>
  </si>
  <si>
    <t>Ladestationen für öffentlich zugängliche Anwohnerparkplätze</t>
  </si>
  <si>
    <t>&lt;p&gt;Es werden Gemeinden bei der Ausrüstung von Anwohnerparkplätzen mit Ladestationen inklusive notwendiger Basisinfrastruktur unterstützt&lt;br /&gt;&lt;br /&gt;&lt;strong&gt;Förderbeitrag:&lt;/strong&gt;&lt;br /&gt;- 30 % der nachgewiesenen Kosten&lt;br /&gt;- Maximal 3000 Fr. pro Parkplatz und 450 000 Fr. pro Gemeinde&lt;/p&gt;</t>
  </si>
  <si>
    <t>https://www.zh.ch/de/mobilitaet/gesamtverkehrsplanung/dinamo/foerderprogramm-ladeinfrastruktur.html#-1119970272</t>
  </si>
  <si>
    <t>Ladestationen für P+R-Anlagen und Carsharing</t>
  </si>
  <si>
    <t>&lt;p&gt;Es wird die Ausrüstung von Parkplätzen bei Park+Ride-Anlagen an dezentralen ÖV-Haltestellen sowie bei Carsharing-Standorten mit Ladestationen gefördert.&lt;/p&gt;_x000D_
&lt;p&gt;&lt;strong&gt;Förderbeitrag:&lt;/strong&gt;&lt;br /&gt;- Der Fördersatz entspricht 30% der nachgewiesenen Kosten &lt;br /&gt;- Maximaler Beitrag: 3000 Fr. pro Parkplatz und 60 000 Fr. pro Gesuch&lt;br /&gt;- Bei einer Teilförderung nur der Basisinfrastruktur liegt der maximale Betrag bei 500 Fr. pro Anschlusspunkt, bei einer Teilförderung einer Ladestation bei 2500 Fr. pro Ladestation.&lt;br /&gt;&lt;br /&gt;&lt;/p&gt;</t>
  </si>
  <si>
    <t>Basisinfrastruktur für Geschäftsflotten</t>
  </si>
  <si>
    <t>Es wird die Basisinfrastruktur für Ladestationen an einem Standort eines Unternehmens mit einer Geschäftsflotte gefördert.&lt;br /&gt;&lt;br /&gt;&lt;strong&gt;Förderbeitrag:&lt;/strong&gt;&lt;br /&gt;- Der Fördersatz liegt bei 30 % der Investitionskosten&lt;br /&gt;- Maximaler Beitrag: 60 000 Fr. pro Gesuch</t>
  </si>
  <si>
    <t>Beratungsleistungen zur Elektromobilität</t>
  </si>
  <si>
    <t>Es werden Gemeinden und Unternehmen beim Bezug von Beratungsleistungen bezüglich des Baus und Standorts von Ladestationen unterstützt.&lt;br /&gt;&lt;br /&gt;&lt;strong&gt;Förderbeitrag&lt;/strong&gt;&lt;br /&gt;- Der Fördersatz liegt bei 30 % der Beratungskosten&lt;br /&gt;- Maximaler Beitrag: 10 000 Fr. pro Gesuch &lt;br /&gt;- Falls zusätzlich Bundesgelder gesprochen werden, wird der kantonale Beitrag so reduziert, dass der Gesamtförderanteil 50 % der Beratungskosten nicht übersteigt.</t>
  </si>
  <si>
    <t>https://www.zh.ch/de/mobilitaet/gesamtverkehrsplanung/dinamo/foerderprogramm-ladeinfrastruktur.html#-1113995195</t>
  </si>
  <si>
    <t>Speicher zu Photovoltaikanlagen</t>
  </si>
  <si>
    <t>Ersatz fossiler Heizung durch erneurbare Anlage</t>
  </si>
  <si>
    <t>Elektrospeicher für Photovoltaikanlagen</t>
  </si>
  <si>
    <t>https://www.muotathal.ch/wirtschaft/energie</t>
  </si>
  <si>
    <t>Fernwärmeanschluss bei Ersatz Holzheizung</t>
  </si>
  <si>
    <t>Ersatz Holzheizung</t>
  </si>
  <si>
    <t>Ohne Möglichkeit an Anschluss Fernwärmenetz</t>
  </si>
  <si>
    <t>Information der Bevölkerung zu energierelevanten Themen</t>
  </si>
  <si>
    <t>Für die Information der Bevölkerung zu energierelevanten Themen wird vom Gemeinderat ein Betrag aus dem Förderbudget gesprochen.</t>
  </si>
  <si>
    <t>Gefördert werden Erd- und Luftwärmepumpen</t>
  </si>
  <si>
    <t>https://www.kreuzlingen.ch/inhalt/energieberatung</t>
  </si>
  <si>
    <t>Zur Erzeugung von Warmwasser oder zur Heizungsunterstützung</t>
  </si>
  <si>
    <t>Ersatz einer fossilen Heizung durch eine Erdsonden-Wärmepumpe</t>
  </si>
  <si>
    <t>Abtrennung Hausanschluss Gas oder Rückbau Öltank und Rückbau Elektrodirektheizung</t>
  </si>
  <si>
    <t>Grundinfrastruktur ohne Ladestationen in Mehrfamilienhäusern, Industrie/Gewerbe und Bürogebäuden mit Bewilligungsjahr vor 2019</t>
  </si>
  <si>
    <t>Neigungswinkelbonus Photovoltaik</t>
  </si>
  <si>
    <t>Gefördert werden Photovoltaikanlagen mit einer Neigung von 75° und grösser. Der Bonus wird nach dem Einreichen des rechtskräftigen Förderentscheids von Pronovo ausbezahlt.&lt;br /&gt;&lt;br /&gt;&lt;strong&gt;Förderbeitrag:&lt;/strong&gt;&lt;br /&gt;- 250 Fr. pro kWp</t>
  </si>
  <si>
    <t>Unterstützt wird der Bau einer Photovoltaikanlage mit einer Leistung bis 100 kWp (ergänzend zum Beitrag des Bundes).</t>
  </si>
  <si>
    <t>Die Stadt Kloten fördert den Bau von Photovoltaikanlagen. Gefördert werden Photovoltaikanlagen ab 2 kWp Leistung, welche nach dem 1.1.2023 erstellt wurden.</t>
  </si>
  <si>
    <t>https://www.kloten.ch/dienstleistungen/53189</t>
  </si>
  <si>
    <t>Förderberechtigt ist die Erstinstallation einer thermischen Solaranlage mit einer aktiven Anlagenüberwachung (Monitoring).</t>
  </si>
  <si>
    <t>https://www.schenkon.ch/public/upload/assets/2688/Verordnung%20zum%20Energief%C3%B6rderreglement%20rev.%2022.01.2024.pdf?fp=1</t>
  </si>
  <si>
    <t>Ladeinfrastruktur für Elektrofahrzeuge</t>
  </si>
  <si>
    <t>Förderberechtigt ist die Erstinstalltion von Ladestationen. Das Förderprogramm gilft für bestehende Bauten und Neubauten.</t>
  </si>
  <si>
    <t>Eigenverbrauchsgemeinschaft (EVG) und Zusammenschluss zum Eigenverbrauch (ZEV)</t>
  </si>
  <si>
    <t>Förderberechtigt ist der Neueinbau von Anlagen, welche den Zusammenschluss von mehreren Nutzereinheiten umfassen, mit dem Ziel einen höheren Eigenverbrauchsanteil bei einer Photovoltaikanlage zu erzielen.</t>
  </si>
  <si>
    <t>Solarbatteriespeicher für Photovoltaikanlagen</t>
  </si>
  <si>
    <t>Förderberechtigt ist die Erstinstallation eines Solarbatteriespeichers ab 10 kWh Speicherkapazität.</t>
  </si>
  <si>
    <t>Förderberechtigt ist die Erarbeitung einer Machbarkeitsstudie eines Projekts, an welchem ein öffentliches Interesse vorhanden ist.</t>
  </si>
  <si>
    <t>Förderberechtigt sind innovative Energie- und Klimaschutzprojekte, welche einen Beitrag zur erneuerbaren Energie- und Wärmeerzeugung leisten.</t>
  </si>
  <si>
    <t>Die Stadt Luzern unterstützt den Wechsel auf erneuerbare Heizsysteme. Liegenschaftsbesitzende erhalten einen finanziellen Beitrag bei der Installation einer Wärmepumpe.  &lt;br /&gt;Die Förderung wird zusätzlich zum Förderbeitrag «Wärmepumpen» des Kantons Luzern ausbezahlt.</t>
  </si>
  <si>
    <t>https://www.stadtluzern.ch/dienstleistungeninformation/12502</t>
  </si>
  <si>
    <t>Audits pour grands consommateurs</t>
  </si>
  <si>
    <t>Les audits pour les gros consommateurs d'énergie sont encouragés.</t>
  </si>
  <si>
    <t>https://www.vd.ch/environnement/energie/entreprises-grands-et-moyens-consommateurs-denergie/grands-consommateurs-1/subventions-pour-les-sites-grands-consommateurs-denergies</t>
  </si>
  <si>
    <t>&lt;span style="mso-fareast-language: EN-US;"&gt;Programme «Communes Pionnières» pour des villes et communes ambitieuses en matière de politique énergétique et climatique&lt;/span&gt;</t>
  </si>
  <si>
    <t>Le développement de stratégies existantes en matière de politique énergétique, combiné à la mise en œuvre de projets concrets, est soutenu par des subventions attrayantes pour deux ans. L'accent est mis sur l'orientation des initiatives Smart City vers les objectifs de la société à 2000 watts en vue d'atteindre le zéro CO&lt;sub&gt;2&lt;/sub&gt;/zéro net.</t>
  </si>
  <si>
    <t>https://www.local-energy.swiss/fr/programme/projektfoerderung/front-runner.html#/</t>
  </si>
  <si>
    <t>Soutien dans le cadre du processus</t>
  </si>
  <si>
    <t>Soutien aux communes / régions qui s’engagent dans le processus « Cité de l’énergie » ou « Région Cité de l’énergie » ou ISO 9001+14001 ou ISO 50001.&lt;br /&gt;&lt;br /&gt;Subventions:&lt;br /&gt;- Pour un audit/réaudit «Cité de l’énergie» ou «Région Cité de l’énergie» (inférieur à 70% des points): fr. 4000&lt;br /&gt;- Pour un audit/réaudit «Cité de l’énergie» ou «Région Cité de l’énergie» (supérieur à 70% des points): fr. 10‘000&lt;br /&gt;- Pour une certification ISO 9001+14001 (cumulé) ou ISO 50001: fr. 4000, pour l’audit uniquement</t>
  </si>
  <si>
    <t>https://www.local-energy.swiss/fr/programme/projektfoerderung/prozessfoerderung.html#/</t>
  </si>
  <si>
    <t>Des villes et des communes innovantes</t>
  </si>
  <si>
    <t>«SuisseEnergie pour les communes» soutient les villes et les communes dans leurs projets énergétiques et climatiques progressistes, notamment dans les domaines du bâtiment, de la mobilité, des infrastructures ou de la communication, à hauteur de 15 000 à 60 000 francs pour deux ans.</t>
  </si>
  <si>
    <t>https://www.local-energy.swiss/fr/programme/projektfoerderung/fortschrittliche.html#/</t>
  </si>
  <si>
    <t>Energie-Dialog</t>
  </si>
  <si>
    <t>Der Energie-Dialog dient der Information und Motivation von Gemeinden zur Aktivierung und Berücksichtigung energetischer Anliegen bei politischen Entwicklungen. Im Rahmen des Energie-Dialogs können neue kommunale Projekte gemeinsam gesucht und angestossen werden. &lt;br /&gt;&lt;br /&gt;&lt;strong&gt;Förderbeitrag&lt;/strong&gt;&lt;br /&gt;- 600 Fr.</t>
  </si>
  <si>
    <t>https://www.ag.ch/de/verwaltung/bvu/energie/energieberatungaargau/fuer-gemeinden</t>
  </si>
  <si>
    <t>Gemeindeeigene Liegenschaften</t>
  </si>
  <si>
    <t>Das Produkt bietet eine umfassende Beurteilung von Gebäudehülle und haustechnischen Anlagen gemeindeeigener Liegenschaften. So werden Energieeffizienzsteigerungspotenziale und der rationelle sowie umweltschonende Einsatz von Energie aufgezeigt. &lt;br /&gt;&lt;br /&gt;&lt;strong&gt;Förderbeitrag &lt;/strong&gt;&lt;br /&gt;- Für Gemeinden kostenlos</t>
  </si>
  <si>
    <t>GEAK Plus für Gemeindeliegenschaften</t>
  </si>
  <si>
    <t>Im Beratungsbericht wird in mindestens zwei bis drei Varianten mit konkreten Massnahmen aufgezeigt, wie das Gebäude im Bereich Energieeffizienz optimiert und modernisiert werden kann. Weiter wird aufgezeigt, welche Wirkung und Kosten die einzelnen Massnahmen verursachen und wie viel Fördergelder beantragt werden könnten. &lt;br /&gt;&lt;br /&gt;&lt;strong&gt;Förderbeitrag&lt;/strong&gt;&lt;br /&gt;- Für Gemeinden kostenlos</t>
  </si>
  <si>
    <t>Einführung in die Energiebuchhaltung</t>
  </si>
  <si>
    <t>Aufzeigen des Nutzens, der Umsetzungsvarianten und der Datenerfassung einer Energiebuchhaltung. Übernahme der Energiebuchhaltungsausgaben. &lt;br /&gt;&lt;br /&gt;&lt;strong&gt;Förderbeitrag&lt;/strong&gt;&lt;br /&gt;- Für Gemeinden kostenlos</t>
  </si>
  <si>
    <t>Referate und Podiumsdiskussionen</t>
  </si>
  <si>
    <t>Vorbereitung und Präsentation von Informationen wie zum Beispiel zur Energiepolitik des Kantons Aargau, zu energetischen Massnahmen bei Modernisierungen oder Neubauten, zu Beratungsdienstleistungen, kantonalen oder weiteren Förderangeboten etc.&lt;br /&gt;Teilnahme an Podiumsdiskussionen anlässlich von Veranstaltungen. &lt;br /&gt;&lt;br /&gt;&lt;strong&gt;Förderbeitrag&lt;/strong&gt;&lt;br /&gt;- 900 Fr.</t>
  </si>
  <si>
    <t>Veranstaltungen</t>
  </si>
  <si>
    <t>Organisation und Durchführung von Veranstaltungen rund ums Thema Bauen und Energie, abgestimmt auf die Bedürfnisse der Gemeinde oder Region. &lt;br /&gt;&lt;br /&gt;&lt;strong&gt;Förderbeitrag &lt;/strong&gt;&lt;br /&gt;- Beurteilung fallweise, gemäss Konzept und Budget</t>
  </si>
  <si>
    <t>Medienarbeit/Informationsarbeit</t>
  </si>
  <si>
    <t>Erarbeiten von Fachartikeln für Zeitungen, Zeitschriften oder Onlinemedien. Zusammenarbeit mit Medienschaffenden durch aktiven Dialog. Förderbeitrag: Beurteilung fallweise, gemäss Konzept und Budget</t>
  </si>
  <si>
    <t>Aus- und Weiterbildung</t>
  </si>
  <si>
    <t>Planung und Durchführung von Aus- und Weiterbildungen zur Sensibilisierung, Information und Schulung von Mitarbeitenden von Gemeinden. &lt;br /&gt;&lt;br /&gt;&lt;strong&gt;Förderbeitrag&lt;/strong&gt;&lt;br /&gt;- Beurteilung fallweise, gemäss Konzept und Budget</t>
  </si>
  <si>
    <t>Inputberatung Energiestadt</t>
  </si>
  <si>
    <t>Die Inputberatung liefert einen ersten Überblick zu den relevanten Handlungsfeldern und zum Energiestadt-Prozess. Es werden Abläufe, Termine und Kosten diskutiert und gemeinsam mit weiteren, interessierten Gemeinden festgelegt, ob allenfalls eine Energiestadt-Region sinnvoll ist.&lt;br /&gt;Weiter werden Produkte und Dienstleistungen seitens des Kantons, des Bundes und deren Netzwerkpartner vorgestellt. &lt;br /&gt;&lt;br /&gt;&lt;strong&gt;Förderbeitrag&lt;/strong&gt;&lt;br /&gt;- 600 Fr.</t>
  </si>
  <si>
    <t>Bestandsaufnahme Energiestadt-Label (einmalig)</t>
  </si>
  <si>
    <t>Aufbauend auf der Inputberatung beschliesst die Gemeinde den Einstieg in den Prozess zum Label und wird Mitglied des Trägervereins. Gemeinsam mit der oder dem Energiestadt-Beratenden wird in sieben Themenbereichen anhand des Massnahmenkatalogs eine Bestandsaufnahme durchgeführt.&lt;br /&gt;&lt;br /&gt;&lt;strong&gt;Förderbeitrag &lt;/strong&gt;&lt;br /&gt;- 5000 Fr.</t>
  </si>
  <si>
    <t>Zertifizierung und Re-Zertifizierung Energiestadt-Label</t>
  </si>
  <si>
    <t>Städte und Gemeinden, welche das Energiestadt-Label durch die Labelkommission erhalten oder erneuern, können dafür von einem Förderbeitrag profitieren. Er ist davon abhängig, ob das Label "Energiestadt" oder "Energiestadt Gold" erreicht wird.&lt;br /&gt;&lt;br /&gt;&lt;strong&gt;Förderbeitrag &lt;/strong&gt;&lt;br /&gt;- Label "Energiestadt": 4000 Fr.&lt;br /&gt;- Label "Energiestadt Gold": 10 000 Fr.</t>
  </si>
  <si>
    <t>Jährliche Erfolgskontrolle Energiestadt-Label</t>
  </si>
  <si>
    <t>Gemeinden und Gemeindeverbünde mit dem Energiestadt-Label erhalten in den Folgejahren eine jährliche Erfolgskontrolle durch die&lt;br /&gt;Energiestadt-Beratenden, zur Bestätigung der bisherigen sowie zur Einleitung neuer Ziele und Massnahmen.&lt;br /&gt;&lt;br /&gt;&lt;strong&gt;Förderbeitrag&lt;/strong&gt;&lt;br /&gt;- 1300 Fr. pro Energiestadt&lt;br /&gt;- 2600 Fr. für Energiestadt-Regionen</t>
  </si>
  <si>
    <t>Projektberatung Energiestadt</t>
  </si>
  <si>
    <t>Die Beratenden unterstützen Gemeinden, welche das Label «Energiestadt» tragen, bei der Evaluation von möglichen Projekten zu Massnahmen im Aktivitätenprogramm (Energieeffizienz, Mobilität, Kommunikation und Klimawandel oder die Planung der Produktion erneuerbarer Energien).&lt;br /&gt;&lt;br /&gt;&lt;strong&gt;Förderbeitrag&lt;/strong&gt;&lt;br /&gt;- 600 Fr.</t>
  </si>
  <si>
    <t>Kommunale oder regionale Energieplanung</t>
  </si>
  <si>
    <t>In einer kommunalen oder regionalen Energieplanung analysieren Gemeinden und Regionen ihre heutige Energieversorgung und deren zukünftige Entwicklung und koordinieren diese mit regional vorhandenen Energiepotenzialen.&lt;br /&gt;Das Hauptziel einer Energieplanung ist die räumliche Ausscheidung von Gebieten, in welchen bestimmte Energieträger prioritär genutzt werden sollen. Somit bezeichnet die Energieplanung eine gewünschte Entwicklung für die Energieversorgung und entsprechende geeignete Massnahmen für deren Umsetzung. Energieplanungen können für eine einzelne Gemeinde oder auf regionaler Ebene ausgeführt werden.&lt;br /&gt;&lt;br /&gt;- Übernahme der Energiebuchhaltungsausgaben: www.ag.ch/energiebuchhaltung&lt;br /&gt;- Kostenlose gemeindespezifische Daten: www.ag.ch/energiespiegel&lt;br /&gt;- Kostenlose gebäudescharfe Energiedaten: www.ag.ch/energiedaten</t>
  </si>
  <si>
    <t>Energiestadt-Prozess</t>
  </si>
  <si>
    <t>Solothurner Städte und Gemeinden erhalten Instrumente, Hilfsmittel und Dienstleistungen für die Umsetzung einer zielgerichteten, kommunalen Energiepolitik. Sie können damit die nationale und kantonale Energiepolitik stärken. Mitgliedsgemeinden stehen ein breites Netzwerk aus Fachleuten zur Verfügung. Der Kanton Solothurn leistet Beiträge für den Energiestadtprozess und fördert den Erfahrungsaustausch in den Regionen.</t>
  </si>
  <si>
    <t>https://energie.so.ch/vollzug/energiestadt/</t>
  </si>
  <si>
    <t>Energieplanung</t>
  </si>
  <si>
    <t>Ein Umstieg auf erneuerbare Energieträger ist ein Ziel der Energiepolitik. Die Energieplanung ist dazu ein Schlüsselelement. Mit Wärmenetzen lässt sich Holzenergie oder Abwärme klimaschonend nutzen. Die Gemeinden können durch Erschliessungspläne und Reglemente Versorgungsgebiete ausweisen, die Wärmeversorgung mit Gemeinschaftsanlagen vorschreiben und das Verwenden von bestimmten nicht erneuerbaren Energien in abgegrenzten Versorgungsgebieten ausschliessen.&lt;br /&gt;Der Kanton kann solche Planungen unterstützen. Energiestadt stellt Beratungen sowie verschiedene Instrumente und Werkzeuge zur Verfügung.</t>
  </si>
  <si>
    <t>https://energie.so.ch/vollzug/energieplanung/</t>
  </si>
  <si>
    <t>Kommunikation von Gemeinden</t>
  </si>
  <si>
    <t>Gemeinden werden finanziell bei der Durchführung von Messen, Ausstellungen oder Veranstaltungen rund um das Thema Energieeffizienz und erneuerbare Energie am Gebäude unterstützt.&lt;br /&gt;Der Kanton beteiligt sich mit maximal 50% der entstanden Kosten für Kommunikationsmassnahmen wie Organisation von Messen oder Ausstellungen, das dazu benötigte Standzubehör oder bei Veranstaltungen, für Raummiete, Verpflegung von Personal und Teilnehmenden sowie für externes Personal.</t>
  </si>
  <si>
    <t>Étude sur la mobilité électrique</t>
  </si>
  <si>
    <t>Une subvention cantonale est allouée aux communes ou groupements de communes dans le cadre de l’élaboration d’une stratégie ou de mesures pour la promotion de l’acquisition et l’usage de véhicules électriques (100% électriques et hybrides rechargeables) ainsi que pour le déploiement d’infrastructures publiques de recharge au niveau régional ou communal. Les études subventionnées doivent couvrir l’un ou plusieurs des domaines suivants: stratégie régionale ou communale de mobilité électrique, plan d’actions et accompagnement opérationnel.</t>
  </si>
  <si>
    <t>La Direction de l’énergie (DGE-DIREN) octroie aux communes des subventions pour l’établissement d’une planification énergétique dans le cadre des plans directeurs intercommunaux et pour l’établissement, sur une base volontaire, d’autres planifications énergétiques non imposées par la loi.</t>
  </si>
  <si>
    <t>https://www.vd.ch/themes/etat-droit-finances/communes/energie-environnement-agriculture/energie/planification-energetique-territoriale</t>
  </si>
  <si>
    <t>Service communal de conseils en énergie</t>
  </si>
  <si>
    <t>Le service de l'énergie et des forces hydrauliques (SEFH) subventionne la mise en place d'un "service de conseils en énergie" pour les communes ou un groupement de communes qui:&lt;br /&gt;- promeut une politique énergétique et environnementale communale basée sur les objectifs cantonaux&lt;br /&gt;- veille au respect des exigences légales en vigueur sur l’ensemble de son territoire, en particulier en matière d’énergie&lt;br /&gt;- élabore et coordonne le développement et la réalisation de la politique énergétique de la commune&lt;br /&gt;- oriente les actions communales vers un développement durable intégrant l’efficacité économique, la solidarité sociale et la responsabilité environnementale&lt;br /&gt;- planifie des actions de sensibilisation, d’information et d’incitation en lien avec la politique énergétique&lt;br /&gt;- contrôle les progrès réalisés au moyen d’indicateurs fournis par le service de l’énergie et des forces hydrauliques</t>
  </si>
  <si>
    <t>https://www.vs.ch/web/energie/subventions-pour-les-communes</t>
  </si>
  <si>
    <t>Planification énergétique territoriale</t>
  </si>
  <si>
    <t>Afin d'assurer un approvisionnement en énergie suffisant, diversifié, sûr, économique et compatible avec les impératifs de la protection de l'environnement, les communes doivent déterminer de quelle manière elles conçoivent l'évolution de l'approvisionnement en énergie des différentes zones de leur territoire (p.ex. réseau de chaleur à distance, quartiers à faible consommation d'énergie, etc.).&lt;br /&gt;&lt;br /&gt;&lt;strong&gt;Contribution financière&lt;/strong&gt;&lt;br /&gt;- Planification énergétique communale: 5000 fr. par commune, au maximum 30 % des coûts totaux (TVA comprise).&lt;br /&gt;- Planification énergétique intercommunale: 5000 fr. par commune, au maximum 50 % des coûts totaux (TVA comprise).</t>
  </si>
  <si>
    <t>L'énergie dans les communes</t>
  </si>
  <si>
    <t>Les collectivités publiques qui souhaitent prendre des mesures d’optimisation énergétique peuvent bénéficier de mesures d’encouragement prévues par la Loi instituant deux fonds (L 2 40). Ces aides sont complémentaires aux subventions fédérales, aux bonus conjoncturels, et aux participations financières de l’Etat telles que subventions, dégrèvements fiscaux ou prêts.</t>
  </si>
  <si>
    <t>https://www.ge.ch/energie-dans-communes/beneficier-du-fonds-energie-collectivites-publiques</t>
  </si>
  <si>
    <t>Lightbank: Rénovation de l'éclairage dans tous les bâtiments</t>
  </si>
  <si>
    <t>Le programme «Lightbank» soutient le renouvellement des installations d'éclairage dans tous les bâtiments et locaux ainsi que les postes de travail extérieurs jusqu'à un plafond d'investissement de 300'000 fr.&lt;br /&gt;&lt;br /&gt;Lightbank est un programme de ProKilowatt.</t>
  </si>
  <si>
    <t>https://lightbank.ch/home?lang=fr</t>
  </si>
  <si>
    <t>Mobilitätsangebote</t>
  </si>
  <si>
    <t>Das Bau-, Umwelt und Wirtschaftdepartement (BUWD) des Kantons Luzern ermöglicht zusammen mit Luzernmobil Testangebote für nachhaltige Mobilitätsformen. Die Angebote variieren je Mobilitätsanbieter.&lt;br /&gt;&lt;br /&gt;&lt;br /&gt;&lt;strong&gt;Förderbeitrag:&lt;/strong&gt;&lt;br /&gt;- Maximal 50 % der jährlich zur Verfügung stehenden Mittel.</t>
  </si>
  <si>
    <t>http://www.luzernmobil.ch/deals</t>
  </si>
  <si>
    <t>Mobilitätsberatung für Gemeinden</t>
  </si>
  <si>
    <t>Gemeinden können die kostenlose Beratung von Luzernmobil in Anspruch nehmen.</t>
  </si>
  <si>
    <t>https://luzernmobil.ch/gemeinden/beratungen</t>
  </si>
  <si>
    <t>Unternehmen können die kostenlose Beratung von Luzernmobil in Anspruch nehmen.</t>
  </si>
  <si>
    <t>https://luzernmobil.ch/unternehmen/beratungen</t>
  </si>
  <si>
    <t>Die Gemeinde verdoppelt den Beitrag von Pronovo.</t>
  </si>
  <si>
    <t>Förderung von landwirtschaftlichen Biogasanlagen mit maximal 20 % Co-Substraten sowie von Biogasanlagen für die Direkteinspeisung ins Erdgasnetz.&lt;br /&gt;&lt;br /&gt;&lt;strong&gt;Förderbeitrag:&lt;/strong&gt;&lt;br /&gt;- Einmaliger Investitionsbeitrag pro Anlage: 250 000 Fr.&lt;br /&gt;- Maximal 25 % der Gesamtkosten der geförderten Massnahme</t>
  </si>
  <si>
    <t>Geak Plus oder Grobanalyse</t>
  </si>
  <si>
    <t>Das Förderprogramm gilt für das Gemeindegebiet Thun. In 3626 Hünibach befindet sich nur ein Teil auf dem Gemeindegebiet.</t>
  </si>
  <si>
    <t>https://www.thun.ch/energie/63226</t>
  </si>
  <si>
    <t>Energieeffizienz Gewerbe und Industrie</t>
  </si>
  <si>
    <t>Machbarkeitsstudien für Grundwassernutzung</t>
  </si>
  <si>
    <t>PV-Dachbelegung</t>
  </si>
  <si>
    <t>Basisinstallation für Ladeinfrastruktur E-Mobilität</t>
  </si>
  <si>
    <t>Gefördert werden Batteriespeicher zur Eigenverbrauchsoptimierung von Photovoltaikanlagen.</t>
  </si>
  <si>
    <t>https://www.cham.ch/foerderbeitraege</t>
  </si>
  <si>
    <t>Thermische Solarkollektoren</t>
  </si>
  <si>
    <t>Auf bestehenden Gebäuden, ab 4,0 m&lt;sup&gt;2&lt;/sup&gt;.&lt;br /&gt;Thermische Sonnenkollektoranlagen und Wärmepumpen-Anlagen werden an Bauten gefördert, welche mindestens 10 Jahre alt sind.</t>
  </si>
  <si>
    <t>https://www.besenbueren.ch/storage/2917d8752d59e7338ef5e409e3c4183da142bbe56c0fa0a52ab03e62e5d62be7</t>
  </si>
  <si>
    <t>Auf bestehenden Gebäuden, ab 4,0 kWp</t>
  </si>
  <si>
    <t>Ersatz Öl- und Elektroheizung</t>
  </si>
  <si>
    <t>Im Rahmen des kommunalen Förderprogrammes werden zusätzlich zu den Beiträgen aus dem kantonalen Förderprogramm Beiträge ausgerichtet, wenn eine Öl- oder Elektroheizung durch eine Luft-Wasser-Wärmepumpe, durch eine Sole-Wasser-Wärmepumpe, durch eine Holzheizung (Stückholz, Pellet, Schnitzel) oder durch den Anschluss an ein Wärmenetz ersetzt wird.</t>
  </si>
  <si>
    <t>https://www.teufen.ch/energiefoerderung/79433</t>
  </si>
  <si>
    <t>Ersatz fossiler und rein elektrischer Wärmeerzeugung</t>
  </si>
  <si>
    <t>Der Ersatz durch Pelletsheizungen, Stückholzheizungen und Wärmepumpen werden an Bauten gefördert, welche mindestens 10 Jahre alt sind.</t>
  </si>
  <si>
    <t>Im Rahmen des kommunalen Förderprogrammes werden zusätzlich zu den Beiträgen aus dem kantonalen Förderprogramm Beiträge an Wärmedämm-Massnahmen ausgerichtet.</t>
  </si>
  <si>
    <t>Förderung von stationären Batteriespeichern mit mindestens 4 kWh nutzbarer Speicherkapazität in Kombination mit einer neuen Photovoltaikanlage.</t>
  </si>
  <si>
    <t>Anlagen mit besonders hohem Wirkungsgrad oder hohen Anteil an erneuerbarer Energie</t>
  </si>
  <si>
    <t>Z.B. Holzheizungen, Biogasanlagen, Blockheizkraftwerke oder Anlagen zur Abwärmenutzung.</t>
  </si>
  <si>
    <t>Das Fördergesuch kann erst nach der Beratung und dem Erhalt des GEAK Plus Berichtes gestellt werden.</t>
  </si>
  <si>
    <t>https://www.kaiseraugst.ch/foerderbeitraege</t>
  </si>
  <si>
    <t>Fenstersersatz</t>
  </si>
  <si>
    <t>Die Fenster müssen den neusten energetischen Anforderungen entsprechen. Änderung der Flügeleinteilung, Farbe oder Materialien sind bewilligungspflichtig.</t>
  </si>
  <si>
    <t>Ersatz Haushaltsgeräte</t>
  </si>
  <si>
    <t>Gefördert wird der Ersatz von Kühlschränken, Geschirrspüler, Waschmaschienen, Wäschetrockner und Induktionsherden (nur Geräte gemäss &lt;a href="http://www.topten.ch" target="_blank" rel="noopener"&gt;www.topten.ch&lt;/a&gt;).</t>
  </si>
  <si>
    <t>Förderbeitrag: 100% vom Kantonsbeitrag</t>
  </si>
  <si>
    <t>Förderbeitrag: 100% vom Bundesbeitrag</t>
  </si>
  <si>
    <t>Heizungsersatz von Öl-, Gas- und Elektroheizungen zu Wärmepumpen</t>
  </si>
  <si>
    <t>Heinzungsersatz von Öl-, Gas- und Elektroheizungen zu Holzfeuerungen</t>
  </si>
  <si>
    <t>Regenwassertank</t>
  </si>
  <si>
    <t>Förderbeitrag: 20% der Investitionskosten, max. 5000.00 Fr. Das Fördergesuch kann erst nach Installation der Anlage eingereicht werden.</t>
  </si>
  <si>
    <t>Holzfeuerung</t>
  </si>
  <si>
    <t>Gefördert wird der Ersatz einer Öl-, Gas- oder Elektroheizung durch eine Holzfeuerung.</t>
  </si>
  <si>
    <t>https://www.kirchberg.ch/verwaltung/dienstleistungen.html/32/service/570</t>
  </si>
  <si>
    <t>Nahwärmeverbund</t>
  </si>
  <si>
    <t>Gefördert wird die neue Erstellung von Nahwärmeverbunden mit mindestens fünf Anschlüssen mit überwiegend erneuerbaren Energieträgern, welche bestehende Öl-, Gas- oder Elektrowiderstandsheizungen ersetzen.</t>
  </si>
  <si>
    <t>Gefördert wird der Ersatz einer Öl-, Gas- oder Elektroheizung durch eine Luft-Wasser-, Sole-Wasser- oder Wasser-Wasser-Wärmepumpe.</t>
  </si>
  <si>
    <t>Gefördert wird die Neuinstallation einer Photovoltaikanlage auf einem Neubau oder einem bestehenden Gebäude.</t>
  </si>
  <si>
    <t>Gefördert wird die Wärmedämmung von Einzelbauten.</t>
  </si>
  <si>
    <t>Gefördert wird der Einbau von Ladeinfrastruktur für die Elektromobilität.</t>
  </si>
  <si>
    <t>Les approches innovantes visant à tester des solutions de recharge proches du marché sont encouragées. Chaque année, un concours de projets est organisé sur un thème spécifique.</t>
  </si>
  <si>
    <t>https://www.recharge-au-point.ch/fr/subvention/programme-de-soutien-rechargeaupoint/</t>
  </si>
  <si>
    <t>Pilotprojekte</t>
  </si>
  <si>
    <t>Der Kanton Luzern unterstützt in Zusammenarbeit mit der Hochschule Luzern engagierte Unternehmen, Organisationen, Start-ups oder Gemeinden dabei, Pilotprojekte in den Bereichen Klimaschutz, Klimaanpassung oder Energie zu initiieren, um die Herausforderungen des Klimawandels im Kanton Luzern anzugehen.&lt;br /&gt;&lt;br /&gt;&lt;strong&gt;Förderbeitrag&lt;/strong&gt;&lt;br /&gt;- maximal 50 % der jährlich zur Verfügung stehenden Mittel</t>
  </si>
  <si>
    <t>https://klima.lu.ch/Pilotprojekte</t>
  </si>
  <si>
    <t>Die Gemeindeversammlung beschloss am 4. April 2022, den Bau von Photovoltaikanlagen zu fördern. Im Rahmen des Kredits sollen über 5 Jahre Massnahmen zum Ausbau für Solaranlagen unterstützt werden.</t>
  </si>
  <si>
    <t>https://www.maennedorf.ch/foerderungphotovoltaik/54304</t>
  </si>
  <si>
    <t>Gemeindeberatende</t>
  </si>
  <si>
    <t>Die Gemeindeberaterinnen und Gemeindeberater sind Fachleute, welche die Kommunen in der ihnen zugeteilten Region in allen relevanten Fragen rund um das Thema Energie beraten und sie beim Umsetzen von Massnahmen unterstützen. Sie arbeiten im Auftrag der energieberatungAARGAU und sind verantwortlich für den Informationsaustausch zwischen den Gemeinden und dem Kanton Aargau sowie anderen möglichen Akteurinnen und Akteuren wie Regionalplanungsverbänden.</t>
  </si>
  <si>
    <t>Risanamento energetico edifici – Risanamento Base (per comuni)</t>
  </si>
  <si>
    <t>Gli edifici pubblici, parastatali o sussidiati possono beneficiare degli incentivi solo se il risanamento raggiunge e ottiene una certificazione Minergie. E accordato un’incentivo per miglioramenti dell’isolamento termico di edifici esistenti per i singoli elementi costruttivi che rispettano le seguenti condizioni:&lt;br /&gt;a) tetto: coefficiente U ≤ 0.20 W/m&lt;sup&gt;2&lt;/sup&gt; K. In caso di combinazione con un progetto di inverdimento conformemente alla norma SIA 312:2013, è previsto un ulteriore incentivo di 10 Fr./m&lt;sup&gt;2&lt;/sup&gt;&lt;br /&gt;b) pareti verso l’esterno (facciate) e/o muri verso terra interrati fino a 2 metri: coefficiente U ≤ 0.20 W/m&lt;sup&gt;2&lt;/sup&gt; K. Muri verso terra interrati oltre i 2 metri: coefficiente U ≤ 0.25 W/m&lt;sup&gt;2&lt;/sup&gt; K&lt;br /&gt;c)  pavimenti  verso  l’esterno  (intradosso)  e/o  pavimenti  verso  terra  interrati  fino  a  2  metri:  coefficiente  U  ≤  0.20  W/m&lt;sup&gt;2&lt;/sup&gt; K.  Pavimenti  verso  terra  interrati  oltre i 2 metri: coefficiente U ≤ 0.25 W/m&lt;sup&gt;2&lt;/sup&gt; K&lt;br /&gt;&lt;br /&gt;Importi: &lt;br /&gt;•    Per miglioramenti dell’isolamento termico di edifici esistenti è accordato un incentivo pari a 60 Fr./m&lt;sup&gt;2&lt;/sup&gt; per i singoli elementi costruttivi&lt;br /&gt;•    Nel caso in cui la richiesta fosse superiore a CHF 10'000. - di incentivazione essa dovrà essere corredata da un rapporto di consulenza CECE Plus.</t>
  </si>
  <si>
    <t>Risanamento energetico degli edifici – Edifici Certificati (per comuni)</t>
  </si>
  <si>
    <t>•  Minergie: incentivo pari al 220% del Risanamento Base&lt;br /&gt;•  Minergie-P o Minergie-A: incentivo pari al 240% del Risanamento Base&lt;br /&gt;•  Minergie-Eco: per l’ottenimento del complemento Minergie-Eco viene accordato un ulteriore incentivo forfettario di 10’000 Fr. &lt;br /&gt;&lt;br /&gt;Condizioni:&lt;br /&gt;•  La certificazione provvisoria Minergie deve essere ottenuta prima dell'inizio dei lavori di risanamento.</t>
  </si>
  <si>
    <t>Attività di informazione e sensibilizzazione</t>
  </si>
  <si>
    <t>anche tramite una pianificazione annuale&lt;br /&gt;Importi: L’ammontare dell’incentivo corrisponde al 30% dei costi effettivi riconosciuti.</t>
  </si>
  <si>
    <t>Piano energetico e climatico comunale</t>
  </si>
  <si>
    <t>Importi: L’ammontare dell’incentivo corrisponde al 30% dei costi effettivi riconosciuti.</t>
  </si>
  <si>
    <t>Piano d’illuminazione pubblica</t>
  </si>
  <si>
    <t>Consulenze energetiche ai cittadini tramite uno «sportello energetico»</t>
  </si>
  <si>
    <t>Analisi e pianificazione del risanamento del parco immobiliare comunale</t>
  </si>
  <si>
    <t>previa presentazione di un rapporto con le specifiche&lt;br /&gt;&lt;br /&gt;Importi: L’ammontare dell’incentivo corrisponde al 30% dei costi effettivi riconosciuti.</t>
  </si>
  <si>
    <t>Certificazione «città dell’energia»</t>
  </si>
  <si>
    <t>costi effettivi sostenuti&lt;br /&gt;&lt;br /&gt;Importi: L’ammontare dell’incentivo corrisponde al 30% dei costi effettivi riconosciuti.</t>
  </si>
  <si>
    <t>Applicazione Controllo prescrizioni di cantiere (CPC)</t>
  </si>
  <si>
    <t>Progetti comunale esemplari e innovativi</t>
  </si>
  <si>
    <t>Mobilità aziendale</t>
  </si>
  <si>
    <t>La Sezione della mobilità supporta le aziende in un percorso di riferimento per gestire la mobilità dei propri addetti: dall'analisi delle esigenze, attraverso la scelta degli obiettivi fino alle misure applicabili, tenendo in considerazione i contributi a disposizione.&lt;br /&gt;Lo scopo è la messa in atto di azioni condivise ai vari livelli - amministrativo e tecnico -, concrete e misurabili, trasmettendo ai propri collaboratori messaggi semplici e chiari, proponendo soluzioni specifiche e pacchetti di offerte.</t>
  </si>
  <si>
    <t>https://www4.ti.ch/dt/dstm/sm/temi/mobilita-aziendale-portale/tema/tema</t>
  </si>
  <si>
    <t>Die Gemeinde Oberdiessbach fördert den Ersatz von Elektroheizungen durch Heizungen mit erneuerbarer Energie (ohne Beitrag an das Verteilnetz) mit 50 % der Kantonsbeiträge nach den allgemeinen Bedingungen des Kantons.</t>
  </si>
  <si>
    <t>https://www.oberdiessbach.ch/verwaltung/elektrizitaetsversorgung/energie.html/250</t>
  </si>
  <si>
    <t>Die Gemeinde Oberdiessbach fördert thermische Solaranlagen mit 50 % der Kantonsbeiträge nach den allgemeinen Bedingungen des Kantons.</t>
  </si>
  <si>
    <t>Isole di calore</t>
  </si>
  <si>
    <t>https://ascona.ch/811-Ordinanza-concernente-l-erogazione-di-incentivi-in-favore-del-risparmio-energetico-dell-uso-di-energie-rinnovabili-e-della-mobilita-sostenibile-e8c50900?i=1</t>
  </si>
  <si>
    <t>Risanamenti energetici nel nucleo</t>
  </si>
  <si>
    <t>Risanamenti energetici involucro</t>
  </si>
  <si>
    <t>Éco-logement</t>
  </si>
  <si>
    <t>La subvention éco-logement vise à réduire la consommation dans les immeubles d’habitation. Le dispositif permet aux propriétaires d’immeubles de solliciter l’intervention de partenaires agréé·e·s directement chez les locataires. Elle s’adresse à tous les propriétaires d’immeuble(s), ainsi qu’aux communes et régies immobilières en tant que partenaires relais.&lt;br /&gt;&lt;br /&gt;&lt;strong&gt;Contribution financière&lt;/strong&gt;&lt;br /&gt;- 125 fr. par logement visité avec un plafond maximum de 50 % du coût de mise en oeuvre de la mesure</t>
  </si>
  <si>
    <t>https://www.vd.ch/prestation/28-demander-une-subvention-pour-des-conseils-energetiques-aux-locataires-eco-logement</t>
  </si>
  <si>
    <t>Labellisation "Cité de l'énergie"</t>
  </si>
  <si>
    <t>Le label Cité de l’énergie apporte la preuve pour les communes qu’elles mènent activement une politique énergétique durable.&lt;br /&gt;&lt;br /&gt;&lt;strong&gt;Contribution financière:&lt;/strong&gt;&lt;br /&gt;- Un montant de 4000 fr. pour l’accompagnement en vue de la certification (ou re-certification) Cité de l’énergie&lt;br /&gt;- Un montant de 2000 fr. pour l’accompagnement dans le cadre de l’état des lieux.</t>
  </si>
  <si>
    <t>https://www.vd.ch/prestation/s06-demander-une-subvention-pour-la-labellisation-cite-de-lenergie</t>
  </si>
  <si>
    <t>Energieprämie</t>
  </si>
  <si>
    <t>Die Energieprämie wird für nahezu alle Massnahmen, die über das Baselbieter Energiepaket gefördert werden, zusätzlich zu den üblichen Förderbeiträgen entrichtet. Die Energieprämie schafft für Gebäudeeigentümerinnen und Gebäudeeigentümer zusätzliche finanzielle Anreize zur energetischen Sanierung ihres selbstgenutzten Eigenheims. Von der Energieprämie können nur Haushalte profitieren, welche ein Gesamtvermögen von weniger als 350 000 Fr. und ein Einkommen von weniger als 150 000 Fr. aufweisen.&lt;br /&gt;&lt;br /&gt;&lt;strong&gt;Förderbeitrag:&lt;/strong&gt;&lt;br /&gt;- 20 % der Investitionskosten, maximal 25 000 Fr.</t>
  </si>
  <si>
    <t>https://www.energiepaket-bl.ch/energiepaket/angebot-2/praemien/energiepr%C3%A4mie</t>
  </si>
  <si>
    <t>Installations solaires photovoltaïques sur les grands toits</t>
  </si>
  <si>
    <t>En plus de la subvention fédérale «Pronovo», les grandes installations photovoltaïques sur le territoire neuchâtelois peuvent également bénéficier d'une subvention cantonale. Subventionnées sont les installations en toiture d'une puissance supérieure à 90 kW des propriétaires qui ont investi sur leur propre bâtiment ou au sein d'une coopérative solaire.&lt;br /&gt;&lt;br /&gt;&lt;strong&gt;Contribution financière:&lt;/strong&gt;&lt;br /&gt;11 000 fr.</t>
  </si>
  <si>
    <t>https://www.ne.ch/autorites/DDTE/SENE/energie/Pages/Subventions-pour-photovolta%C3%8Fque-sur-les-grands-toits.aspx</t>
  </si>
  <si>
    <t>Restwertentschädigung Gasheizungen und Gasherde</t>
  </si>
  <si>
    <t>Im Kanton Basel-Stadt wird das Gasnetz bis 2037 schrittweise stillgelegt. IWB informiert die von der Stilllegung Betroffenen drei bis vier Jahre im Voraus. Wer die Information zum konkreten Gasnetz-Stilllegungstermin erhalten hat, kann einen Antrag auf Restwertentschädigung für Gasheizungen und Gasherde stellen.&lt;br /&gt;&lt;br /&gt;&lt;strong&gt;Förderbeitrag&lt;/strong&gt;&lt;br /&gt;- Abhängig von Typ und Alter des Geräts / der Anlage</t>
  </si>
  <si>
    <t>https://www.bs.ch/wsu/aue/abteilung-energie/foerderbeitraege-energie/restwertentschaedigung</t>
  </si>
  <si>
    <t>Infrastructure de recharge dans les garages</t>
  </si>
  <si>
    <t>L'infrastructure de base pour la recharge des véhicules électriques sur les places de parking non pub­liques dans les parkings couverts existants ayant fait l'objet d'une autorisation légale avant le 1er jan­vier 2023 est encouragée.&lt;br /&gt;&lt;br /&gt;&lt;strong&gt;Contribution financière:&lt;/strong&gt;&lt;br /&gt;- 250 fr. par place de parking équipée (selon le niveau d'équipement C selon SIA 2060)</t>
  </si>
  <si>
    <t>Bornes de recharge DC bidirectionelles</t>
  </si>
  <si>
    <t>Le canton promeut les bornes de recharge bidirectionnelles a courant continu (DC) pour l'utilisation d'applications V2X.&lt;br /&gt;&lt;br /&gt;&lt;strong&gt;Contribution financière:&lt;/strong&gt;&lt;br /&gt;- 3000 fr. par borne de recharge installé</t>
  </si>
  <si>
    <t>https://www.weu.be.ch/fr/start/themen/energie/foerderprogramm-energie/foerderbeitraege-bedingungen/anlagen.html#textimage_1568918182</t>
  </si>
  <si>
    <t>Baustein 1: Energieberatung ohne Bericht&lt;br /&gt;Baustein 2: GEAK (Gebäudeenergie-Ausweis, mit Beratungsbericht) → Voraussetzung Baustein 1&lt;br /&gt;Baustein 3: GEAK-Plus (Beratungsbericht mit Sanierungs-Varianten) → Voraussetzung Baustein 1&lt;br /&gt;&lt;br /&gt;Kostenpflichtig, die Gemeinde und der Kanton Zürich beteiligen sich an den Kosten.</t>
  </si>
  <si>
    <t>https://www.kilchberg.ch/themen/umwelt-tiere/natur-landschafts-umweltschutz</t>
  </si>
  <si>
    <t>Beratung zu den Themen Wärmedämmung, Heizung und Warmwasser, Stromsparen im Haushalt oder Mobilität und Freizeit.&lt;br /&gt;&lt;br /&gt;Kostenlose Dienstleistung nur für Einwohnerinnen und Einwohner sowie Eigentümerinnen und Eigentümer von Liegenschaften in der Gemeinde Kilchberg ZH.</t>
  </si>
  <si>
    <t>https://www.kilchberg.ch/themen/umwelt-tiere</t>
  </si>
  <si>
    <t>Unterstützt werden Batteriespeicher zur Eigenstromverbrauchsoptimierung von Photovoltaik-Anlagen. Dies gilt für neue Batteriespeicher bei einer bestehenden Photovoltaik-Anlage sowie bei neuen Photovoltaik-Anlagen.</t>
  </si>
  <si>
    <t>Erdverlegter Regenwassertrank</t>
  </si>
  <si>
    <t>Schaffung der Grundvoraussetzung für das Laden von Elektrofahrzeugen</t>
  </si>
  <si>
    <t>Heizungs-Check-up</t>
  </si>
  <si>
    <t>Möchten Sie Energie und Geld sparen, ohne Komfortverlust? Dann lassen Sie Ihre Heizung und Haustechnik von einem Profi überprüfen. Der Heizung-Check-up umfasst im Wesentlichen die Analyse und Optimierung Ihrer Heizungs- und Wärmeverteilungsanlage sowie der Warmwassererzeugung. Im Fokus steht die energetische Betriebsoptimierung, bei welcher über die Identifikation und direkte Umsetzung von Sofortmassnahmen Einsparerfolge erzielt werden können. Profitieren können Eigentümer und Eigentümerinnen von Wohnbauten (Einfamilienhäuser, Mehrfamilienhäuser).&lt;br /&gt;&lt;br /&gt;&lt;strong&gt;Förderbeitrag:&lt;/strong&gt;&lt;br /&gt;- Die Kosten für den Heizungs-Check-up werden durch das Förderprogramm Energie Uri übernommen.</t>
  </si>
  <si>
    <t>Programme de subvention pour une énergie thermique durable dans l’industrie</t>
  </si>
  <si>
    <t>Le programme de promotion myclimate offre des subventions lors du remplacement de la chaleur industrielle fossile des entreprises industrielles au moyen de pompes à chaleur industrielles. La promotion s'applique aux pompes à chaleur d'une puissance minimale de 50 kW(&lt;sub&gt;th&lt;/sub&gt;) et aux projets dont les besoins en chaleur sont d'au moins 150 MWh par an. Les contributions d'encouragement s'élèvent à 160 francs par tonne de CO&lt;sub&gt;2&lt;/sub&gt; réduite. L'inscription doit avoir lieu avant la décision d'investissement.</t>
  </si>
  <si>
    <t>https://www.myclimate.org/fr-ch/sengager/projets-de-protection-climatique/detail-des-projets-de-protection-du-climat/suisse-thermique-indsutrie-7835/</t>
  </si>
  <si>
    <t>La subvention versée correspond à 10% de la subvention fédérale de Pronovo, mais au maximum CHF 2000. Elle est proposée pour les installations mises en service à partir du 01.01.2024</t>
  </si>
  <si>
    <t>https://www.bulleverte.ch/subventions#0f7994b9-7ab0-44a0-a28c-ddfff20e3cea</t>
  </si>
  <si>
    <t>Actions énergétiques</t>
  </si>
  <si>
    <t>Le Service de l’énergie (SdE) octroie des aides financières pour des actions et projets d’une commune ou d’une région visant à réduire sa consommation d’énergie ou à valoriser les énergies renouvelables.&lt;br /&gt;&lt;br /&gt;&lt;strong&gt;Contribution financière:&lt;/strong&gt;&lt;br /&gt;- 50 % du budget, montant maximum 10 000 fr.</t>
  </si>
  <si>
    <t>Certification Minergie-Quartier</t>
  </si>
  <si>
    <t>Une subvention est accordée pour l’établissement d’une certification selon les critères du standard Minergie-Quartier.&lt;br /&gt;&lt;br /&gt;&lt;strong&gt;Contribution financière:&lt;/strong&gt;&lt;br /&gt;- 60 % du montant de la certification, mais au maximum 10 000 fr.</t>
  </si>
  <si>
    <t>https://www.vd.ch/prestation/20c-demander-une-subvention-pour-la-certification-dun-quartier-selon-le-standard-minergie-quartier</t>
  </si>
  <si>
    <t>Certification SNBS-Quartier</t>
  </si>
  <si>
    <t>&lt;span style="font-family: 'Arial',sans-serif; mso-fareast-font-family: 'Times New Roman'; mso-fareast-language: FR-CH;"&gt;Une subvention est accordée pour l’établissement d’une certification selon les critères du standard SNBS-Quartier.&lt;br /&gt;&lt;br /&gt;&lt;strong&gt;Contribution financière:&lt;/strong&gt;&lt;br /&gt;&lt;/span&gt;- 60 % du montant de la certification, mais au maximum 30 000 fr.</t>
  </si>
  <si>
    <t>https://www.vd.ch/prestation/20b-demander-une-subvention-pour-la-certification-dun-quartier-selon-le-standard-snbs-quartier</t>
  </si>
  <si>
    <t>Zusammenschluss zum Eigenverbrauch (ZEV)</t>
  </si>
  <si>
    <t>Werden beim Zusammenschluss zum Eigenverbrauch (ZEV) im Zusammenhang mit dem Bau einer neuen Photovoltaikanlage neue Stromzähler benötigt, übernimmt die Gemeinde 50 Prozent der Kosten bis zu maximal 10'000 Franken pro ZEV.</t>
  </si>
  <si>
    <t>Amélioration de la classe d'efficacité CECB (bâtiments protégés MH et INV)</t>
  </si>
  <si>
    <t>Cette subvention est allouée uniquement pour les bâtiments protégés au niveau patrimonial (bâtiments à l’inventaire ou au classement des monuments historiques) et effectuant une rénovation utilisant le saut de classe CECB®. Voir sous &lt;a href="https://www.recensementarchitectural.vd.ch/territoire/recensementarchitectural/" target="_blank" rel="noopener"&gt;Monuments historiques du canton de Vaud&lt;/a&gt; (vd.ch).&lt;br /&gt;&lt;br /&gt;&lt;strong&gt;Contribution financière:&lt;/strong&gt;&lt;br /&gt;- En fonction du type de bâtiment, de l'amélioration de la classe d'efficacité et de la surface de référence énergétique.</t>
  </si>
  <si>
    <t>https://www.vd.ch/prestation/m10-demander-une-subvention-pour-lamelioration-de-la-classe-defficacite-cecbr-uniquement-pour-les-batiments-proteges-mh-et-inv-m10</t>
  </si>
  <si>
    <t>Zielvereinbarungen mit dem Bund für Unternehmen und Institutionen</t>
  </si>
  <si>
    <t>Zielvereinbarungen werden zwischen dem Bund und den Unternehmen abgeschlossen. Mit einer Teilnahme an einer Zielvereinbarung können Sie in Ihrem Unternehmen die Energieeffizienz steigern, die CO&lt;sub&gt;2&lt;/sub&gt;-Emissionen vermindern und dadurch Kosten sparen. Entscheiden Sie sich als Unternehmen, eine freiwillige Zielvereinbarung einzugehen, beteiligt sich das Förderprogramm Energie Winterthur an den Teilnahmekosten.</t>
  </si>
  <si>
    <t>Beratung Mobilität</t>
  </si>
  <si>
    <t>Zur Klärung Ihrer Fragen rund um Mobilität bietet der Kanton Zürich eine kostenlose Basisberatung für Liegenschaftsverwaltungen und Unternehmen an. Aufgrund der Basisberatung können in einer vertieften Beratung  die spezifischen Bedürfnisse untersucht und Lösungen dafür erarbeitet werden (u.a. Carsharing, flexible Arbeitsformen, Parkraummanagement, Anordnung und Bau von Veloabstellplätzen). Das Förderprogramm Energie Winterthur unterstützt die vertiefte Mobilitätsberatung.</t>
  </si>
  <si>
    <t>Beratung zum Aufbau eines thermischen Energienetzes</t>
  </si>
  <si>
    <t>Eine gemeinsame neue Wärmeverbundlösung zu initiieren, bedeutet viel Aufwand und benötigt das Engagement der Eigentümerschaften sowie die Dienste einer externen Fachplanerin oder eines externen Fachplaners. Das Förderprogramm Energie Winterthur unterstützt Sie dabei.</t>
  </si>
  <si>
    <t>Beratung Stockwerkeigentümerschaft zu energetischer Sanierung</t>
  </si>
  <si>
    <t>Diese Fördermassnahme unterstützt Sie als Eigentümerin oder Eigentümer sowie Verwaltung, die Stockwerkeigentümergemeinschaft über mögliche energetische Sanierungsmassnahmen zu informieren. Bevor eine solche Information an eine Stockwerksversammlung gefördert werden kann, muss eine GEAK-Plus-Beratung oder eine gleichwertige Fachberatung erfolgt sein.</t>
  </si>
  <si>
    <t>Enchères photovoltaïques</t>
  </si>
  <si>
    <t>Pour les installations PV d’une puissance supérieure à 150 kW et sans consommation propre, deux types d’encouragement sont disponibles:&lt;br /&gt;- Rétribution unique élevée (RUE) : couvrant jusqu’à 60% des coûts d’investissement des installations de référence&lt;br /&gt;- Prime de marché flottante (PMF) : le soutien est accordé sur une durée de rétribution fixe de 20 ans.&lt;br /&gt;Les deux modèles de soutien sont attribués par le biais de ventes aux enchères distinctes et parallèles, organisées par Pronovo.</t>
  </si>
  <si>
    <t>https://pronovo.ch/fr/subventions/photovoltaique/encheres/</t>
  </si>
  <si>
    <t>Bidirektionale Ladestation</t>
  </si>
  <si>
    <t>Förderung von bidirektionalen Ladestationen für Elektrofahrzeuge mit gekoppelter Solarstromanlage von Wohngebäuden.&lt;br /&gt;&lt;br /&gt;&lt;strong&gt;Förderbeitrag:&lt;/strong&gt;&lt;br /&gt;- Einmalig 2000 Fr. pro Ladestation</t>
  </si>
  <si>
    <t>Förderung von bidirektionalen Ladestationen für Elektrofahrzeuge mit gekoppelter Solarstromanlage von Wohngebäuden.&lt;br /&gt;&lt;br /&gt;&lt;strong&gt;Förderbeitrag:&lt;/strong&gt;&lt;br /&gt;- Einmalig 2000 Fr. pro Anlage</t>
  </si>
  <si>
    <t>https://sh.ch/CMS/Webseite/Kanton-Schaffhausen/Beh-rde/Verwaltung/Baudepartement/Departementssekretariat-Baudepartement/Energiefachstelle/Energief-rderprogramm-1566144-DE.html</t>
  </si>
  <si>
    <t>Beiträge für Massnahmen an der Gebäuhdehülle inklusive Fenster und Aussentüren.</t>
  </si>
  <si>
    <t>Gefördert werden neue Batteriespeicher von mindestens 4 kWh im Verbund mit einer PV-Anlage.&lt;br /&gt;Keine Erweiterungen bestehender Speicherkapazität. Einmaliger Beitrag: 1000 Fr.</t>
  </si>
  <si>
    <t>ColorWatt: Efficacité énergétique dans l'industrie des vernis et des peintures</t>
  </si>
  <si>
    <t>Le programme d'encouragement ColorWatt aide les entreprises de l'industrie des peintures et des vernis en Suisse à économiser de l'électricité. Lors du remplacement d'anciens appareils et installations, vous bénéficiez de subventions étendues. Parmi les mesures éligibles figurent l'éclairage, les installations de ventilation et de refroidissement, les installations de peinture ou les systèmes d'air comprimé.&lt;br /&gt;&lt;br /&gt;ColorWatt est un programme de ProKilowatt.</t>
  </si>
  <si>
    <t>https://www.ebp.global/ch-en/projects/colorwatt-energy-efficiency-paint-and-coating-industry</t>
  </si>
  <si>
    <t>Nouvelle Construction Minergie-P ou CECB A/A</t>
  </si>
  <si>
    <t>Nouvelle construction CECB A/A</t>
  </si>
  <si>
    <t>Abbonamento bike-sharing e car-sharing</t>
  </si>
  <si>
    <t>Progetti faro</t>
  </si>
  <si>
    <t>Impianti di recupero acqua piovana</t>
  </si>
  <si>
    <t>https://www.stabio.ch/servizi/ambiente-e-territorio/trasporti-e-mobilita/ecomobility</t>
  </si>
  <si>
    <t>Mesures d’efficacités énergétiques dans les industries et les entreprises</t>
  </si>
  <si>
    <t>https://www.neuchatelville.ch/energie/strategie#subventions-communales-2895</t>
  </si>
  <si>
    <t>Mesures exemplaires prises sur des bâtiments ou installations communales</t>
  </si>
  <si>
    <t>Mesures de sensibilisation ou de promotion des économies d'énergie, de l'efficacité énergétique ou de la production d'énergie renouvelable</t>
  </si>
  <si>
    <t>Systèmes de décompte individuel de chauffage</t>
  </si>
  <si>
    <t>Location de vélo électrique</t>
  </si>
  <si>
    <t>100% du prix de la location pour 1 ou 2 mois, mais au maximum CHF 400.-</t>
  </si>
  <si>
    <t>Infrastructure couverte pour vélos</t>
  </si>
  <si>
    <t>Assistance à maîtrise d’ouvrage</t>
  </si>
  <si>
    <t>https://www.yverdon-energies.ch/programmes/assisstance-a-maitrise-douvrage-amo/</t>
  </si>
  <si>
    <t>Amélioration de l’enveloppe thermique</t>
  </si>
  <si>
    <t>https://www.vevey.ch/prestations/isolation-thermique-ponctuelle-exemplaire</t>
  </si>
  <si>
    <t>Rénovation d’un bâtiment protégé</t>
  </si>
  <si>
    <t>50% du montant de la subvention cantonale (max. CHF 20'000.-)</t>
  </si>
  <si>
    <t>https://www.vevey.ch/prestations/renovation-dun-batiment-protege</t>
  </si>
  <si>
    <t>Audit énergétique PEIK pour les PME</t>
  </si>
  <si>
    <t>https://www.vevey.ch/prestations/audit-energetique-peik-pour-les-pme</t>
  </si>
  <si>
    <t>Diagnostic déchets et vaisselle réutilisable</t>
  </si>
  <si>
    <t>https://www.vevey.ch/prestations/diagnostic-dechets-et-vaisselle-reutilisable</t>
  </si>
  <si>
    <t>Conseil au Programme Bâtiments</t>
  </si>
  <si>
    <t>Conseil gratuit par un spécialiste pour l’assainissement énergétique de votre bâtiment</t>
  </si>
  <si>
    <t>Changement de fenêtres</t>
  </si>
  <si>
    <t>Installation solaire photovoltaïque &amp;amp; thermique</t>
  </si>
  <si>
    <t>Installation d’un chauffe-eau thermodynamique</t>
  </si>
  <si>
    <t>en remplacement d’un boiler électrique</t>
  </si>
  <si>
    <t>Abonnements transport public</t>
  </si>
  <si>
    <t>Premier abonnement annuel demi tarif ou carte junior et carte enfant accompagné</t>
  </si>
  <si>
    <t>Achat vélos, remorque ou charette conventionnel</t>
  </si>
  <si>
    <t>neuf ou d’occasion</t>
  </si>
  <si>
    <t>Appareils électroménager efficient</t>
  </si>
  <si>
    <t>Solarstrombatterie</t>
  </si>
  <si>
    <t>Reconditionnement de la téléphonie et des appareils électroniques</t>
  </si>
  <si>
    <t>Audit énergétique (CECB+, PEIK)</t>
  </si>
  <si>
    <t>Système de récupération d'eaux pluviales</t>
  </si>
  <si>
    <t>Grundbeitrag: 1000 Fr., davon 50% in «Steckborer Gäld»&lt;br /&gt;Keine Förderbeiträge bei Neubauten.</t>
  </si>
  <si>
    <t>Kostenlose Abgabe eines Regenwassertanks mit Massen 100x120x116 cm (BxLxH), Fassmenge 1000 Liter, gratis angeliefert auf das Grundstück, ohne Zubehör.</t>
  </si>
  <si>
    <t>Veloanhänger</t>
  </si>
  <si>
    <t>Beitrag von 20% des Kaufpreises jedoch max. 100 Fr.</t>
  </si>
  <si>
    <t>Abonnement mobilityMEMBER</t>
  </si>
  <si>
    <t>Chauffage secondaire au bois (pôele)</t>
  </si>
  <si>
    <t>Abonnement Frimobil, abonnement demi-tarif, abonnement général</t>
  </si>
  <si>
    <t>Première distribution de chauffage</t>
  </si>
  <si>
    <t>Kit d’économie d’énergie &amp;amp; conseils</t>
  </si>
  <si>
    <t>https://www.orbe.ch/mon-quotidien/aides-financi%C3%A8res-communales-%E2%80%93-subventions/programme-%C2%AB-kit-d%E2%80%99%C3%A9conomie-d%E2%80%99%C3%A9nergie-conseils-%C2%BB</t>
  </si>
  <si>
    <t>Vaisselle réutilisable pour les manifestations</t>
  </si>
  <si>
    <t>Komfortkühlung über Fernkälte</t>
  </si>
  <si>
    <t>Gefördert wird der Anschluss an ein bestehendes Fernkältenetz für die Komfortkühlung. Der Beitrag setzt sich zusammen aus 1000 Fr. Grundbeitrag und 1.50 Fr. pro m&lt;sup&gt;2&lt;/sup&gt; Energiebezugsfläche. Der Förderbeitrag pro Objekt beträgt maximal 10'000 Fr.</t>
  </si>
  <si>
    <t>https://www.baden.ch/de/leben-wohnen/energie-mobilitaet/energie/foerderung/kuehlung-und-weiteres.html/723</t>
  </si>
  <si>
    <t>Raccordement au réseau de chauffage à distance</t>
  </si>
  <si>
    <t>Batterie de stockage ou borne de recharge électrique pour voiture électrique</t>
  </si>
  <si>
    <t>Vélo adulte non électrique</t>
  </si>
  <si>
    <t>Toiture végétalisée extensive</t>
  </si>
  <si>
    <t>Réutilisation d’eau de pluie ou d’eau de douche</t>
  </si>
  <si>
    <t>Vaisselle réutilisable</t>
  </si>
  <si>
    <t>Die Gemeinde Horgen unterstützt die umfassende Beratung GEAK Plus mit 300 Fr.</t>
  </si>
  <si>
    <t>https://www.horgen.ch/ueber-horgen/politik/energiestadt-horgen/energieberatung.html/407</t>
  </si>
  <si>
    <t>Économies d'énergie dans les cuisines professionnelles - induction</t>
  </si>
  <si>
    <t>CHF 1'500 par plaque de cuisson remplacée, maximum de 4 plaques, plafonné à 20% des coûts d'investissement.</t>
  </si>
  <si>
    <t>Remplacement d'un système d'éclairage énergivore</t>
  </si>
  <si>
    <t>20% du coût de remplacement plafonné à CHF 5'000</t>
  </si>
  <si>
    <t>Certification de durabilité pour les entreprises</t>
  </si>
  <si>
    <t>20% des frais annuels de certification pour les deux premières années, plafonné à CHF 2'500. Concerne les certifications attestant d'une démarche durable de l'entreprise, comme EcoEntreprise, ISO 14001, B-Corp, etc.</t>
  </si>
  <si>
    <t>Installation de toilettes sèches</t>
  </si>
  <si>
    <t>20% des coûts des travaux d’installation d’un système de toilettes sèches intégré dans un bâtiment, plafonné à CHF 5'000 pour un habitat individuel et CHF 10'000 pour un habitat collectif et autres.</t>
  </si>
  <si>
    <t>Récupération d'eau de pluie</t>
  </si>
  <si>
    <t>Pour les récupérateurs d’une capacité ≤ 500 litres : 20% des coûts des travaux, plafonné à CHF 500.00. Pour les récupérateurs d’une capacité &amp;gt; 500 litres : 20% des coûts des travaux, plafonné à CHF 6'000.00.</t>
  </si>
  <si>
    <t>Mutualisation pompe à chaleur</t>
  </si>
  <si>
    <t>30% du coût de l’installation, plafonné à CHF 10'000.00. Forfait en fonction du nombre de ménages connectés, à consulter sur le site</t>
  </si>
  <si>
    <t>Gebäudemodernisierung</t>
  </si>
  <si>
    <t>Ersatzneubauten nach Minergie-P</t>
  </si>
  <si>
    <t>Ersatz von elektrischen und fossilen Heizungen durch Wärmepumpen</t>
  </si>
  <si>
    <t>Zertifikate WP-Systemmodul</t>
  </si>
  <si>
    <t>Erstellung einer Wärmeverteilung</t>
  </si>
  <si>
    <t>Ersatz von Öl- und Elektroheizungen durch Holzheizungen</t>
  </si>
  <si>
    <t>Holzfeuerungen ab 70 kW</t>
  </si>
  <si>
    <t>Anergienetz</t>
  </si>
  <si>
    <t>Mobilitätsmanagement im Unternehmen</t>
  </si>
  <si>
    <t>Die Stadt Wil ermöglicht Ihnen eine kostenlose dreistündige Vorgehensberatung für die energetische Optimierung Ihrer Liegenschaft. &lt;br /&gt;Für die Erstberatung ist kein Gesuch notwendig. Die Beratung wird erbracht durch die Firma NOVA Energie AG in Sirnach. Kontaktanfragen bitte direkt an: &lt;a href="mailto:sirnach@novaenergie.ch" target="_blank" rel="noopener"&gt;sirnach@novaenergie.ch&lt;/a&gt; senden.</t>
  </si>
  <si>
    <t>https://www.stadtwil.ch/energiestadt/19354</t>
  </si>
  <si>
    <t>Certificat énergétique cantonal des bâtiments plus (CECB+)</t>
  </si>
  <si>
    <t>Location de kits vaisselle réutilisable</t>
  </si>
  <si>
    <t>Bonus emploi de matériaux écologiques</t>
  </si>
  <si>
    <t>Passeport vélo pours transports publics</t>
  </si>
  <si>
    <t>Remorque vélo</t>
  </si>
  <si>
    <t>Abonnement vélostation</t>
  </si>
  <si>
    <t>Wärmedämmung von Kellerdecke oder Estrichboden</t>
  </si>
  <si>
    <t>Betriebsoptimierung von Heizsystemen</t>
  </si>
  <si>
    <t>Abwrackprämie für fossile oder elektrische Heizsysteme</t>
  </si>
  <si>
    <t>Elektro-Ladeinfrastruktur</t>
  </si>
  <si>
    <t>Ersatz Elektroboiler durch Wärmepumpenboiler</t>
  </si>
  <si>
    <t>Reduktion des Wärmeverbrauchs in Privathaushalten</t>
  </si>
  <si>
    <t>Reduktion des Stromverbrauchs in Privathaushalten</t>
  </si>
  <si>
    <t>Halböffentliche Ladestation für Elektrofahrzeuge</t>
  </si>
  <si>
    <t>Photovoltaik-Fassadenanlagen</t>
  </si>
  <si>
    <t>Umstellung individualisierte Heizkostenabrechnung MFH</t>
  </si>
  <si>
    <t>Gefördert wird der Ersatz reiner Elektroboiler oder fossil betriebener Heizregister durch Wärmepumpenboiler.</t>
  </si>
  <si>
    <t>Gobelets réutilisables</t>
  </si>
  <si>
    <t>Chauffage à bois automatique, puissance cal. ≤ 70 kW</t>
  </si>
  <si>
    <t>L'installation doit remplacer un chauffage fonctionnant au mazout ou au gaz naturel, ou un chauffage électrique fixe à résistance.&lt;br /&gt;&lt;br /&gt;&lt;strong&gt;Contribution financière&lt;/strong&gt;&lt;br /&gt;- 3000 fr.+ 50 fr. par kW&lt;br /&gt;- Bonus pour pose de compteur de chaleur: + 1000 fr.</t>
  </si>
  <si>
    <t>https://www.ge-energie.ch/chauffage-bois-automatique-puissance-calorifique-70-kw</t>
  </si>
  <si>
    <t>Chauffage à bois automatique, puissance cal. &amp;gt; 70 kW</t>
  </si>
  <si>
    <t>L'installation doit remplacer un chaffuage fonctionnant au mazout ou au gaz naturel, ou un chaffuage électrique fixe à résistance.&lt;br /&gt;&lt;br /&gt;&lt;strong&gt;Contribution financière&lt;/strong&gt;&lt;br /&gt;- Plus de 70 kW&lt;sub&gt;th&lt;/sub&gt; à 500 kW&lt;sub&gt;th&lt;/sub&gt;: 360 fr. par kW&lt;sub&gt;th&lt;/sub&gt;&lt;br /&gt;- A partir de 500 kW&lt;sub&gt;th&lt;/sub&gt; : 80 000 fr. + 200 fr. par kW&lt;sub&gt;th&lt;/sub&gt;</t>
  </si>
  <si>
    <t>https://www.ge-energie.ch/index.php/chauffage-bois-automatique-70-kw</t>
  </si>
  <si>
    <t>Bonus pour l'efficacité énergétique globale</t>
  </si>
  <si>
    <t>Il s'agit d'une contribution supplémentaire pour la rénovation de bâtiment avec mesures ponctuelles, selon les mesures M‐01 à M‐09, qui atteignent le standard HPE-Rénovation (variante mopec, Minergie ou CECB).&lt;br /&gt;&lt;br /&gt;&lt;strong&gt;Contribution financière&lt;/strong&gt;&lt;br /&gt;- Dépend de la mesure d'assainissement</t>
  </si>
  <si>
    <t>https://www.ge-energie.ch/bonus-pour-lefficacite-energetique-globale</t>
  </si>
  <si>
    <t>Documentation (fiches, brochures, bulletins, flyers)</t>
  </si>
  <si>
    <t>Subvention pour l'élaboration de documentation en lien avec le programme bâtiment et le PDE permettant une réduction des émissions de CO2 dans les bâtiments.&lt;br /&gt;&lt;br /&gt;&lt;strong&gt;Contribution financière&lt;/strong&gt;&lt;br /&gt;- Sur demande</t>
  </si>
  <si>
    <t>https://www.ge-energie.ch/documentation-fiches-brochures-bulletins-flyers</t>
  </si>
  <si>
    <t>Contribution médiatiques (newsletter, article de presse etc.)</t>
  </si>
  <si>
    <t>Subvention pour des contributions médiatiques en lien avec le programme bâtiment et le PDE permettant une réduction des émissions de CO&lt;sub&gt;2&lt;/sub&gt; dans les bâtiments. P.ex: newsletter, article de presse, article spécialisé, émissions de radio et de télévision, spots, publireportages, annonces, affichage dans les bus, ...&lt;br /&gt;&lt;br /&gt;&lt;strong&gt;Contribution financière&lt;/strong&gt;&lt;br /&gt;- Sur demande</t>
  </si>
  <si>
    <t>https://www.ge-energie.ch/contributions-mediatiques-newsletter-article-de-presse-etc</t>
  </si>
  <si>
    <t>Foires / expositions (organisation, accessoires de stand)</t>
  </si>
  <si>
    <t>Subvention pour la tenue de foires ou expositions en lien avec le programme bâtiment et le PDE permettant une réduction des émissions de CO2 dans les bâtiments. P.ex: organisation, accessoires de stand, ...&lt;br /&gt;&lt;br /&gt;&lt;strong&gt;Contribution financière&lt;/strong&gt;&lt;br /&gt;- Sur demande</t>
  </si>
  <si>
    <t>https://www.ge-energie.ch/foires-expositions-organisation-accessoires-de-stand</t>
  </si>
  <si>
    <t>Manifestations (journées de l’énergie, séminaires d’échange d’expériences, etc.)</t>
  </si>
  <si>
    <t>Subvention pour la tenue de manifestations en lien avec le programme bâtiment et le PDE permettant une réduction des émissions de CO&lt;sub&gt;2&lt;/sub&gt; dans les bâtiments. P.ex: journées portes ouvertes, apéritifs énergie, journées de l’énergie, séminaires d’échange d’expériences, etc.&lt;br /&gt;&lt;br /&gt;Contribution financière&lt;br /&gt;- Sur demande</t>
  </si>
  <si>
    <t>https://www.ge-energie.ch/manifestations-journees-de-lenergie-seminaires-dechange-dexperiences-etc</t>
  </si>
  <si>
    <t>Betriebsoptimierung: Minergie Monitoring</t>
  </si>
  <si>
    <t>Anteilsmässig werden die Aufwendungen für das Planen und Installieren eines Minergie-Monitorings für Strom, Endenergie und Nutzenergie Heizung/Warmwasser in Wohn- und Dienstleistungsbauten gefördert.&lt;br /&gt;&lt;br /&gt;&lt;strong&gt;Förderbeitrag&lt;/strong&gt;&lt;br /&gt;- Neubau: 10 % der Investitionssumme, maximal 2000 Fr.&lt;br /&gt;- Modernisierung: 20 % der Investitionssumme, maximal 6000 Fr.</t>
  </si>
  <si>
    <t>https://energie.so.ch/foerderung/foerdermassnahmen/minergie/</t>
  </si>
  <si>
    <t>Minergie Qualitätssicherung Betrieb (MQS Betrieb)</t>
  </si>
  <si>
    <t>Anteilsmässig wird die Minergie-Gebühr für die Minergie Auszeichnung "MQS Betrieb" gefördert.&lt;br /&gt;&lt;br /&gt;&lt;strong&gt;Förderbeitrag&lt;/strong&gt;&lt;br /&gt;- 20 % der Gebühr für MQS Betrieb</t>
  </si>
  <si>
    <t>Minergie Qualitätssicherung Bau (MQS Bau)</t>
  </si>
  <si>
    <t>Anteilsmässig wird die Minergie-Gebühr für den Minergie-Auszeichnung "MQS Bau" gefördert.&lt;br /&gt;&lt;br /&gt;&lt;strong&gt;Förderbeitrag&lt;/strong&gt;&lt;br /&gt;- 10 % der Gebühr</t>
  </si>
  <si>
    <t>Minergie-Nachweise</t>
  </si>
  <si>
    <t>Anteilsmässig wird die Gebühr für den Minergie-Antrag gefördert.&lt;br /&gt;&lt;br /&gt;&lt;strong&gt;Förderbeitrag&lt;/strong&gt;&lt;br /&gt;- Minergie-Neubau: 10 %)&lt;br /&gt;- Minergie-Modernisierung: 20 %&lt;br /&gt;- Neubau nach Minergie-P: 20 % &lt;br /&gt;- Modernisierung nach Minergie-P: 40 %&lt;br /&gt;- Neubau nach Minergie-A: 25 %&lt;br /&gt;- Modernisierung nach Minergie-A: 50 %</t>
  </si>
  <si>
    <t>Apparecchi ad alta efficienza energetica</t>
  </si>
  <si>
    <t>Sostituzione di boiler elettrici con uno scaldacqua a pompa di calore</t>
  </si>
  <si>
    <t>Ladeinfrastruktur für Elektrobusse des öffentlichen Personennahverkehrs</t>
  </si>
  <si>
    <t>Ladeinfrastrukturen für elektrisch angetriebene Busse des öffentlichen Personennahverkehrs werden gefördert.&lt;br /&gt;&lt;br /&gt;&lt;a href="https://www.stadt-zuerich.ch/portal/de/index/politik_u_recht/amtliche_sammlung/inhaltsverzeichnis/7/732/361-ausfuehrungsbestimmungen-zur-verordnung-ueber-gemeinwirtscha.html" target="_blank" rel="noopener"&gt;Bestimmungen&lt;/a&gt;</t>
  </si>
  <si>
    <t>Bildungs- und Sensibilisierungsmassnahmen</t>
  </si>
  <si>
    <t>Bildungs- und Sensibilisierungsmassnahmen gemäss Art. 7 Abs. 1 lit. f VGL werden einmalige oder wiederkehrende Beiträge von bis zu 50 Prozent der anfallenden Kosten ausgerichtet.&lt;br /&gt;&lt;br /&gt;Fördergeldrechner: &lt;a href="https://rechner.energie-foerderung.ch/zs" target="_blank" rel="noopener"&gt;energie-foerderung.ch&lt;/a&gt;&lt;br /&gt;&lt;a href="https://www.stadt-zuerich.ch/portal/de/index/politik_u_recht/amtliche_sammlung/inhaltsverzeichnis/7/732/361-ausfuehrungsbestimmungen-zur-verordnung-ueber-gemeinwirtscha.html" target="_blank" rel="noopener"&gt;Bestimmungen&lt;/a&gt;</t>
  </si>
  <si>
    <t>https://www.stadt-zuerich.ch/energie/de/index/foerderung/alle-foerderprogramme/weitere-foerdermassnahmen.html</t>
  </si>
  <si>
    <t>Subvention pour Remplacement des chauffages électriques et mazout par renouvelable.</t>
  </si>
  <si>
    <t>https://fully.ch/fr/subventions-communales</t>
  </si>
  <si>
    <t>Installation d'un filtre sur chauffage à bois</t>
  </si>
  <si>
    <t>Réseau hydraulique</t>
  </si>
  <si>
    <t>Remplacement chauffe-eau et boiler électriques</t>
  </si>
  <si>
    <t>Subvention pour remplacement chauffe-eau et boiler électriques par chauffe-eau PAC.</t>
  </si>
  <si>
    <t>Ladestationen für Elektroautos</t>
  </si>
  <si>
    <t>Förderbeitrag: pro Ladestation (max. 2 pro Haushalt) 600 Fr.</t>
  </si>
  <si>
    <t>https://www.rafz.ch/online-schalter/94619/detail</t>
  </si>
  <si>
    <t>Speicherbatterie für Photovoltaikanlagen</t>
  </si>
  <si>
    <t>Förderbeitrag: Speicherbatterie pro kWh (max. 20 kWh) 100 Fr.</t>
  </si>
  <si>
    <t>Förderbeiträge:&lt;br /&gt;- Einfamilienhaus 1000 Fr.&lt;br /&gt;- Mehrfamilienhaus 2000 Fr.</t>
  </si>
  <si>
    <t>Abonnements annuels 2&lt;sup&gt;ème&lt;/sup&gt; classe bénéficiant d’un soutien: Demi-tarif et Abonnement général</t>
  </si>
  <si>
    <t>Achat d’un vélo ou d’un vélo électrique auprès d’un commerçant avenchois.&lt;br /&gt;Soutien limité à 1 vélo par ménage et par année.</t>
  </si>
  <si>
    <t>Etudes de faisabilité (énergies renouvelables et réseaux de distribution)</t>
  </si>
  <si>
    <t>Förderbeitrag: 500 Fr. Pauschalbetrag</t>
  </si>
  <si>
    <t>https://www.gws.ch/energieberatung/#energief%C3%B6rderung</t>
  </si>
  <si>
    <t>Beratung für KMU</t>
  </si>
  <si>
    <t>Energieberatung für KMU: 600 Fr.&lt;br /&gt;Energiekonzepte: Beitrag 50% der offerierten Kosten, max. 2000 Fr.</t>
  </si>
  <si>
    <t>Gefördert wird der Ersatz von bestehenden, fossilen respektive direktelektrischen Heizungsanlagen durch Wärmepumpen-Anlagen.</t>
  </si>
  <si>
    <t>Förderbeitrag: 1500 Fr. + 200 Fr./m&lt;sup&gt;2&lt;/sup&gt; Kollektorfläche, maximal 10’000 Fr.</t>
  </si>
  <si>
    <t>Förderbeitrag: 50% der Pronovo EIV-Vergütung am IBN-Datum, maximal 10’000 Fr.</t>
  </si>
  <si>
    <t>Betriebsoptimierung der HLK-Anlage&lt;br /&gt;Förderbeitrag: 20% der Kosten, maximal 5000 Fr.</t>
  </si>
  <si>
    <t>Ersatz von Pumpen und Motoren</t>
  </si>
  <si>
    <t>Förderbeitrag: ≤ 100 W 300 Fr., &amp;gt; 100 W 500 Fr.</t>
  </si>
  <si>
    <t>https://www.gws.ch/energieberatung/#energieberatung-st%C3%A4fa</t>
  </si>
  <si>
    <t>Conseils en énergie</t>
  </si>
  <si>
    <t>La Ville de Bienne prend en charge les de ce service pour sa population.</t>
  </si>
  <si>
    <t>https://www.biel-bienne.ch/fr/promotion-climat-energie.html/2889</t>
  </si>
  <si>
    <t>Encouragement pour des quartiers d’habitation sans ou avec peu de voitures</t>
  </si>
  <si>
    <t>Subvention: &lt;br /&gt;- Lotissement avec peu de voitures: 25 % des frais d'établissement du concept de mobilité exigé jusqu'à un montant maximal de CHF 7500&lt;br /&gt;- Lotissement sans voitures: 75 % des frais d'établissement du concept de mobilité exigé jusqu'à un montant maximal de CHF 20'000</t>
  </si>
  <si>
    <t>Encouragement pour des entreprises avec peu de voitures</t>
  </si>
  <si>
    <t>Subvention: 25 % des coûts de réalisation du concept de mobilité jusqu’à CHF 7500 au maximum</t>
  </si>
  <si>
    <t>Vélos-cargos (électriques)</t>
  </si>
  <si>
    <t>Subvention: 20 % du prix du vélo-cargo (électrique), jusqu’à CHF 300 au maximum</t>
  </si>
  <si>
    <t>Projets de sensibilisation et de perfectionnement</t>
  </si>
  <si>
    <t>Subvention: 25 % des coûts totaux, jusqu’à concurrence de CHF 5000</t>
  </si>
  <si>
    <t>Conseil rénovation énergétique</t>
  </si>
  <si>
    <t>Montant: 100% pris en charge par la Ville de Fribourg. Les conditions d’octroi sont précisées dans le règlement d’application afférent.</t>
  </si>
  <si>
    <t>Conseil solaire</t>
  </si>
  <si>
    <t>Montant: 100 % pris en charge par la Ville de Fribourg. Les conditions d'octroi sont précisées dans le règlement d'application afférent.</t>
  </si>
  <si>
    <t>Mesure transitoire chauffage à distance (CAD)</t>
  </si>
  <si>
    <t>Subvention pour la mise en place d’une solution transitoire pour la production de chaleur dans l’attente de l’arrivée du CAD.  Valable pour les propriétaires de bâtiment(s) se situant dans un périmètre où le chauffage à distance va se déployer prochainement et qui doivent renouveler leur chaudière sans délai.</t>
  </si>
  <si>
    <t>Vélo électrique / batterie de remplacement</t>
  </si>
  <si>
    <t>Subvention pour l’achat d’un vélo électrique de ville neuf, y compris les vélos cargos et longtails, ou d’une batterie neuve. Valable uniquement pour les achats réalisés dans un magasin localisé et enregistré en Suisse, de préférence dans la région.</t>
  </si>
  <si>
    <t>Energiebetriebe</t>
  </si>
  <si>
    <t>Die Berghilfe unterstützt Unternehmen im Berggebiet, die aus erneuerbaren Ressourcen Energie gewinnen und sie wirtschaftlich nutzbar machen.</t>
  </si>
  <si>
    <t>https://www.berghilfe.ch/gesuche/energie/energiebetriebe</t>
  </si>
  <si>
    <t>Conseils gratuits pour votre bien immobilier</t>
  </si>
  <si>
    <t>Équiwatt vous propose de mieux appréhender votre bâtiment, et de découvrir les différentes solutions de rénovations énergétiques et les bénéfices que vous pouvez en retirer.</t>
  </si>
  <si>
    <t>https://www.equiwatt-lausanne.ch/conseils-immo/</t>
  </si>
  <si>
    <t>Assistance à maître d'ouvrage en énergie (AMOén)</t>
  </si>
  <si>
    <t>Subvention de 50 % du coût du mandat d’AMOén jusqu’à CHF 10'000.-&lt;br /&gt;L’Assistance à maîtrise d’ouvrage en énergie (AMOén) a pour objectif de vous conseiller et de vous accompagner dans la réalisation de votre rénovation énergétique avec un·e spécialiste tout au long de votre démarche, de la planification à la réalisation des travaux.</t>
  </si>
  <si>
    <t>https://www.equiwatt-lausanne.ch/amoen/</t>
  </si>
  <si>
    <t>Centralina idroelettrica</t>
  </si>
  <si>
    <t>Produzione acqua calda sanitaria con pannelli/legna</t>
  </si>
  <si>
    <t>Climatizzazione stabile con energia solare</t>
  </si>
  <si>
    <t>Betriebsoptimierung nach Energo</t>
  </si>
  <si>
    <t>50% du coût de l’audit, maximum 1'000.- CHF</t>
  </si>
  <si>
    <t>https://www.massongex.ch/officiel/administration/services-communaux/energie/</t>
  </si>
  <si>
    <t>Isolation&lt;br /&gt;thermique</t>
  </si>
  <si>
    <t>20% de la subvention cantonale, maximum 10'000.- CHF par bâtiment</t>
  </si>
  <si>
    <t>Chauffage à bois avec réservoir journalier, Chauffage à bois automatique P ≤ 70 kW, Chauffage à bois automatique P &amp;gt; 70 kW: 20% de la subvention cantonale, maximum 10'000.- CHF par bâtiment</t>
  </si>
  <si>
    <t>air/eau, eau/eau: 20% de la subvention cantonale, maximum 10'000.- CHF par bâtiment</t>
  </si>
  <si>
    <t>20% de la subvention cantonale, maximum 20'000.- CHF par bâtiment</t>
  </si>
  <si>
    <t>Restwertentschädigung bei vorzeitigem Heizungsersatz</t>
  </si>
  <si>
    <t>Die Massnahme Restwertentschädigung bezweckt die Förderung des vorzeitigen Ersatzes einer bestehenden fossil betriebenen Heizung.&lt;br /&gt;&lt;br /&gt;&lt;a href="https://www.stadt-zuerich.ch/portal/de/index/politik_u_recht/amtliche_sammlung/inhaltsverzeichnis/7/732/361-ausfuehrungsbestimmungen-zur-verordnung-ueber-gemeinwirtscha.html" target="_blank" rel="noopener"&gt;Bestimmungen&lt;/a&gt;</t>
  </si>
  <si>
    <t>https://www.stadt-zuerich.ch/energie/de/index/foerderung/alle-foerderprogramme/Restwertentschaedigung_Heizungsersatz.html</t>
  </si>
  <si>
    <t>Plug &amp;amp; Play Solaranlagen</t>
  </si>
  <si>
    <t>Ab 1. Januar 2023 gibt es für ewz Kundinnen und Kunden 200 Fr. pro Panel auf 1-Panel- und 2-Panel-Anlagen ab 250 W, maximal 400 Fr.</t>
  </si>
  <si>
    <t>https://www.ewz.ch/de/ueber-ewz/nachhaltigkeit/unser-beitrag/foerderbeitrag.html</t>
  </si>
  <si>
    <t>Amélioration de classe d’efficacité CECB</t>
  </si>
  <si>
    <t>Aides financières:&lt;br /&gt;- 50% de subvention cantonale&lt;br /&gt;- Habitat individuell max. 10'000 CHF&lt;br /&gt;- Immeuble max. 20'000 CHF</t>
  </si>
  <si>
    <t>https://www.sion.ch/eauetenergie/66802</t>
  </si>
  <si>
    <t>Audit PEIK pour les PME</t>
  </si>
  <si>
    <t>Aides financières: 50% de la subvention OFEN, max. 5000 CHF</t>
  </si>
  <si>
    <t>Remplacement production de chaleur et distribution de chaleur</t>
  </si>
  <si>
    <t>- Chauffage à bûches/ à pellets avec réservoir journalier, Chauffage à bois automatique, Pompes à chaleur: 50% de la subvention cantonale, max. 5000 CHF&lt;br /&gt;- Raccodrement CAD: 20% de la subvention cantonale, max. 2000 CHF&lt;br /&gt;- Bonus – première installation distribution chaleur: 20% de la subvention cantonale, max. 2000 CHF</t>
  </si>
  <si>
    <t>Beratungsmodule Veloverkehr</t>
  </si>
  <si>
    <t>Die Fachstelle Veloverkehr berät kostenlos Projektleitende, Stadt- und Gemeindeverwaltungen sowie Planungs- und Ingenieurbüros. Dabei steht der Ausbau bedarfsgerechter Veloinfrastruktur in den Gemeinden im Fokus.</t>
  </si>
  <si>
    <t>https://www.zh.ch/de/mobilitaet/mobilitaetsberatung.html</t>
  </si>
  <si>
    <t>Thermische Sonnenkollektor-Anlagen</t>
  </si>
  <si>
    <t>Fördergeldrechner: &lt;a href="https://rechner.energie-foerderung.ch/zs" target="_blank" rel="noopener"&gt;energie-foerderung.ch&lt;/a&gt;&lt;br /&gt;&lt;a href="https://www.stadt-zuerich.ch/portal/de/index/politik_u_recht/amtliche_sammlung/inhaltsverzeichnis/7/732/361-ausfuehrungsbestimmungen-zur-verordnung-ueber-gemeinwirtscha.html" target="_blank" rel="noopener"&gt;Bestimmungen&lt;/a&gt;</t>
  </si>
  <si>
    <t>https://www.stadt-zuerich.ch/energie/de/index/foerderung/alle-foerderprogramme/thermische-sonnenkollektoranlagen.html</t>
  </si>
  <si>
    <t>Sostituzione pompa di calore</t>
  </si>
  <si>
    <t>Conversione impianto di riscaldamento</t>
  </si>
  <si>
    <t>Impianto solare</t>
  </si>
  <si>
    <t>https://www.caslano.ch/Ufficio-tecnico-comunale-861f7d00</t>
  </si>
  <si>
    <t>Allestimento certificazioni e consulenze</t>
  </si>
  <si>
    <t>Subvention pour acquisition de vélo électrique</t>
  </si>
  <si>
    <t>Vous souhaitez passer à une mobilité douce? La commune de Céligny vous offre une subvention de 250 fr. pour l'achat d’un vélo à assistance électrique. Les subventions sont valables jusqu'à l’épuisement du budget dévolu. Elles ne sont pas cumulables et une seule subvention par personne est accordée. &lt;br /&gt;Réservé aux habitants de la Commune de Céligny.</t>
  </si>
  <si>
    <t>https://www.celigny.ch/demarches/subventions/subvention-velo-a-assistance-electrique</t>
  </si>
  <si>
    <t>Subventions borne véhicule électrique</t>
  </si>
  <si>
    <t>Le Canton de Genève subventionne les bornes de recharge spécifiques aux véhicules électriques, et ce en collaboration avec la Mairie. Les conditions d’obtention de la subvention sont les suivantes dès le 1.1.2019: Borne de recharge (et PAS prise simple) installée dans une propriété privée pour un usage individuel sur le territoire genevois. Installateur agréé et contrôle OIBT.&lt;br /&gt;&lt;br /&gt;Les intéressés habitant la commune peuvent s’adresser à la Mairie afin de connaître les modalités administratives.</t>
  </si>
  <si>
    <t>https://www.celigny.ch/demarches/subventions/subventions-borne-vehicule-electrique</t>
  </si>
  <si>
    <t>Stratégie climatique pour les communes</t>
  </si>
  <si>
    <t>Le canton de Berne offre aux communes un soutien financier pour l'élaboration d'une stratégie climatique. Les conditions préalables sont la procédure selon les huit étapes du «Guide de la stratégie climatique pour les communes» de l'Office fédéral de l'environnement OFEV et l'utilisation du bilan des gaz à effet de serre du canton de Berne.&lt;br /&gt;&lt;br /&gt;&lt;strong&gt;Contribution financière:&lt;/strong&gt;&lt;br /&gt;- en fonction de la mesure</t>
  </si>
  <si>
    <t>https://www.weu.be.ch/fr/start/themen/umwelt/klima/foerderprogramm-klimaprogramm.html</t>
  </si>
  <si>
    <t>Solaire photovoltaïque &amp;amp; Patrimoine</t>
  </si>
  <si>
    <t>&lt;p&gt;Le Canton de Vaud a mis en place une subvention pour l’installation de panneaux solaires destinée aux propriétaires de bâtiments avec une mesure de protection (MH ou INV) ou situés dans des sites protégés (ISOS-A).&lt;br /&gt;&lt;br /&gt;&lt;/p&gt;_x000D_
&lt;p&gt;&lt;strong&gt;Contribution financière:&lt;/strong&gt;&lt;br /&gt;- Max. 40 % du coût total de l’installation ou 50 000 fr.&lt;/p&gt;</t>
  </si>
  <si>
    <t>https://www.vd.ch/prestation/s04-demander-une-subvention-solaire-photovoltaique-patrimoine</t>
  </si>
  <si>
    <t>Plan communal des énergies et du climat</t>
  </si>
  <si>
    <t>Les communes ou groupements de communes doivent établir leur plan des énergies d'ici au 1er janvier 2025. L'État soutient les communes dans ces démarches en mettant à leur disposition des documents nécessaires et en leur proposant une subvention.</t>
  </si>
  <si>
    <t>https://www.ne.ch/autorites/DDTE/SENE/energie/Pages/Politique-energetique.aspx</t>
  </si>
  <si>
    <t>Processus "Cité de l'énergie"</t>
  </si>
  <si>
    <t>L'État accompagne les communes dans le processus "Cité de l'énergie".</t>
  </si>
  <si>
    <t>Pilotprojekte Klima &amp;amp; Energie</t>
  </si>
  <si>
    <t>Der Kanton Luzern unterstützt in Zusammenarbeit mit der Hochschule Luzern engagierte Unternehmen, Organisationen, Start-ups oder Gemeinden dabei, Pilotprojekte in den Bereichen Klimaschutz, Klimaanpassung oder Energie zu initiieren, um die Herausforderungen des Klimawandels im Kanton Luzern anzugehen. Es können Projekte aus allen Handlungsfeldern eingereicht werden. &lt;br /&gt;&lt;br /&gt;&lt;strong&gt;Förderbeitrag&lt;/strong&gt;&lt;br /&gt;- Die Fördersumme pro Projekt liegt bei maximal 50 % der Gesamtkosten (minimal 2000 Fr.; maximal 100 000 Fr.)</t>
  </si>
  <si>
    <t>Auch Hybridkollektoren werden gefördert.</t>
  </si>
  <si>
    <t>min. 8 kW/h Batteriekapazität, bei Eigenstromproduktion</t>
  </si>
  <si>
    <t>Modernisierung nach Minergie-Standard</t>
  </si>
  <si>
    <t>Förderberechtigt sind Modernisierungen nach Minergie, Minergie-P und Minergie-A.</t>
  </si>
  <si>
    <t>https://www.oberuzwil.ch/publikationen/30380</t>
  </si>
  <si>
    <t>(Dach, Fassade, Bauteile gegen Erdreich)</t>
  </si>
  <si>
    <t>Gefördert werden Wärmepumpen als Ersatz für bestehende Heizung (Luft/Wasser-, Erdwärmesonden- und Grundwasser-Wärmepumpen).</t>
  </si>
  <si>
    <t>Gefördert werden Holzheizungen als Ersatz für bestehende Heizung und für Neubauten.</t>
  </si>
  <si>
    <t>Gefördert wird ein Fernwärmeanschluss als Ersatz für bestehende Heizung.</t>
  </si>
  <si>
    <t>Ladestation für Elektrofahrzeuge (nur öffentlich)</t>
  </si>
  <si>
    <t>https://www.unterseen.ch/informationen/energie.html</t>
  </si>
  <si>
    <t>Ersatz von Elektroboilern durch erneuerbare Energien</t>
  </si>
  <si>
    <t>Aktion Ladeinfrastruktur</t>
  </si>
  <si>
    <t>Die Aktion Ladeinfrastruktur richtet sich an Eigentümerinnen und Eigentümer von öffentlich zugänglichen und privaten Parkierungsanlagen am Standort Kanton Basel-Stadt, die ihre bereits bestehende oder neu zu erstellende Parkierungsanlage für das Laden von Elektroautos vorbereiten wollen.&lt;br /&gt;&lt;br /&gt;&lt;strong&gt;Förderbeitrag&lt;/strong&gt;&lt;br /&gt;- Parkierungsanlagen mit öffentlichem Zugang: 60 % der zugelassenen Kosten (inkl. MWST), maximal 3500 Fr. pro Ladepunkt&lt;br /&gt;- Parkierungsanlagen ohne öffentlichen Zugang: 60 % der zugelassenen Kosten (inkl. MWST), maximal 1300 Fr. pro Ladepunkt&lt;br /&gt;- Öffentlicher Carsharing-Standort: 60 % der zugelassenen Kosten (inkl. MWST), maximal 7500 Fr. pro Ladepunkt</t>
  </si>
  <si>
    <t>https://www.bs.ch/wsu/aue/abteilung-koordinationsstelle-umweltschutz/elektromobilitaet/ladeinfrastruktur</t>
  </si>
  <si>
    <t>Die Gemeinde Salgesch fördert die Erstellung eines GEAK Plus mit einem finanziellen Beitrag.</t>
  </si>
  <si>
    <t>https://www.salgesch-gemeinde.ch/projekte</t>
  </si>
  <si>
    <t>Rückgewinnung von Regenwasser</t>
  </si>
  <si>
    <t>Salgesch unterstützt Massnahmen zur Rückgewinnung von Regenwasser mit einem Förderbeitrag.</t>
  </si>
  <si>
    <t>https://www.salgesch-gemeinde.ch/dienstleistungen/102580</t>
  </si>
  <si>
    <t>Solaire thermique pour la chaleur de processus</t>
  </si>
  <si>
    <t>Le soleil constitue une précieuse source de chaleur, que vous pouvez utiliser en lieu et place de combustibles fossiles, de bois ou d’électricité. Une étude de faisabilité vous permettra de savoir si cela en vaut la peine pour votre entreprise.&lt;br /&gt;SuisseEnergie prend à sa charge jusqu’à 40 % des coûts d’une étude de faisabilité portant sur le solaire thermique dans les processus industriels.</t>
  </si>
  <si>
    <t>https://www.suisseenergie.ch/se-financer/solaire-thermique-pour-la-chaleur-de-processus/?pk_vid=3303e85d8f11d88a1725469323ddd288</t>
  </si>
  <si>
    <t>Ersatz von Fenstern</t>
  </si>
  <si>
    <t>https://gemeinde-riederalp.ch/de/bauverwaltung</t>
  </si>
  <si>
    <t>Zur Wassererwärmung</t>
  </si>
  <si>
    <t>Etudes énergétiques de bâtiment</t>
  </si>
  <si>
    <t>La commune encourage l’établissement de bilans énergétiques (par exemple CECB Plus).</t>
  </si>
  <si>
    <t>https://www.cransmontana.ch/fr/services-accm/energie/aides-financieres/aides-communales/</t>
  </si>
  <si>
    <t>Sur une habitation existante</t>
  </si>
  <si>
    <t>https://www.villars-sur-glane.ch/prestations/subventions-communales-plan-climat/</t>
  </si>
  <si>
    <t>Vélo avec ou sans assistance électrique</t>
  </si>
  <si>
    <t>Abonnement B-Fit PubliBike</t>
  </si>
  <si>
    <t>https://www.baselland.ch/politik-und-behorden/gemeinden/giebenach/politik-und-behoerden/gemeindereglemente</t>
  </si>
  <si>
    <t>Ersatz einer Öl- / Elektroheizung durch Wärmepumpe oder Pellets-Heizung</t>
  </si>
  <si>
    <t>https://www.hindelbank.ch/de/verwaltung/dienstleistungen/detail/detail.php?i=164</t>
  </si>
  <si>
    <t>Ladestation für Elektroautos</t>
  </si>
  <si>
    <t>https://www.energieberatungbern.ch/angebot/</t>
  </si>
  <si>
    <t>https://www.muensingen.ch/de/raum-umwelt/umwelt/energie/#tab_e82547ee19542cc64bc3eb364bc4bd2a_3</t>
  </si>
  <si>
    <t>Ersatz von Öl- und Elektrodirektheizungen</t>
  </si>
  <si>
    <t>https://www.plan-les-ouates.ch/pages/la-commune/la-mairie/reglements-communaux</t>
  </si>
  <si>
    <t>Remplacement d’un chauffage</t>
  </si>
  <si>
    <t>Géothermie et pompes à chaleur</t>
  </si>
  <si>
    <t>Vélo avec assistance électrique</t>
  </si>
  <si>
    <t>Kit électrique</t>
  </si>
  <si>
    <t>Remorque</t>
  </si>
  <si>
    <t>Divers abonnements aux transports publics</t>
  </si>
  <si>
    <t>Abonnement annuel du système de vélos en libre-service «VéloPartage»</t>
  </si>
  <si>
    <t>GEAK Plus und Grobanalyse</t>
  </si>
  <si>
    <t>Machbarkeitsstudien für Erdsonden</t>
  </si>
  <si>
    <t>Basisinfrastruktur für Ladestationen in Mehrfamilienhäusern</t>
  </si>
  <si>
    <t>Gefördert werden Sole-Wasser- und Wasser-Wasser-Wärmepumpen die eine bestehende Öl- oder Gasheizung ersetzen.</t>
  </si>
  <si>
    <t>https://www.muttenz.ch/dienstleistungen/25994</t>
  </si>
  <si>
    <t>Förderung für Ersatz von alten Boilern.</t>
  </si>
  <si>
    <t>KlimUp: Förderung von Start-ups und NPO mit Beitrag zu Netto-Null</t>
  </si>
  <si>
    <t>Die Stadt Zürich unterstützt Start-ups in der Frühphase und gemeinnützige Organisationen, die einen Beitrag zum städtischen Klimaziel Netto-Null und/oder Umweltziel der intelligenten Ressourcennutzung leisten.</t>
  </si>
  <si>
    <t>https://www.stadt-zuerich.ch/klimup</t>
  </si>
  <si>
    <t>https://denens.ch/reglements-communaux</t>
  </si>
  <si>
    <t>Capteurs solaires thermiques pour des bâtiments existants</t>
  </si>
  <si>
    <t>Panneaux solaires photovoltaïques pour des bâtiments existants</t>
  </si>
  <si>
    <t>Transports publics et abonnements</t>
  </si>
  <si>
    <t>Vélos électriques adultes</t>
  </si>
  <si>
    <t>https://www.baar.ch/energieumwelt/60449#F%C3%B6rdergelder</t>
  </si>
  <si>
    <t>Energiemanagementsystem</t>
  </si>
  <si>
    <t>Gefördert werden Energiemanagementsystem zur Eigenverbrauchsoptimierung von Photovoltaikanlagen.</t>
  </si>
  <si>
    <t>Photovoltaikanlagen an Fassaden</t>
  </si>
  <si>
    <t>Gefördert wird die zur Winterstromproduktion geeignete Ausrichtung von Modulflächen (nach Osten, Westen oder Süden sowie in einem Neigungswinkel von 60 bis 90 Grad), wie beispielsweise an Fassaden.</t>
  </si>
  <si>
    <t>Effizienzsteigerung bestehender Photovoltaikanlagen mit Gründächern</t>
  </si>
  <si>
    <t>Es werden ausschliesslich Dächer mit durchgehender Schichtstärke des Substrats von mindestens 10 cm (nach erfolgter Setzung) gefördert.</t>
  </si>
  <si>
    <t>Bonus pour les places de station pour les places de stationnement</t>
  </si>
  <si>
    <t>À partir de 2025, un bonus pour les places de stationnement sera versé dans le cadre de la rétribution unique. Celui-ci s'ajoute à la « rétribution de base » de la rétribution unique pour les grandes installations photovoltaïques (à partir d'une puissance de 100 kW), si l'installation se trouve sur une aire de stationnement permanente, non couverte jusqu'à présent. Le bonus peut être accordé aussi bien dans le cadre de la rétribution unique pour les grandes installations (GRU) que de la rétribution unique élevée (RUE) - y compris celles qui sont fixées par des enchères. Le bonus est de 250 francs par kW de puissance installée.</t>
  </si>
  <si>
    <t>https://pronovo.ch/fr/subventions/photovoltaique/</t>
  </si>
  <si>
    <t>Prime de marché flottante (PMF)</t>
  </si>
  <si>
    <t>La prime de marché flottante (PMF) est un instrument d’encouragement de la Confédération destiné à subventionner les énergies renouvelables.&lt;br /&gt;Cette PMF est une possibilité d’encourager financièrement les installations de biomasse, l’énergie éolienne et, à partir de 2026, aussi les installations hydroélectriques.</t>
  </si>
  <si>
    <t>https://pronovo.ch/fr/instruments-dencouragement/prime-de-marche-flottante-pmf/</t>
  </si>
  <si>
    <t>Contribution d’investissement (CI)&lt;br /&gt;</t>
  </si>
  <si>
    <t>La contribution d’investissement est un instrument de rétribution de la Confédération destiné à subventionner les énergies renouvelables et une possibilité d’encourager financièrement l’injection d’électricité dans le réseau à partir d’installations de biomasse, d’énergie éolienne et hydroélectriques.</t>
  </si>
  <si>
    <t>https://pronovo.ch/fr/instruments-dencouragement/contribution-dinvestissement-ci/</t>
  </si>
  <si>
    <t>Einbau Wärmeverteilsystem</t>
  </si>
  <si>
    <t>Einbau eines Wärmeverteilsystems beim Ersatz von dezentralen elektrischen Widerstandsheizungen oder dezentralen fossilen Heizungen ohne hydraulisches Wärmeverteilsystem durch eine mit erneuerbaren Energien betriebene Hauptheizung mit einem hydraulischen Wärmeverteilsystem.&lt;br /&gt;&lt;br /&gt;&lt;strong&gt;Förderbeitrag:&lt;/strong&gt;&lt;br /&gt;- Bis 250 m&lt;sup&gt;2&lt;/sup&gt; EBF: pauschal 15 000 Fr.&lt;br /&gt;- Ab 250 m&lt;sup&gt;2&lt;/sup&gt; EBF: 60 Fr. pro m&lt;sup&gt;2&lt;/sup&gt; EBF</t>
  </si>
  <si>
    <t>https://www.zh.ch/de/umwelt-tiere/energie/energiefoerderung.html#1906837281</t>
  </si>
  <si>
    <t>Biogasanlage in der Landwirtschaft</t>
  </si>
  <si>
    <t>Gefördert werden neue Biogasanlagen in der Landwirtschaft ohne Co-Substrat mit Einspeisung ins Gasnetz (direkt oder indirekt).&lt;br /&gt;&lt;br /&gt;&lt;strong&gt;Förderbeitrag:&lt;/strong&gt;&lt;br /&gt;- 25 % der Gesamtinvestitionen, maximal 250 000 Fr.</t>
  </si>
  <si>
    <t>https://www.zh.ch/de/umwelt-tiere/energie/energiefoerderung.html#-776210951</t>
  </si>
  <si>
    <t>Machbarkeitsstudien Biogasanlage/Wärmenetz</t>
  </si>
  <si>
    <t>Gefördert werden Machbarkeitsstudien, beispielsweise für landwirtschaftliche Biogasanlagen ohne Co-Substrat mit Einspeisung ins Gasnetz (direkt oder indirekt) oder für Wärmenetze. Reine Planungsaufgaben sowie Modernisierungskonzepte bei Gebäuden gelten nicht als Machbarkeitsstudien.&lt;br /&gt;&lt;br /&gt;&lt;strong&gt;Förderbeitrag:&lt;/strong&gt;&lt;br /&gt;- 50 % der Studienkosten bis höchstens 50 000 Fr.</t>
  </si>
  <si>
    <t>Kommunale Energieplanung</t>
  </si>
  <si>
    <t>Gefördert wird die Erstellung kommunaler Energieplanungen.&lt;br /&gt;&lt;br /&gt;&lt;strong&gt;Förderbeitrag:&lt;/strong&gt;&lt;br /&gt;- bis zu 50 % der Kosten.</t>
  </si>
  <si>
    <t>https://www.zh.ch/de/umwelt-tiere/energie/energieplanung.html#497560202</t>
  </si>
  <si>
    <t>Bonus Gebäudehülleneffizienz für umfassende Gebäudesanierung</t>
  </si>
  <si>
    <t>Boni zur Förderung von umfassenden Gebäudehüllensanierungen im Zusammenhang mit M-01 Wärmedämmung Fassade, Dach, Wand und Boden gegen Erdreich.&lt;br /&gt;&lt;br /&gt;&lt;strong&gt;Förderbeitrag:&lt;/strong&gt;&lt;br /&gt;- Fassade, Flach- und Steildach: 40 Fr. pro m&lt;sup&gt;2&lt;/sup&gt; Dämmfläche</t>
  </si>
  <si>
    <t>Luft/Wasser-Wärmepumpe über 70 kW&lt;sub&gt;th&lt;/sub&gt;</t>
  </si>
  <si>
    <t>Sole-Wasser- oder Wasser-Wasser-Wärmepumpe über 70 kW&lt;sub&gt;th&lt;/sub&gt;</t>
  </si>
  <si>
    <t>Das Gebäudeprogramm unterstützt den Ersatz von Heizöl-, Erdgas- oder Elektroheizungen durch Sole/Wasser- oder Wasser-Wasser-Wärmepumpen.&lt;br /&gt;&lt;br /&gt;&lt;strong&gt;Förderbeitrag:&lt;/strong&gt;&lt;br /&gt;- ≤ 500 kW&lt;sub&gt;th&lt;/sub&gt; 4800 Fr. + 360 Fr. pro kW&lt;sub&gt;th &lt;/sub&gt;&lt;br /&gt;- &amp;gt; 500 kW&lt;sub&gt;th&lt;/sub&gt; 84'800 Fr. + 200 Fr. pro kW&lt;sub&gt;th&lt;/sub&gt;</t>
  </si>
  <si>
    <t>Anschluss an ein Wärmenetz über 70 kW&lt;sub&gt;th&lt;/sub&gt;</t>
  </si>
  <si>
    <t>Gefördert wird der Ersatz von Heizöl-, Erdgas- oder Elektroheizungen durch einen Anschluss an ein Wärmenetz.&lt;br /&gt;&lt;br /&gt;&lt;strong&gt;Förderbeitrag:&lt;/strong&gt;&lt;br /&gt;- Pro Anlage: 4000 Fr. + 200 Fr. pro kW&lt;sub&gt;th&lt;/sub&gt;</t>
  </si>
  <si>
    <t>Thermische Solarkollektoranlage über 70 kW&lt;sub&gt;th&lt;/sub&gt;</t>
  </si>
  <si>
    <t>Gefördert werden Solarkollektoranlagen (Neuanlagen oder Erweiterungen).&lt;br /&gt;&lt;br /&gt;&lt;strong&gt;Förderbeitrag:&lt;/strong&gt;&lt;br /&gt;- 2400 Fr. + 1000 Fr. pro kWth</t>
  </si>
  <si>
    <t>Ersatz von dezentraler Elektro- oder dezentraler fossiler Heizung</t>
  </si>
  <si>
    <t>Gefördert wird der Ersatz einer Hauptheizung ohne hydraulischem Wärmeverteilsystem durch eine Hauptheizung mit hydraulischem Wärmeverteilsystem.&lt;br /&gt;&lt;br /&gt;&lt;strong&gt;Förderbeitrag:&lt;/strong&gt;&lt;br /&gt;- ≤ 250 m² EBF 15'000 Fr. &lt;br /&gt;- &amp;gt; 250 m² EBF 60 Fr. pro m² EBF&lt;br /&gt;&lt;br /&gt;&lt;em&gt;EBF = Energiebezugsfläche&lt;/em&gt;</t>
  </si>
  <si>
    <t>Erstinstallation Wärmeverteilung</t>
  </si>
  <si>
    <t>Beitragsberechtigt ist die Erstinstallation einer wassergeführten Wärmeverteilung beim Ersatz einer bestehenden, dezentralen elektrischen Widerstandsheizung oder einer dezentral fossilen Heizung ohne hydraulisches Wärmeverteilsystem durch eine mit erneuerbaren Energien betriebene Hauptheizung mit einem hydraulischen Wärmeverteilsystem.&lt;br /&gt;&lt;br /&gt;&lt;strong&gt;Förderbeitrag:&lt;/strong&gt;&lt;br /&gt;- Bis 250 m&lt;sup&gt;2&lt;/sup&gt; Energiebezugsfläche (EBF) Pauschalbeitrag 15‘000 Fr.&lt;br /&gt;- Ab 250 m&lt;sup&gt;2&lt;/sup&gt; Energiebezugsfläche (EBF) Flächenbeitrag 60 Fr. pro m&lt;sup&gt;2&lt;/sup&gt; EBF</t>
  </si>
  <si>
    <t>https://www.gr.ch/DE/institutionen/verwaltung/diem/aev/foerderprogramme/haustechnischeanlagen/erstinstallationwaermeverteilung/Seiten/default.aspx</t>
  </si>
  <si>
    <t>Ersatz dezentrale elektrische und fossile Heizungen</t>
  </si>
  <si>
    <t>Im Rahmen einer Heizungssanierung wird der Ersatz einer dezentralen elektrischen Widerstandsheizung oder dezentralen fossilen Heizung durch eine mit erneuerbaren Energien betriebenen Hauptheizung mit einem hydraulischen Wärmeverteilsystem unterstützt.&lt;br /&gt;&lt;br /&gt;&lt;strong&gt;Förderbeitrag:&lt;/strong&gt;&lt;br /&gt;- Gebäude bis 250 m&lt;sup&gt;2&lt;/sup&gt; EBF 15'000 Fr. &lt;br /&gt;- Gebäude ab 250 m&lt;sup&gt;2&lt;/sup&gt; EBF 60 Fr. pro m&lt;sup&gt;2&lt;/sup&gt; EBF &lt;br /&gt;&lt;br /&gt;Zusätzlich kann ein weiteres Fördergesuch für die neue Heizung gestellt werden. Der bisherige Zusatzbeitrag Erstinstallation Wärmeverteilsystem entfällt.</t>
  </si>
  <si>
    <t>GEAK A</t>
  </si>
  <si>
    <t>Gefördert werden Gebäude (Neubau/Ersatzneubau), welche die GEAK-Effizienzklasse A bei Gebäudehülle und Gesamtenergieeffizienz erreichen. Wohneinheiten (EFH, Wohnung in MFH) von mehr als 250 m&lt;sup&gt;2&lt;/sup&gt; EBF und Kleinprojekte mit einem resultierenden Förderbeitrag &amp;lt; 3000 Fr. werden nicht gefördert. &lt;br /&gt;&lt;br /&gt;&lt;strong&gt;Förderbeitrag:&lt;/strong&gt;&lt;br /&gt;- GEAK A/A Einfamilienhaus 75 Fr. pro m&lt;sup&gt;2&lt;/sup&gt; EBF &lt;br /&gt;- GEAK A/A Mehrfamilienhaus 40 Fr. pro m&lt;sup&gt;2&lt;/sup&gt; EBF &lt;br /&gt;- GEAK A/A Nicht-Wohnbau 30 Fr. pro m&lt;sup&gt;2&lt;/sup&gt; EBF</t>
  </si>
  <si>
    <t>Suppression des chauffages décentralisés</t>
  </si>
  <si>
    <t>Tous les chauffages décentralisés doivent être remplacés sauf les sèche-serviettes.&lt;br /&gt;&lt;br /&gt;&lt;strong&gt;Contribution financière:&lt;/strong&gt;&lt;br /&gt;- SRE ≤ 250 m&lt;sup&gt;2&lt;/sup&gt;: 15 000 fr.&lt;br /&gt;- SRE &amp;gt; 250 m&lt;sup&gt;2&lt;/sup&gt;: 60 fr. par m&lt;sup&gt;2&lt;/sup&gt;</t>
  </si>
  <si>
    <t>Bonus pour l’efficacité de l’enveloppe du bâtiment</t>
  </si>
  <si>
    <t>Le supplément peut être accordé si la subvention "Isolation thermique d’éléments de construction" (M01) est octroyée.&lt;br /&gt;&lt;br /&gt;&lt;strong&gt;Contribution financière:&lt;/strong&gt;&lt;br /&gt;- Classe enveloppe B selon le CECB: 40 fr. par m&lt;sup&gt;2&lt;/sup&gt; SRE&lt;br /&gt;- Classe enveloppe C selon le CECB: 30 fr. par m&lt;sup&gt;2&lt;/sup&gt; SRE</t>
  </si>
  <si>
    <t>https://www.ne.ch/autorites/DDTE/SENE/energie/Pages/SubventionsPB.aspx</t>
  </si>
  <si>
    <t>Chauffage automatique au bois &amp;gt; 70 kW</t>
  </si>
  <si>
    <t>Remplacement d’un chauffage à mazout, à gaz, électrique fixe à résistance.&lt;br /&gt;&lt;br /&gt;&lt;strong&gt;Contribution financière:&lt;/strong&gt;&lt;br /&gt;- Puissance ≤ 500 kW: 360 fr. par kW&lt;sub&gt;th&lt;/sub&gt;&lt;br /&gt;- Puissance &amp;gt; 500 kW: 80 000 fr. + 200 fr. par kW&lt;sub&gt;th&lt;/sub&gt;</t>
  </si>
  <si>
    <t>Pompe à chaleur &amp;gt; 70 kW</t>
  </si>
  <si>
    <t>Remplacement d'un chauffage à mazout, à gaz ou électrique fixe à resistance.&lt;br /&gt;&lt;br /&gt;&lt;strong&gt;Contribution financière:&lt;/strong&gt;&lt;br /&gt;- PAC air/eau &amp;gt; 70 kW: 4000 fr. + 250 fr. par kW&lt;sub&gt;th&lt;/sub&gt;&lt;br /&gt;- PAC sol/eau ou eau/eau ≤ 500 kW: 7000 fr. + 500 fr. par kW&lt;sub&gt;th&lt;/sub&gt;&lt;br /&gt;- PAC sol/eau ou eau/eau &amp;gt; 500 kW: 85 000 fr. + 350 fr. par kW&lt;sub&gt;th&lt;/sub&gt;</t>
  </si>
  <si>
    <t>Raccordement à un réseau de chaleur &amp;gt; 70 kW</t>
  </si>
  <si>
    <t>Remplacement d'un chauffage principal par le raccordement à un réseau de chaleur.&lt;br /&gt;&lt;br /&gt;&lt;strong&gt;Contribution financière:&lt;/strong&gt;&lt;br /&gt;- Puissance ≤ 500 kW: 8000 fr. + 40 fr. par kW&lt;sub&gt;th&lt;/sub&gt;&lt;br /&gt;- Puissance &amp;gt; 500 kW : 18 000 fr. + 20 fr. par kW&lt;sub&gt;th&lt;/sub&gt;</t>
  </si>
  <si>
    <t>Mesure spéciale pour le remplacement d’un chauffage</t>
  </si>
  <si>
    <t>Remplacement d’un chauffage manuel à bois par un chauffage automatique au bois ou par une pompe à chaleur. Remplacement d’un chauffage à bois ou d’une pompe à chaleur par le raccordement à un réseau de chaleur.&lt;br /&gt;&lt;br /&gt;&lt;strong&gt;Contribution financière:&lt;/strong&gt;&lt;br /&gt;- Mêmes taux que les mesures M03, M05, M06 et M07.&lt;br /&gt;- En cas de première installation du système de distribution de chaleur: 4000 fr. + 100 fr. par kW&lt;sub&gt;th&lt;/sub&gt;</t>
  </si>
  <si>
    <t>Première installation du système de distribution de chaleur</t>
  </si>
  <si>
    <t>Remplacement d’un chauffage électrique décentralisé ou d’un chauffage à mazout ou à gaz décentralisé qui était utilisé comme chauffage principal.&lt;br /&gt;&lt;br /&gt;&lt;strong&gt;Contribution financière: &lt;/strong&gt;&lt;br /&gt;- Bâtiment avec SRE ≤ 250 m&lt;sup&gt;2&lt;/sup&gt;: Forfait de 15 000 fr.&lt;br /&gt;- Bâtiment avec SRE &amp;gt; 250 m&lt;sup&gt;2&lt;/sup&gt;: 60 fr. par m&lt;sup&gt;2&lt;/sup&gt; SRE</t>
  </si>
  <si>
    <t>Ersatz von dezentralen elektrischen Widerstandsheizungen / dezentralen fossilen Heizungen</t>
  </si>
  <si>
    <t>Förderung für die Erstinstallation des Wärmeverteilsystems beim Ersatz von dezentralen elektrischen Widerstandsheizungen oder dezentralen fossilen Heizungen durch eine mit erneuerbaren Energien betriebene Hauptheizung.&lt;br /&gt;&lt;br /&gt;&lt;strong&gt;Förderbeitrag:&lt;/strong&gt;&lt;br /&gt;- EBF bis 250 m&lt;sup&gt;2&lt;/sup&gt;: 15 000 Fr. &lt;br /&gt;- EBF &amp;gt; 250 m&lt;sup&gt;2&lt;/sup&gt;: 60 Fr. pro m&lt;sup&gt;2&lt;/sup&gt; EBF&lt;br /&gt;&lt;br /&gt;&lt;em&gt;EBF = Energiebezugsfläche&lt;/em&gt;</t>
  </si>
  <si>
    <t>Weitere Massnahmen</t>
  </si>
  <si>
    <t>Diverse Massnahmen zur Förderung einer sparsamen Energienutzung sowie zur Nutzung von erneuerbaren Energien werden unterstützt. &lt;br /&gt;Beispielsweise die Mitfinanzierung von Machbarkeitsstudien, Unterstützung von Veranstaltungen im Energiebereich, Kurse, ERFA-Tagungen, Infoveranstaltungen, etc.</t>
  </si>
  <si>
    <t>Ersatz von dezentralen Heizöl-, Erdgas- und elektrischen Widerstandsheizungen ohne hydraulischem Wärmeverteilsystem</t>
  </si>
  <si>
    <t>Gefördert wird der Ersatz von dezentralen Heizöl-, Erdgas- und elektrischen Widerstandsheizungen ohne hydraulischem Wärmeverteilsystem durch eine mit erneuerbarer Energie betriebenen Hauptheizung mit einem hydraulischen Wärmeverteilsystem.&lt;br /&gt;&lt;br /&gt;&lt;strong&gt;Förderbeitrag:&lt;/strong&gt;&lt;br /&gt;- bis 250 m&lt;sup&gt;2&lt;/sup&gt; EBF: 15'000 Fr.&lt;br /&gt;- über 250 m&lt;sup&gt;2&lt;/sup&gt; EBF: 60 Fr. pro m&lt;sup&gt;2&lt;/sup&gt; EBF</t>
  </si>
  <si>
    <t>Ersatz von dezentralen elektrischen Widerstandsheizungen</t>
  </si>
  <si>
    <t>Förderung für die Erstinstallation des Wärmeverteilsystems beim Ersatz von dezentralen elektrischen Widerstandsheizungen oder dezentralen fossilen Heizungen durch eine mit erneuerbaren Energien betriebene Hauptheizung.&lt;br /&gt;&lt;br /&gt;&lt;strong&gt;Förderbeitrag&lt;/strong&gt;&lt;br /&gt;- EBF bis 250 m&lt;sup&gt;2&lt;/sup&gt;: 15 000 Fr. &lt;br /&gt;- EBF &amp;gt; 250 m&lt;sup&gt;2&lt;/sup&gt;: 60 Fr. pro m&lt;sup&gt;2&lt;/sup&gt; EBF&lt;br /&gt;&lt;br /&gt;&lt;em&gt;EBF = Energiebezugsfläche&lt;/em&gt;</t>
  </si>
  <si>
    <t>Förderberechtigt sind neue Solarkollektoranlagen oder Anlagenerweiterungen. &lt;br /&gt;&lt;br /&gt;&lt;strong&gt;Förderbeitrag:&lt;/strong&gt;&lt;br /&gt;- bis 70 kW&lt;sub&gt;th&lt;/sub&gt;: 1200 Fr + 500 Fr. pro kW&lt;sub&gt;th&lt;/sub&gt;&lt;br /&gt;- über 70 kW&lt;sub&gt;th&lt;/sub&gt;: 2400 Fr. + 1000 Fr. pro kW&lt;sub&gt;th&lt;/sub&gt;</t>
  </si>
  <si>
    <t>https://zg.ch/de/planen-bauen/bauvorschriften/gebaeude-und-energie/foerderung#Foerdergegenstaende</t>
  </si>
  <si>
    <t>Zusatzbeitrag Wärmeverteilsystem</t>
  </si>
  <si>
    <t>Beim Ersatz fossiler oder elektrischer Einzelraumheizungen wird die Erstinstallation des Wärmeverteilsystems unterstützt.&lt;br /&gt;&lt;br /&gt;&lt;strong&gt;Förderbeitrag&lt;/strong&gt;&lt;br /&gt;- bis 250 m&lt;sup&gt;2&lt;/sup&gt;  EBF: + 15 000 Fr.&lt;br /&gt;- über 250 m&lt;sup&gt;2&lt;/sup&gt; EBF:  + 60 Fr. pro m&lt;sup&gt;2&lt;/sup&gt; EBF</t>
  </si>
  <si>
    <t>Ersatz dezentrale Elektroheizung</t>
  </si>
  <si>
    <t>Gefördert wird der Ersatz dezentraler Elektroheizungen durch eine mit erneuerbaren Energien betriebene Hauptheizung mit einem hydraulischen Wärmeverteilsystem (Radiatoren, Bodenheizung). Eine Zusatzförderung des Wärmeerzeugers ist möglich.&lt;br /&gt;&lt;br /&gt;&lt;strong&gt;Förderbeitrag:&lt;/strong&gt;&lt;br /&gt;- bis 250 m&lt;sup&gt;2&lt;/sup&gt; EBF: 15 000 Fr.&lt;br /&gt;- ab 250 m&lt;sup&gt;2 &lt;/sup&gt;EBF: 60 Fr. pro m&lt;sup&gt;2&lt;/sup&gt;</t>
  </si>
  <si>
    <t>Die Dämmung der Gebäudehülle wird mit einem Bonus gefördert, wenn der Heizwärmebedarf SIA 380/1 ≤ 150 % beträgt oder die GEAK-Effizienzklasse  A, B oder C erreicht wird.&lt;br /&gt;&lt;br /&gt;&lt;strong&gt;Förderbeitrag:&lt;/strong&gt;&lt;br /&gt;- 30 Fr. pro m&lt;sup&gt;2&lt;/sup&gt; EBF</t>
  </si>
  <si>
    <t>Contribution supplémentaire pour la rénovation selon la mesure "Isolation thermique" (M-01), réservée aux bâtiments qui peuvent faire l’objet d’un CECB.&lt;br /&gt;&lt;br /&gt;&lt;strong&gt;Contribution financière:&lt;/strong&gt;&lt;br /&gt;- 30 fr. par m&lt;sup&gt;2&lt;/sup&gt; de SRE si la classe C du CECB est atteinte pour l’enveloppe du bâtiment&lt;br /&gt;- 40 fr. par m&lt;sup&gt;2&lt;/sup&gt; de SRE si la classe B du CECB est atteinte pour l’enveloppe du bâtiment</t>
  </si>
  <si>
    <t>Pompe à chaleur électrique air/eau, puissance &amp;gt; 70 kW</t>
  </si>
  <si>
    <t>Installation d'une pompe à chaleur électrique air/eau avec une puissance &amp;gt; 70 kW. L'installation remplace un chauffage fonctionnant au mazout ou au gaz naturel, ou un chauffage électrique fixe à résistance.&lt;br /&gt;&lt;br /&gt;&lt;strong&gt;Contribution financière:&lt;/strong&gt;&lt;br /&gt;- 3200 fr. + 120 fr. par kW&lt;sub&gt;th&lt;/sub&gt;</t>
  </si>
  <si>
    <t>Pompe à chaleur électrique (sol/eau, eau/eau) puissance &amp;gt; 70 kW</t>
  </si>
  <si>
    <t>Installation d'une pompe à chaleur électrique sol/eau ou eau/eau avec une puissance &amp;gt; 70 kW. L'installation remplace un chauffage fonctionnant au mazout ou au gaz naturel, ou un chauffage électrique fixe à résistance.&lt;br /&gt;&lt;br /&gt;&lt;strong&gt;Contribution financière:&lt;/strong&gt;&lt;br /&gt;- 4800 fr. + 360 fr. par kW&lt;sub&gt;th &lt;/sub&gt;&lt;br /&gt;- à partir de 265 kW&lt;sub&gt;th&lt;/sub&gt;: forfait de 100 000 fr. par installation</t>
  </si>
  <si>
    <t>Raccordement à un réseau de chauffage puissance calorifique &amp;gt; 70 kW</t>
  </si>
  <si>
    <t>Raccordement à un réseau de chauffage avec une puissance calorifique &amp;gt; 70 kW. L'installation remplace un chauffage fonctionnant au mazout ou au gaz naturel, ou un chauffage électrique fixe à résistance.&lt;br /&gt;&lt;br /&gt;&lt;strong&gt;Contribution financière:&lt;/strong&gt;&lt;br /&gt;- Jusqu’à 500 kW: 8000 fr. + 40 fr. par kW&lt;br /&gt;- À partir de 500 kW: 18 000 fr. + 20 fr. par kW</t>
  </si>
  <si>
    <t>Capteurs solaires thermiques, puissance calorifique &amp;gt; 70 kW</t>
  </si>
  <si>
    <t>Installation de capteurs solaires thermiques avec une puissance calorifique &amp;gt; 70 kW. Il s'agit d'une nouvelle installation ou de l'extension d'une installation existante (et non d'un simple remplacement des capteurs solaires) sur des bâtiments existants (et non d'une installation sur une nouvelle construction).&lt;br /&gt;&lt;br /&gt;&lt;strong&gt;Contribution financière:&lt;/strong&gt;&lt;br /&gt;- 2400 fr. + 1000 fr. par kW&lt;sub&gt;th&lt;/sub&gt;</t>
  </si>
  <si>
    <t>Installation d’un système hydraulique de distribution de chaleur</t>
  </si>
  <si>
    <t>Installation d’un système hydraulique de distribution de chaleur lors du remplacement de chauffages électriques décentralisés à résistances ou de chauffages décentralisés à combustibles fossiles.&lt;br /&gt;&lt;br /&gt;&lt;strong&gt;Contribution financière:&lt;/strong&gt;&lt;br /&gt;- Jusqu’à 250 m&lt;sup&gt;2&lt;/sup&gt; de SRE: 15 000 fr. &lt;br /&gt;- À partir de 250 m&lt;sup&gt;2&lt;/sup&gt; de SRE: 60 fr. par m&lt;sup&gt;2&lt;/sup&gt;</t>
  </si>
  <si>
    <t>Grobanalyse für komplexe Gebäude</t>
  </si>
  <si>
    <t>Vélo musculaire ou électrique (neuf ou d'occasion)</t>
  </si>
  <si>
    <t>Bonus à l’atteinte de la certification Minergie</t>
  </si>
  <si>
    <t>Ce bonus est accordé en complément à la mesure M-01 ("Isolation thermique des bâtiments") en cas de rénovation globale du bâtiment permettant d’atteindre une labellisation Minergie ou Minergie-P.&lt;br /&gt;&lt;br /&gt;&lt;strong&gt;Contribution financière:&lt;/strong&gt;&lt;br /&gt;- Minergie rénovation : + 60 fr. par m&lt;sup&gt;2 &lt;/sup&gt;de surface de référence énergétique&lt;br /&gt;- Minergie-P rénovation : + 80 fr. par m&lt;sup&gt;2&lt;/sup&gt; de surface de référence énergétique</t>
  </si>
  <si>
    <t>https://www.vd.ch/prestation/04-demander-un-bonus-pour-latteinte-du-standard-minergier-en-complement-a-la-mesure-m01-m15</t>
  </si>
  <si>
    <t>Pompe à chaleur air/eau &amp;gt; 70 kW</t>
  </si>
  <si>
    <t>Cette subvention est allouée pour l’installation d’une pompe à chaleur air/eau en remplacement d’un chauffage principal au mazout, au gaz naturel ou d’un chauffage électrique.&lt;br /&gt;&lt;br /&gt;&lt;strong&gt;Contribution financière:&lt;/strong&gt;&lt;br /&gt;- 400 fr. par kW&lt;br /&gt;&lt;br /&gt;En cas de première création d’un réseau de distribution hydraulique, une subvention spécifique doit être demandée séparément (nouvelle mesure IP-19).</t>
  </si>
  <si>
    <t>https://www.vd.ch/prestation/ip-05-demander-une-subvention-pour-une-pompe-a-chaleur-air-eau-70-kw</t>
  </si>
  <si>
    <t>Pompe à chaleur sol/eau ou eau/eau &amp;gt; 70 kW</t>
  </si>
  <si>
    <t>Cette subvention est allouée pour l’installation d’une pompe à chaleur sol/eau ou eau/eau en remplacement d’un chauffage principal au mazout, au gaz naturel ou d’un chauffage électrique.&lt;br /&gt;&lt;br /&gt;&lt;strong&gt;Contribution financière:&lt;/strong&gt;&lt;br /&gt;Puissance &amp;lt; 500 kW: 800 fr. par kW&lt;br /&gt;Puisssance &amp;gt; 500 kW: 200 000 fr. + 400 fr. par kW&lt;br /&gt;&lt;br /&gt;En cas de première création d’un réseau de distribution hydraulique, une subvention spécifique doit être demandée séparément (nouvelle mesure IP-19).</t>
  </si>
  <si>
    <t>https://www.vd.ch/prestation/ip-06-demander-une-subvention-pour-une-pompe-a-chaleur-sol-eau-ou-eau-eau-70-kw</t>
  </si>
  <si>
    <t>Raccordement à un réseau de chauffage &amp;gt; 70 kW</t>
  </si>
  <si>
    <t>Cette subvention est allouée pour le raccordement à un réseau de chauffage à distance alimenté majoritairement par des énergies renouvelables ou des rejets de chaleur. Le raccordement doit remplacer un chauffage principal au mazout, au gaz naturel ou un chauffage électrique.&lt;br /&gt;&lt;br /&gt;&lt;strong&gt;Contribution financière&lt;/strong&gt;&lt;br /&gt;- Puissance &amp;lt; 500 kW : 8000 fr. + 60 fr. par kW&lt;br /&gt;- Puissance &amp;gt; 500 kW : 23 000 fr. + 30 fr. par kW  &lt;br /&gt;&lt;br /&gt;En cas de première création d’un réseau de distribution hydraulique, une subvention spécifique doit être demandée séparément (nouvelle mesure IP-19).</t>
  </si>
  <si>
    <t>https://www.vd.ch/prestation/ip-07-demander-une-subvention-pour-un-raccordement-a-un-reseau-de-chauffage-70-kw</t>
  </si>
  <si>
    <t>Installation de capteurs solaires thermiques &amp;gt; 70 kW</t>
  </si>
  <si>
    <t>Cette subvention est allouée pour une nouvelle installation solaire thermique ou de l'extension d'une installation existante sur des bâtiments existants.&lt;br /&gt;&lt;br /&gt;&lt;strong&gt;Contribution financière:&lt;/strong&gt;&lt;br /&gt;- 2400 fr. + 1000 fr. par kW</t>
  </si>
  <si>
    <t>https://www.vd.ch/prestation/ip-08-demander-une-subvention-pour-linstallation-de-capteurs-solaires-thermiques-70-kw</t>
  </si>
  <si>
    <t>Remplacement de chauffages électriques décentralisés</t>
  </si>
  <si>
    <t>Cette subvention est allouée pour le remplacement de chauffages décentralisés au mazout, au gaz naturel ou électriques à résistances, sans système hydraulique de distribution de chaleur, par des chauffages principaux fonctionnant avec des énergies renouvelables et équipés d’un système hydraulique de distribution de chaleur.&lt;br /&gt;&lt;br /&gt;&lt;strong&gt;Contribution financière:&lt;/strong&gt;&lt;br /&gt;- SRE &amp;lt; 250 m&lt;sup&gt;2&lt;/sup&gt;: 15 000 fr.&lt;br /&gt;- SRE &amp;gt; 250 m&lt;sup&gt;2&lt;/sup&gt;: 60 fr. par m&lt;sup&gt;2&lt;/sup&gt;</t>
  </si>
  <si>
    <t>https://www.vd.ch/prestation/ip-19-demander-une-subvention-pour-le-remplacement-de-chauffages-electriques-decentralises-a-resistances-ou-de-chauffages-decentralises-a-combustibles-fossiles</t>
  </si>
  <si>
    <t>Abandon d’une voiture</t>
  </si>
  <si>
    <t>Passeport vélo CFF</t>
  </si>
  <si>
    <t>Nouvelle construction ou extension du réseau de chauffage à distance (CAD)</t>
  </si>
  <si>
    <t>Cette subvention est allouée pour la création ou l’extension d’un réseau de chauffage à distance, ainsi que pour une nouvelle centrale ou une extension de puissance d’une centrale existante.&lt;br /&gt;&lt;br /&gt;&lt;strong&gt;Contribution financière:&lt;/strong&gt;&lt;br /&gt;- 40 fr. par MWh/an pour les réseaux standards&lt;br /&gt;- 60 fr. par MWh/an pour les réseaux basse température (20&amp;lt;T&amp;lt;50°C) et les réseaux à trois tubes ou plus (avec un niveau de température différent par tube)&lt;br /&gt;- 120 fr. par MWh/an pour les réseaux d'anergie ou à très basse température (Température nominale de départ &amp;lt;20°C)</t>
  </si>
  <si>
    <t>https://www.vd.ch/prestation/17-demander-une-subvention-pour-une-nouvelle-construction-ou-extension-du-reseau-de-chaleur-cad-nouvelle-construction-ou-extension-de-linstallation-de-production-de-chaleur-m18</t>
  </si>
  <si>
    <t>Gebäudeenergieausweis mit Beratungsbericht&lt;br /&gt;25 % der Kosten, maximal:&lt;br /&gt;- Ein- und Zweifamilienhaus GEAK Plus: 400 Fr.&lt;br /&gt;- Mehrfamilienhaus GEAK Plus: 550 Fr. &lt;br /&gt;- Reiheneinfamilienhaus GEAK Plus: 200 Fr.</t>
  </si>
  <si>
    <t>Bonus: Ersatz dezentraler Elektroheizung</t>
  </si>
  <si>
    <t>Förderberechtigt ist der Ersatz einer bestehenden, dezentralen elektrischen Widerstandsheizung oder dezentralen fossilen Heizung ohne hydraulisches Wärmeverteilsystem durch eine mit erneuerbaren Energien betriebene Hauptheizung mit einem hydraulischen Wärmeverteilsystem.&lt;br /&gt;&lt;br /&gt;&lt;strong&gt;Förderbeitrag:&lt;/strong&gt;&lt;br /&gt;- Bis 250 m&lt;sup&gt;2&lt;/sup&gt; EBF: 15 000 Fr.&lt;br /&gt;- Ab 250 m&lt;sup&gt;2&lt;/sup&gt; EBF: 60 Fr. pro m&lt;sup&gt;2&lt;/sup&gt; EBF</t>
  </si>
  <si>
    <t>https://uwe.lu.ch/themen/energie/Foerderprogramme/Ersatz_dezentraler_elektroheizung</t>
  </si>
  <si>
    <t>L’assainissement complet du bâtiment par étapes, conformément à la mesure M-10 «Amélioration de la classe CECB pour l’enveloppe et pour l’efficacité énergétique globale». Après assainissement, le bâtiment présente une classe d’efficacité CECB C ou B au niveau de l’enveloppe du bâtiment.&lt;br /&gt;&lt;br /&gt;&lt;strong&gt;Contribution financière&lt;/strong&gt;&lt;br /&gt;- 60 fr. par m&lt;sup&gt;2&lt;/sup&gt; SRE</t>
  </si>
  <si>
    <t>https://www.vs.ch/web/energie/ip-14</t>
  </si>
  <si>
    <t>L'installation doit remplacer un chauffage fonctionnant au mazout ou au gaz naturel, ou un chauffage électrique fixe à résistance.&lt;br /&gt;&lt;br /&gt;&lt;strong&gt;Contribution financière&lt;/strong&gt;&lt;br /&gt;- 900 fr. par kW&lt;sub&gt;th&lt;/sub&gt;</t>
  </si>
  <si>
    <t>https://www.vs.ch/web/energie/ip-05</t>
  </si>
  <si>
    <t>Le remplacement d'un chauffage au mazout, au gaz naturel ou électrique par une pompe à chaleur sol-eau ou eau-eau est promu.&lt;br /&gt;&lt;br /&gt;&lt;strong&gt;Contribution financière&lt;br /&gt;&lt;/strong&gt;- 1300 Fr. par kW&lt;sub&gt;th&lt;/sub&gt;</t>
  </si>
  <si>
    <t>https://www.vs.ch/web/energie/ip-06</t>
  </si>
  <si>
    <t>Raccordement à un réseau de chauffage à distance &amp;gt; 70</t>
  </si>
  <si>
    <t>Le remplacement d'un chauffage au mazout, au gaz naturel ou électrique par le raccordement à un réseau de chauffage à distance est promu.&lt;br /&gt;&lt;br /&gt;&lt;strong&gt;Contribution financière&lt;/strong&gt;&lt;br /&gt;- 4000 fr. + 180 fr. par kW&lt;sub&gt;th&lt;/sub&gt;</t>
  </si>
  <si>
    <t>https://www.vs.ch/web/energie/ip-07</t>
  </si>
  <si>
    <t>Création d’une première installation d’un système de distribution de chaleur hydraulique</t>
  </si>
  <si>
    <t>Le remplacement de chauffages décentralisés au mazout ou au gaz naturel sans système hydraulique de distribution de chaleur et de chauffages électriques à résistances décentralisés sans système hydraulique de distribution de chaleur par des chauffages principaux fonctionnant avec des énergies renouvelables et équipés d’un système hydraulique de distribution de chaleur.&lt;br /&gt;&lt;br /&gt;&lt;strong&gt;Contribution financière&lt;/strong&gt;&lt;br /&gt;- SRE de 250 m&lt;sup&gt;2&lt;/sup&gt; au plus: 15 000 fr.&lt;br /&gt;- SRE supérieure à 250 m&lt;sup&gt;2&lt;/sup&gt;: 60 fr. par m&lt;sup&gt;2&lt;/sup&gt;</t>
  </si>
  <si>
    <t>https://www.vs.ch/web/energie/ip-19</t>
  </si>
  <si>
    <t>Winteroptimierte Photovoltaikanlage</t>
  </si>
  <si>
    <t>Gefördert wird die Installation einer winteroptimierten Photovoltaikanlage mit einem Neigungswinkel 75 - 90°. Weitere Förderangebote siehe www.pronovo.ch.&lt;br /&gt;&lt;br /&gt;&lt;strong&gt;Förderbeitrag&lt;/strong&gt;&lt;br /&gt;- Ab 2 kW: 1000 Fr. + 250 Fr. pro kW (insgesamt maximal 8000 Fr.)</t>
  </si>
  <si>
    <t>Die Ladeinfrastruktur für Elektrofahrzeuge wird einmalig pro Hausanschluss gefördert.&lt;br /&gt;&lt;br /&gt;&lt;strong&gt;Förderbeitrag:&lt;/strong&gt;&lt;br /&gt;- pauschal 2000 Fr.</t>
  </si>
  <si>
    <t>Luft-Wasser-Wärmepumpe über 70 kW</t>
  </si>
  <si>
    <t>Förderung von elektrisch betriebenen Luft/Wasser-Wärmepumpenanlagen über 70 kW in bestehenden Gebäuden als Ersatz einer Heizöl-, Erdgas- oder Elektroheizung.&lt;br /&gt;&lt;br /&gt;&lt;strong&gt;Förderbeitrag:&lt;/strong&gt;&lt;br /&gt;- 3200 Fr. + 120 Fr. pro kW&lt;sub&gt;th&lt;/sub&gt;</t>
  </si>
  <si>
    <t>Sole-Wasser- und Wasser-Wasser-Wärmepumpen über 70 kW</t>
  </si>
  <si>
    <t>Förderung von elektrisch betriebenen Sole-Wasser-Wärmepumpenanlagen mit Erdwärmesonden oder Wasser-Wasser-Wärmepumpenanlagen über 70 kW in bestehenden Gebäuden als Ersatz einer Heizöl-, Erdgas- oder Elektroheizung.&lt;br /&gt;&lt;br /&gt;&lt;strong&gt;Förderbeitrag:&lt;/strong&gt;&lt;br /&gt;- 4800 Fr. + 360 Fr. pro kW&lt;sub&gt;th&lt;/sub&gt;</t>
  </si>
  <si>
    <t>Anschluss an ein Wärmenetz über 70 kW</t>
  </si>
  <si>
    <t>Förderung von Wärmenetz-Anschlüssen über 70 kW an bestehende Gebäude, als Ersatz einer Heizöl-, Erdgas- oder Elektroheizung.&lt;br /&gt;&lt;br /&gt;&lt;strong&gt;Förderbeitrag:&lt;/strong&gt;&lt;br /&gt;- Leistung über 70 kW&lt;sub&gt;th &lt;/sub&gt;bis 500 kW&lt;sub&gt;th&lt;/sub&gt;: 8000 Fr. + 40 Fr. pro kW&lt;sub&gt;th&lt;/sub&gt;&lt;br /&gt;- Leistung über 500 kW&lt;sub&gt;th&lt;/sub&gt;: 18 000 Fr. + 20 Fr. pro kW&lt;sub&gt;th&lt;/sub&gt;</t>
  </si>
  <si>
    <t>Thermische Solaranlage über 70 kW</t>
  </si>
  <si>
    <t>Förderung von Solarkollektoranlagen über 70 kW.&lt;br /&gt;&lt;br /&gt;&lt;strong&gt;Förderbeitrag:&lt;/strong&gt;&lt;br /&gt;- 2400 Fr. + 1000 Fr. pro kW&lt;sub&gt;th&lt;/sub&gt;</t>
  </si>
  <si>
    <t>Boni zur Förderung von umfassenden Gebäudehüllensanierungen im Zusammenhang mit der Massname M-01 "Wärmedämmung Fassade, Dach, Wand und Boden gegen Erdreich".&lt;br /&gt;&lt;br /&gt;&lt;strong&gt;Förderbeitrag:&lt;/strong&gt;&lt;br /&gt;&lt;br /&gt;- Gesamtsanierungsbonus Variante 1: alle Hauptflächen saniert&lt;br /&gt;30 Fr. pro m&lt;sup&gt;2 &lt;/sup&gt;sanierter Bauteilfläche&lt;br /&gt;&lt;br /&gt;- Gesamtsanierungsbonus Variante 2: GEAK-Hülleneffizienz C oder B&lt;br /&gt;GEAK-Klasse C: 30 Fr. pro m&lt;sup&gt;2&lt;/sup&gt; EBF&lt;br /&gt;GEAK-Klasse B: 40 Fr. pro m&lt;sup&gt;2&lt;/sup&gt; EBF</t>
  </si>
  <si>
    <t>Ersatz von dezentralen elektrischen Widerstandsheizungen oder dezentralen fossilen Heizungen</t>
  </si>
  <si>
    <t>Förderung für die Erstinstallation des Wärmeverteilsystems beim Ersatz von dezentralen elektrischen Widerstandsheizungen oder dezentralen fossilen Heizungen durch eine mit erneuerbaren Energien betriebene Hauptheizung.&lt;br /&gt;&lt;br /&gt;&lt;strong&gt;Förderbeitrag:&lt;/strong&gt;&lt;br /&gt;- bis 250 m&lt;sup&gt;2&lt;/sup&gt; EBF: 15 000 Fr.&lt;br /&gt;- über 250 m&lt;sup&gt;2&lt;/sup&gt; EBF: 60 Fr. pro m&lt;sup&gt;2&lt;/sup&gt; EBF</t>
  </si>
  <si>
    <t>Übernahme der Minergie-Zertifizierungskosten.&lt;br /&gt;&lt;br /&gt;&lt;strong&gt;Förderbeitrag:&lt;/strong&gt;&lt;br /&gt;- effektive Zertifizierungskosten für Minergie, Minergie-A und Minergie-P</t>
  </si>
  <si>
    <t>Impulsberatung Solarenergie</t>
  </si>
  <si>
    <t>Förderung einer Beratung zur aktiven Solarenergienutzung (thermische oder elektrische Solaranlagen).&lt;br /&gt;&lt;br /&gt;&lt;strong&gt;Förderbeitrag&lt;/strong&gt;&lt;br /&gt;- Beratung mit einer Kundenbeteiligung von 100 Fr.</t>
  </si>
  <si>
    <t>Bonus-Gebäudehülleneffizienz</t>
  </si>
  <si>
    <t>Einmaliger Investitionsbeitrag</t>
  </si>
  <si>
    <t>Einmaliger Investitionsbeitrag pro Anlage für alle Gebäudekategorien</t>
  </si>
  <si>
    <t>Ladeinfrastrutkur</t>
  </si>
  <si>
    <t>In Mehrfamilienhäusern, Industrie-, Gewerbe-, Büro- und Verwaltungsgebäuden.</t>
  </si>
  <si>
    <t>Lastfahrrad, Veloanhänger</t>
  </si>
  <si>
    <t>Installez une borne de recharge d’une autre marque et bénéficiez de 200 fr.</t>
  </si>
  <si>
    <t>https://sim.moutier.ch/sim/SIM/Subventions/Nos-programmes.html</t>
  </si>
  <si>
    <t>Acquérir un vélo cargo électrique et bénéficiez jusqu’à un maximum de 1000 fr.</t>
  </si>
  <si>
    <t>Communauté d’autoconsommation COMMUNITY</t>
  </si>
  <si>
    <t>Mettez en service une communauté d’autoconsommation COMMUNITY et bénéficiez de 500 fr.</t>
  </si>
  <si>
    <t>Pauschalbeitrag pro Ladestation: 500 Fr.</t>
  </si>
  <si>
    <t>Beitragsberechtigt sind stationäre Batteriespeicher für bereits bestehende oder geplante netzgekoppelte Solarstromanlagen.</t>
  </si>
  <si>
    <t>Förderbeitrag beim Ersatz einer Elektroheizung durch eine Wärmepumpe:&lt;br /&gt;- bis 15 kW: 50 % des kantonalen Förderbeitrags, max. 5000.- Fr.&lt;br /&gt;- ab 15 kW: 35 % des kantonalen Förderbeitrags, max. 10'000.- Fr.</t>
  </si>
  <si>
    <t>https://gals.ch/downloads</t>
  </si>
  <si>
    <t>Wasserkraftanlagen</t>
  </si>
  <si>
    <t>Windenergieanlagen</t>
  </si>
  <si>
    <t>Minergie, Minergie-A und Minergie-P bei Sanierungen</t>
  </si>
  <si>
    <t>https://www.worben.ch/de/verwaltung/energie/foerderbeitraege-energie/</t>
  </si>
  <si>
    <t>Minergie-A oder Minergie-P bei Neubauten</t>
  </si>
  <si>
    <t>Kühl- und Gefriergeräte (Ersatz von alten Geräten)</t>
  </si>
  <si>
    <t>Waschmaschinen/Geschirrspüler (Ersatz von alten Geräten)</t>
  </si>
  <si>
    <t>Ersatz von reinen Elektroboilern mit Wärmepumpenboilern (Warmwasser-Wärmepumpen)</t>
  </si>
  <si>
    <t>Thermische Sonnenenergie auf bestehende Bauten</t>
  </si>
  <si>
    <t>Photovoltaik auf bestehende Bauten</t>
  </si>
  <si>
    <t>Ersatz Ölheizung (oder Elektroheizung)</t>
  </si>
  <si>
    <t>Ersatz durch Wärmepumpe, Holz, Pellets oder Wärmeverbund.</t>
  </si>
  <si>
    <t>Gefördert wird der Ersatz bestehender fossiler oder elektrischer Heizungen durch Holzfeuerungen.</t>
  </si>
  <si>
    <t>https://www.lichtensteig.ch/publikationen/391640</t>
  </si>
  <si>
    <t>Gefördert wird der Ersatz bestehender fossiler oder elektrischer Heizungen durch Wärmepumpen.</t>
  </si>
  <si>
    <t>Wärmeverbund</t>
  </si>
  <si>
    <t>Gefördert wird der Ersatz bestehender Öl-, Gas- und Elektroheizungen durch einen Anschluss an einen Wärmeverbund, der überwiegend mit erneuerbarer Energie betrieben wird.</t>
  </si>
  <si>
    <t>Gefördert wird die Neuinstallation einer Photovolatikanlage auf einem Neubau oder bestehenden Gebäude.</t>
  </si>
  <si>
    <t>Sonnenkollektoranlagen</t>
  </si>
  <si>
    <t>Gefördert wird der Neubau von Sonnenkollektoranlagen auf Neubauten und bestehenden Bauten.</t>
  </si>
  <si>
    <t>Die Wärmedämmung von Einzelbauteilen wird mit 20 Fr. pro m&lt;sup&gt;2&lt;/sup&gt; unterstützt.</t>
  </si>
  <si>
    <t>Energie Wasser Bern und der Ökofonds für erneuerbare Energien unterstützen mit einem einmaligen Beitrag die Installation eines Batteriespeichers. Angesprochen sind Hauseigentümer/innen in der Stadt Bern, welche einen Batteriespeicher im Zusammenhang mit einer Photovoltaikanlage installieren.</t>
  </si>
  <si>
    <t>https://www.ewb.ch/angebot/energieloesungen/foerderprogramme/foerderprogramm-batteriespeicher.php</t>
  </si>
  <si>
    <t>Abonnement annuel unireso</t>
  </si>
  <si>
    <t>https://www.corsier.ch/abonnementannuelunireso/28040</t>
  </si>
  <si>
    <t>https://www.corsier.ch/renovation-energetique/103645</t>
  </si>
  <si>
    <t>Subventions pour Vélo sans et avec assistance électrique.</t>
  </si>
  <si>
    <t>https://www.corsier.ch/velos/103639</t>
  </si>
  <si>
    <t>Abonnement général CFF</t>
  </si>
  <si>
    <t>https://www.corsier.ch/ag/103642</t>
  </si>
  <si>
    <t>Sostituzione di lucernari e finestre</t>
  </si>
  <si>
    <t>Sostituzione di superfici asfaltate</t>
  </si>
  <si>
    <t>Sostituzione di boiler elettrici o ad energie fossili</t>
  </si>
  <si>
    <t>Bildung</t>
  </si>
  <si>
    <t xml:space="preserve">https://www.stadtzug.ch/energiefoerderprogramme/3422 </t>
  </si>
  <si>
    <t>Winteroptimierte Photovoltaikanlagen</t>
  </si>
  <si>
    <t>Winteroptimierte Photovoltaikanlagen zur Stromerzeugung auf bestehenden Gebäuden (Neigung &amp;gt; 75 Grad) sowie Fassadenanlagen ab mind. 2 kWp:&lt;br /&gt;300 Fr. pro kWp bis max. 3’000 Fr.</t>
  </si>
  <si>
    <t>Bidirektionales Laden</t>
  </si>
  <si>
    <t>Beitragsberechtigt sind stationäre bidirektionale Gleichstrom-Ladestationen (DC) an privaten Parkplätzen in Ein- oder Mehrfamilienhäusern, welche mit einer Photovoltaik-Anlage im Eigenverbrauch gekoppelt sind.&lt;br /&gt;Pro Ladestation erfolgt ein einmaliger Investitionsbeitrag von 2000 Fr.</t>
  </si>
  <si>
    <t>Elektrofahrzeuge sowie Personenwagen der Energieeffizienzkategorie A oder B erhalten 80 % Ermässigung (für das Jahr der ersten Inverkehrsetzung sowie für die vier darauffolgenden Jahre).</t>
  </si>
  <si>
    <t>https://strassenverkehrsamt.lu.ch/Strassenverkehr/steuern_gebuehren/steuerberechnungen</t>
  </si>
  <si>
    <t>Subvention pour les installations photovoltaïques</t>
  </si>
  <si>
    <t>200 Fr. par KWC</t>
  </si>
  <si>
    <t>https://www.celigny.ch/demarches/subventions</t>
  </si>
  <si>
    <t>Subvention pour l’installation de récupérateur d’eau</t>
  </si>
  <si>
    <t>200 Fr. par installation (cuve et branchement sur cheneau)</t>
  </si>
  <si>
    <t>Subventions aînées — abonnement demi-tarif CFF</t>
  </si>
  <si>
    <t>100 Fr. par abonnement</t>
  </si>
  <si>
    <t>Für die folgenden Fördergegenstände erhalten Sie finanzielle Unterstützung:&lt;br /&gt;- Einzelbauteilsanierungen&lt;br /&gt;- Bonus Gebäudehülleneffizienz (Gesamtsanierungsbonus)&lt;br /&gt;- Wärmedämmung von Fassaden mit denkmalpflegerischen Auflagen&lt;br /&gt;&lt;br /&gt;Die Förderbeiträge der Stadt Luzern sind mit den Fördergegenständen des Kantons Luzern kombinierbar.</t>
  </si>
  <si>
    <t>https://www.stadtluzern.ch/dienstleistungeninformation/71992</t>
  </si>
  <si>
    <t>Plug-&amp;amp;-Play-Photovoltaikanlagen</t>
  </si>
  <si>
    <t>Gefördert werden sogenannte «Balkonkraftwerke» – kompakte Photovoltaikanlagen für Balkon oder Fassade.</t>
  </si>
  <si>
    <t>https://www.stadtluzern.ch/dienstleistungeninformation/76954</t>
  </si>
  <si>
    <t>Spezielle Anlagen mit erneuerbaren Energien</t>
  </si>
  <si>
    <t>Für gewisse speziellen Anlagen mit erneuerbaren Energien können Fördergelder beantragt werden, falls die Anlage eine bestehende Heizöl-, Erdgas- oder Elektroheizungen ersetzt.</t>
  </si>
  <si>
    <t>https://www.stadtluzern.ch/dienstleistungeninformation/12520</t>
  </si>
  <si>
    <t>Solar-Impuls: Beratung zur Photovoltaik</t>
  </si>
  <si>
    <t>Der Solar-Impuls bietet Ihnen eine kostenlose, unabhängige Beratung durch eine Fachperson.</t>
  </si>
  <si>
    <t>https://www.stadtluzern.ch/dienstleistungeninformation/76930</t>
  </si>
  <si>
    <t>Nuove costruzioni a basso fabbisogno energetico Minergie</t>
  </si>
  <si>
    <t>Conversione del riscaldamento esistente</t>
  </si>
  <si>
    <t>Installazione impianti fotovoltaici</t>
  </si>
  <si>
    <t>Sostituzione del vecchio boiler elettrico</t>
  </si>
  <si>
    <t>Sportello dell’energia</t>
  </si>
  <si>
    <t>Sanierungen nach Minergie-P/A Standard</t>
  </si>
  <si>
    <t>https://www.sennwald.ch/energiefoerderung</t>
  </si>
  <si>
    <t>Neubauten nach Minergie-P/A Standard</t>
  </si>
  <si>
    <t>Warmwasserkollektor</t>
  </si>
  <si>
    <t>Windkraftanlage</t>
  </si>
  <si>
    <t>Biogasanlage</t>
  </si>
  <si>
    <t>Die Energieberatung der ibk AG umfasst eine Beratung vor Ort mit anschliessender Checkliste zu den Verbesserungsmassnahmen und generellen Vorgehensvorschläge, Informationen zu Förderbeiträgen und anderen Finanzierungsmöglichkeiten. Für Kunden im Versorgungsgebiet der ibk AG ist die Energieberatung kostenlos.</t>
  </si>
  <si>
    <t>https://www.ibkloten.ch/oekologie/energieberatung.html</t>
  </si>
  <si>
    <t>Die Energieregion AüB unterstützt die Solarberatung des Vereins Energie AR/AI mit 50 Fr.</t>
  </si>
  <si>
    <t>https://www.heiden.ch/energiestadt/11781</t>
  </si>
  <si>
    <t>Wärmepumpenanlagen Luft-Wasser</t>
  </si>
  <si>
    <t>Ersatz von fossil betriebenen Heizungen und ortsfesten elektrischen Widerstandsheizungen mit einer Luft-Wasser-Wärmepumpe grösser als 70 kW.&lt;br /&gt;&lt;br /&gt;&lt;strong&gt;Förderbeitrag:&lt;/strong&gt;&lt;br /&gt;- 3200 Fr. + 120 Fr. pro kW&lt;sub&gt;th&lt;br /&gt;&lt;/sub&gt;- Beitrag für den Ersatz von dezentralen elektrischen Widerstandsheizungen oder fossilen Heizungen: bis 250 m² EBF 15 000 Fr., ab 250 m² EBF 60 Fr. pro m²&lt;sub&gt;&lt;br /&gt;&lt;/sub&gt;</t>
  </si>
  <si>
    <t>Fenstersanierung</t>
  </si>
  <si>
    <t>Fenstersanierung bei Ein- und Mehrfamilienhäuser, Hotel / Gastronomie, Bürogebäude, Industrie / Gewerbe</t>
  </si>
  <si>
    <t>https://www.arbon.ch/stadt/service-und-aktuelles/dienstleistungen-a-z.html/226/egov_service/386</t>
  </si>
  <si>
    <t>Lastenfahrrad (Carvelo, Cargobike)</t>
  </si>
  <si>
    <t>Gebäudemodernisierungen nach GEAK-Effizienzklassen</t>
  </si>
  <si>
    <t>Minergie P Neubauten</t>
  </si>
  <si>
    <t>Wärmenetzanschluss</t>
  </si>
  <si>
    <t>75% des vom Kanton geleisteten Beitrages</t>
  </si>
  <si>
    <t>Solarstromanlage</t>
  </si>
  <si>
    <t>Bidirektionale Ladestationen</t>
  </si>
  <si>
    <t>Öffentlich zugängliche Ladestationen</t>
  </si>
  <si>
    <t>Spezialprojekte in den Bereichen Energie, Langsamverkehr, Umwelt</t>
  </si>
  <si>
    <t>Installation de chauffage&lt;br /&gt;principal au bois (bûches,&lt;br /&gt;plaquettes ou pellets)</t>
  </si>
  <si>
    <t>Ersatz von fossil betriebenen Heizungen und ortsfesten, dezentralen elektrischen Widerstandsheizungen mit einer Luft-Wasser-Wärmepumpe.&lt;br /&gt;&lt;br /&gt;&lt;strong&gt;Förderbeitrag:&lt;/strong&gt;&lt;br /&gt;- Beitrag abhängig vom Gebäudetyp und von der Nennleistung&lt;br /&gt;- Evtl. Zusatzbeitrag für gleichzeitige Installation Solarstromanlage&lt;br /&gt;- Beitrag für den Ersatz von dezentralen elektrischen Widerstandsheizungen oder fossilen Heizungen: bis 250 m² EBF 15 000 Fr., ab 250 m² EBF 60 Fr. pro m²</t>
  </si>
  <si>
    <t>Bornes de recharges individuelles</t>
  </si>
  <si>
    <t>https://www.bernex.ch/vie-pratique/mobilite/aides-financieres/subventions-borne-electromobilite-2532</t>
  </si>
  <si>
    <t>Électrification de parking collectif</t>
  </si>
  <si>
    <t>https://www.deepl.com/de/translator#fr/de/La%20liste%20de%20subventions%20communales%20que%20vous%20poss%C3%A9dez%20concernant%20la%20r%C3%A9novation%20%C3%A9nerg%C3%A9tique%20est%20correcte.%0A%0ANous%20proposons%20%C3%A9galement%20des%20subventions%20pour%20l%E2%80%99installation%20de%20bornes%20%C3%A9lectromobilit%C3%A9%20priv%C3%A9es%20(tous%20les%20d%C3%A9tails%20sont%20disponibles%20sur%20la%20page%20suivante%20%3A%20https%3A%5C%2F%5C%2Fwww.bernex.ch%5C%2Fvie-pratique%5C%2Fmobilite%5C%2Faides-financieres%5C%2Fsubventions-borne-electromobilite-2532)%20%3A%0A%0A-%09Bornes%20de%20recharges%20individuelles%0A-%09%C3%89lectrification%20de%20parking%20collectif%0A%0AEn%20vous%20remerciant%20pour%20votre%20collaboration%20et%20en%20restant%20%C3%A0%20disposition%20pour%20tout%20compl%C3%A9ment%20d%E2%80%99information%2C%20je%20vous%20prie%20de%20recevoir%20mes%20meilleures%20salutations.</t>
  </si>
  <si>
    <t>Wärmepumpen-Bolier</t>
  </si>
  <si>
    <t>Erstinstallation Wärmeverteilsystem</t>
  </si>
  <si>
    <t>Hier finden Sie die Förderbeiträge für den Ersatz von dezentralen elektrischen Widerstandsheizungen oder dezentralen fossilen Heizungen durch ein zentrales Wärmeverteilsystem.&lt;br /&gt;&lt;br /&gt;&lt;strong&gt;Förderbeitrag:&lt;/strong&gt;&lt;br /&gt;- Erstinstallation hydraulisches Wärmeverteilsystem bis 250 m&lt;sup&gt;2&lt;/sup&gt;: pauschal 15 000 Fr.&lt;br /&gt;- Erstinstallation hydraulisches Wärmeverteilsystem ab 250 m&lt;sup&gt;2&lt;/sup&gt;: 60 Fr. pro m&lt;sup&gt;2&lt;/sup&gt; Energiebezugsfläche</t>
  </si>
  <si>
    <t>https://www.bs.ch/wsu/aue/abteilung-energie/foerderbeitraege-energie/erstinstallation-waermeverteilsystem</t>
  </si>
  <si>
    <t>Aktion GEAK Plus</t>
  </si>
  <si>
    <t>Der GEAK Plus ist das ideale Instrument, um sich auf eine energetische Sanierung und einen Heizungsersatz vorzubereiten. Die "Aktion GEAK Plus" belohnt Sie vorweg zusätzlich: Wenn Sie jetzt einen GEAK Plus erstellen lassen, erhalten Sie einen Beitrag ausbezahlt, auch wenn Sie noch keine Sanierungsmassnahmen aus Ihrem GEAK-Plus-Bericht umgesetzt haben.&lt;br /&gt;&lt;br /&gt;&lt;strong&gt;Förderbeitrag:&lt;/strong&gt;&lt;br /&gt;- 500 Fr.</t>
  </si>
  <si>
    <t>https://www.bs.ch/wsu/aue/abteilung-energie/aktion-geak-plus</t>
  </si>
  <si>
    <t>Aktion Solarkraftwerk Basel</t>
  </si>
  <si>
    <t>Sie erhalten einen zusätzlichen Förderbeitrag, wenn Sie eine energetische Dach- oder Fassadensanierung mit der Installation einer Photovoltaikanlage kombinieren.&lt;br /&gt;&lt;br /&gt;&lt;strong&gt;Förderbeitrag:&lt;/strong&gt;&lt;br /&gt;- 50 Fr. pro m&lt;sup&gt;2&lt;/sup&gt; saniertes Dach respektive 100 Fr. pro m&lt;sup&gt;2&lt;/sup&gt;, wenn auf dem sanierten Dach Photovltaikmodule angebracht werden&lt;br /&gt;- 70 Fr. pro m&lt;sup&gt;2&lt;/sup&gt; sanierte Fassade respektive 140 Fr. pro m&lt;sup&gt;2&lt;/sup&gt;, wenn an der sanierten Fassade Photovltaikmodule angebracht werden</t>
  </si>
  <si>
    <t>https://www.bs.ch/wsu/aue/abteilung-energie/aktion-solarkraftwerk-basel</t>
  </si>
  <si>
    <t>Composteur et lombricomposteur</t>
  </si>
  <si>
    <t>https://www.bussigny.ch/vivre-a-bussigny/environnement/subventions</t>
  </si>
  <si>
    <t>Remplacement d’un chauffage à gaz, à mazout ou électrique par une énergie renouvelable (PAC exclue)</t>
  </si>
  <si>
    <t>Location vaisselle réutilisable</t>
  </si>
  <si>
    <t>Infrastructure de recharge à usage privé intelligent</t>
  </si>
  <si>
    <t>https://www.yverdon-energies.ch/programmes/infrastructure-de-recharge-a-usage-prive-intelligent/</t>
  </si>
  <si>
    <t>Décompte individuel des frais de chauffage</t>
  </si>
  <si>
    <t>https://www.yverdon-energies.ch/programmes/decompte-individuel-des-frais-de-chauffage-difc/</t>
  </si>
  <si>
    <t>Aide à la mobilité</t>
  </si>
  <si>
    <t>Désinvestissement énergie fossile</t>
  </si>
  <si>
    <t>Subvention pour le remplacement prématuré de votre chaudière fossile en faveur d’une production de chaleur à énergie renouvelable (bois, pompe à chaleur, chauffage à distance).&lt;br /&gt;Valable pour le remplacement de chaudière existante âgée de moins de 20 ans, mais de plus de 5 ans.</t>
  </si>
  <si>
    <t>Mobilitätsberatung</t>
  </si>
  <si>
    <t>https://www.stadtwil.ch/energiestadt/59281</t>
  </si>
  <si>
    <t>Compléments aux subventions cantonales</t>
  </si>
  <si>
    <t>- Isolation thermique &lt;br /&gt;- Capteur solaires thermiques&lt;br /&gt;- Amélioration de la classe CECB&lt;br /&gt;- Rénovation complète avec certificat Minergie</t>
  </si>
  <si>
    <t>Erdsondenbohrung</t>
  </si>
  <si>
    <t>https://regionrheintal.ch/energie/</t>
  </si>
  <si>
    <t>Anschluss an Fernwärmeverbund</t>
  </si>
  <si>
    <t>https://www.primeo-energie.ch/ueber-uns/engagement.html#energiefonds</t>
  </si>
  <si>
    <t>https://www.etoy.ch/cms/vivre-a-etoy/subventions-communales#exemples-daides-financieres</t>
  </si>
  <si>
    <t>D'un bâtiment résidentiel</t>
  </si>
  <si>
    <t>Sur un bâtiment collectif</t>
  </si>
  <si>
    <t>Remplacement d’une installation de chauffage</t>
  </si>
  <si>
    <t>Projet de développement durable</t>
  </si>
  <si>
    <t>Mobility</t>
  </si>
  <si>
    <t>Elektroladestationen</t>
  </si>
  <si>
    <t>Pauschalbeitrag pro Ladestation: 500 Fr.&lt;br /&gt;Wird finanziell in Ergänzung zum kantonalen Förderprogramm unterstützt.</t>
  </si>
  <si>
    <t>Vélo électrique neuf ou d'occasion</t>
  </si>
  <si>
    <t>https://www.payerne.ch/subventions/</t>
  </si>
  <si>
    <t>Service de réparation de vélo avec ou sans assitance</t>
  </si>
  <si>
    <t>Abonnement demi-tarif</t>
  </si>
  <si>
    <t>Abonnement Frimobil (bus urbain)</t>
  </si>
  <si>
    <t>CECB +</t>
  </si>
  <si>
    <t>Chaleur</t>
  </si>
  <si>
    <t>AMOén – Assistance à Maitrise d’ouvrage en énergie ou mandat d’études pour les travaux de rénovation énergétique</t>
  </si>
  <si>
    <t>Batterie électrique associée à une installation PV</t>
  </si>
  <si>
    <t>Borne de recharge (usage privé)</t>
  </si>
  <si>
    <t>Cette subvention est allouée pour l’installation d’infrastructures et de bornes de recharge de véhicules électriques. Elle est destinée aux copropriétaires et propriétaires institutionnels de logements collectifs (trois logements ou plus).&lt;br /&gt;&lt;br /&gt;&lt;strong&gt;Contribution financière:&lt;/strong&gt;&lt;br /&gt;- Montant octroyé pour l’alimentation électrique (C1/C2) d’une place: entre 200 fr. et 400 fr. en fonction du nombre de places</t>
  </si>
  <si>
    <t>https://www.vd.ch/prestation/copie-mob01-demander-une-subvention-pour-linfrastructure-de-recharge-de-la-mobilite-individuelle-electrique-a-usage-prive-hors-place-de-parc-pour-habitation-individuelle-et-mitoyenne</t>
  </si>
  <si>
    <t>Energetische Zustandsbeurteilung (Gebäude-Energieausweis) mit Varianten zur Gebäudemodernisierung durch akkreditierte GEAK-Experten.</t>
  </si>
  <si>
    <t>https://e-zimmerberg.ch/energieberatung-richterswil/</t>
  </si>
  <si>
    <t>Erneuerbar Heizen</t>
  </si>
  <si>
    <t>Der Zustand Ihrer Heizungsanlage wird analysiert und aufgezeigt, wie Sie in Zukunft erneuerbar heizen können, inkl. Kostenberechnung der verschiedenen Heizsysteme. Mit einem Kurzbericht erhalten Sie eine Entscheidungsgrundlage für den Heizungsersatz (kostenlos nur bei Heizungen älter als 10 Jahre).</t>
  </si>
  <si>
    <t>PV-Potenzialeinschätzung</t>
  </si>
  <si>
    <t>Anhand einer Potenzialeinschätzung wird aufgezeigt wie Sie Ihr Dach optimal für die solare Stromproduktion nutzen können. Die Beratung beinhaltet eine Analyse der Dachfläche zudem werden die Kosten und die Amortisationszeit einer PV-Anlage aufgezeigt.</t>
  </si>
  <si>
    <t>PV-Detailofferte</t>
  </si>
  <si>
    <t>Begehung mit einem Solarteur vor Ort mit verbindlichen Angaben für die Realisierung einer PV-Anlage nach individuellen Bedürfnissen. Angaben zur Grösse und Leistung, zu Investitionskosten, Material-/Systemkomponenten, Stromproduktion (Eigenbedarf/Einspeisung), Speicherung, Fördergelder und Amortisation.</t>
  </si>
  <si>
    <t>Es wird aufgezeigt, welche Lösung für Sie zum optimalen Aufladen Ihres Elektroautos Sinn macht, ob bei einem Einfamilienhaus oder für eine Mehrplatz-Lösung in der Tiefgarage (inkl. Kurzbericht mit Aussagen zu Infrastruktur und Kosten).</t>
  </si>
  <si>
    <t>Stromcheck Verbrauchsoptimierung</t>
  </si>
  <si>
    <t>Der Experte analysiert Ihre Stromrechnung und zeigt Ihnen bei einem Rundgang durch Ihre Räume, wie Sie Ihren Stromverbrauch reduzieren und damit gleichzeitig Kosten sparen können.</t>
  </si>
  <si>
    <t>Ein akkreditierter PEIK-Berater zeigt Ihnen auf, wie Sie mit Sofortmassnahmen und ohne grössere Investitionen Energiekosten senken können. Sie erhalten eine Standortbestimmung mit einer Potenzialanalyse zur Priorisierung möglicher Investitionen.</t>
  </si>
  <si>
    <t>Individuelle Energieberatung</t>
  </si>
  <si>
    <t>Leistungen bei komplexen, nicht standardisierten Anforderungen (z. B. für Immobilien-Verwaltungen, Stockwerk-Eigentümergemeinschaften): Expertisen, Begleitung bei Entscheidungsfindung und/oder Umsetzungen, Offertvergleiche etc.</t>
  </si>
  <si>
    <t>Solar- und Energiesparberatung</t>
  </si>
  <si>
    <t>Das Angebot enthält ein Beratungsprotokoll mit einer Grobanalyse des Photovoltaikpotenzials, einer Kostenschätzung, dem Einbezug der Fördergelder, Amortisationsdauer und Hinweise für das weitere Vorgehen. Förderbeitrag: 450 Fr.&lt;br /&gt;Die Solarberatung kann kostenlos um eine Energiesparberatung erweitert werden.</t>
  </si>
  <si>
    <t>http://www.sursee.ch/solarberatung</t>
  </si>
  <si>
    <t>https://www.rochefort.ch/vie-quotidienne/urbanisme/subventions-communales</t>
  </si>
  <si>
    <t>https://www.rochefort.ch/vie-quotidienne/transports-mobilite/subventions-transports</t>
  </si>
  <si>
    <t>PEIK-Beratung für Unternehmen</t>
  </si>
  <si>
    <t>Elektromobilität: Nachrüsten bestehender Einstellhallen mit Basisinstallation</t>
  </si>
  <si>
    <t>Vorstudie für die Installation einer Solaranlage</t>
  </si>
  <si>
    <t>Projets sur l'efficacité énergétique</t>
  </si>
  <si>
    <t>https://www.court.ch/construire/subventions-pour-l-environnement</t>
  </si>
  <si>
    <t>Förderbeitrag der Gemeinde: 50% des Kantonsbeitrages, maximal 1000 Franken.</t>
  </si>
  <si>
    <t>https://www.taegerwilen.ch/verwaltung/online-schalter.html/259/product/36</t>
  </si>
  <si>
    <t>Förderbeitrag der Gemeinde: 50% des Kantonsbeitrages, maximal 5000 Franken.</t>
  </si>
  <si>
    <t>Förderbeitrag der Gemeinde: 75% des Kantonsbeitrages, maximal 7500 Franken.</t>
  </si>
  <si>
    <t>Wärmepumpen Luft/Wasser bis 70 kW bei Einfamilienhäusern mit PV-Anlage</t>
  </si>
  <si>
    <t>Voraussetzung: PV-Anlage&lt;br /&gt;Förderbeitrag: pauschal 3000 Franken</t>
  </si>
  <si>
    <t>Förderbeitrag der Gemeinde: 75% des Kantonsbeitrages, maximal 6000 Franken.</t>
  </si>
  <si>
    <t>Förderbeitrag der Gemeinde: 50% des Kantonsbeitrages, maximal 3000 Franken.</t>
  </si>
  <si>
    <t>Förderbeitrag: pro Ladestation 2000 Franken</t>
  </si>
  <si>
    <t>Wärmeerzeugungskonzepte bei Objekten im Bauinventar</t>
  </si>
  <si>
    <t>Pompe à chaleur air-eau &amp;gt;70kW</t>
  </si>
  <si>
    <t>La pompe à chaleur &amp;gt;70kW air-eau utilise l’air comme source d’énergie et convient aussi bien pour le chauffage que pour la production d’eau chaude sanitaire.&lt;br /&gt;&lt;br /&gt;&lt;strong&gt;Contribution financière&lt;/strong&gt;&lt;br /&gt;- 3200 fr. + 400 fr. par kW</t>
  </si>
  <si>
    <t>https://www.ge-energie.ch/pompe-chaleur-air-eau-70kw</t>
  </si>
  <si>
    <t>Pompe à chaleur sol-eau et eau-eau &amp;gt;70 kW</t>
  </si>
  <si>
    <t>Cette subvention est allouée pour l’installation d’une pompe à chaleur eau-eau en remplacement d’un chauffage au mazout, au gaz naturel ou d’un chauffage électrique fixe à résistance d'une puissance supérieure à 70kW.&lt;br /&gt;&lt;br /&gt;&lt;strong&gt;Contribution financière&lt;/strong&gt;&lt;br /&gt;- Jusqu'à 500 kW: 4800 fr. + 800 fr. par kW&lt;br /&gt;- A partir de 500 kW: 204 800 fr. + 400 fr. par kW</t>
  </si>
  <si>
    <t>Raccordement a un réseau de chauffage (bâtiments existants) &amp;gt;70 kW</t>
  </si>
  <si>
    <t>Une subvention est accordée pour le raccordement des bâtiments aux réseaux thermiques de chauffage pour une puissance supérieure à 70 kW.&lt;br /&gt;&lt;br /&gt;&lt;strong&gt;Contribution financière:&lt;/strong&gt;&lt;br /&gt;- Plus de 70 kW jusqu'à 500 kW: 8000 fr. + 200 fr. par kW&lt;br /&gt;- A partir de 500 kW: 58 000 fr. + 100 fr. par kW</t>
  </si>
  <si>
    <t>https://www.ge-energie.ch/raccordement-un-reseau-de-chauffage-batiments-existants-70kw</t>
  </si>
  <si>
    <t>Raccordement a un réseau de chauffage (bâtiments existants) &amp;gt;70kW</t>
  </si>
  <si>
    <t>Une subvention est accordée pour le raccordement des bâtiments aux réseaux thermiques de chauffage pour une puissance supérieure à 70 kW.&lt;br /&gt;&lt;br /&gt;&lt;strong&gt;Contribution financière:&lt;/strong&gt;&lt;br /&gt;- Plus de 70 kW jusqu'à 500 kW: 8000 fr. + 200 fr. par kW&lt;br /&gt;- A partir de 500 kW: 58 000 fr. + 100 fr. par kW&lt;br /&gt;</t>
  </si>
  <si>
    <t>Installation solaire thermique &amp;gt; 70kW</t>
  </si>
  <si>
    <t>Cette subvention est allouée pour une nouvelle installation solaire thermique ou l’extension d’une installation existante (sur des bâtiments existants) d'une puissance supérieure à 70 kW.&lt;br /&gt;&lt;br /&gt;&lt;strong&gt;Contribution financière:&lt;/strong&gt;&lt;br /&gt;- 4800 fr. + 2000 fr. par kW</t>
  </si>
  <si>
    <t>https://www.ge-energie.ch/installations-de-capteurs-solaires-thermique-70kw</t>
  </si>
  <si>
    <t>Optimisations énergétiques de l’exploitation - Equilibrage hydraulique</t>
  </si>
  <si>
    <t>Un réseau de chauffage déséquilibré provoque un inconfort thermique par un manque de chauffage dans certains logements et une surchauffe dans d’autres, mais également une surconsommation du bâtiment. L'équilibrage hydraulique permet de remédier à ce déséquilibre. &lt;br /&gt;&lt;br /&gt;&lt;strong&gt;Contribution financière:&lt;/strong&gt;&lt;br /&gt;- 3 fr. par m&lt;sup&gt;2&lt;/sup&gt; de la surface chauffée (SRE) &lt;br /&gt;- max. 50 % de l’investissement</t>
  </si>
  <si>
    <t>https://www.ge-energie.ch/optimisations-energetiques-de-lexploitation-equilibrage-hydraulique-0</t>
  </si>
  <si>
    <t>Optimisations énergétiques de l’exploitation - Systèmes de Sondes homologués</t>
  </si>
  <si>
    <t>La gestion optimisée d'une chaufferie d'immeuble permet de réaliser des gains énergétiques importants. L'instrumentation des installations techniques de chauffage et d'eau chaude sanitaire avec un système de sondes permet de mieux piloter la production et distribution de chaleur. Les systèmes de sondes homologués contribue à réduire la consommation thermique et donc de faire baisser l'IDC des bâtiments.&lt;br /&gt;&lt;br /&gt;&lt;strong&gt;Contribution financière:&lt;/strong&gt;&lt;br /&gt;- 0.50 fr.par m&lt;sup&gt;2&lt;/sup&gt; de la surface chauffée (SRE) &lt;br /&gt;- max. 50 % de l’investissement</t>
  </si>
  <si>
    <t>https://www.ge-energie.ch/optimisations-energetiques-de-lexploitation-systemes-de-sondes-homologues</t>
  </si>
  <si>
    <t>Optimisations énergétiques de l’exploitation - Systèmes de Vannes thermostatiques télépilotées (VTP)</t>
  </si>
  <si>
    <t>Les systèmes de Vannes thermostatiques télépilotées (VTP) permettent de régler la température au niveau de chaque émetteur (i.e. radiateur). Cette solution permet un pilotage à distance et en continu des températures des différents émetteurs de chaleur dans un bâtiment.  &lt;br /&gt;&lt;br /&gt;&lt;strong&gt;Contribution financière:&lt;/strong&gt;&lt;br /&gt;- 5 fr. par m&lt;sup&gt;2&lt;/sup&gt; de la surface chauffée (SRE) &lt;br /&gt;- max. 50 % de l’investissement</t>
  </si>
  <si>
    <t>https://www.ge-energie.ch/optimisations-energetiques-de-lexploitation-systemes-de-vannes-thermostatiques-telepilotees-vtp</t>
  </si>
  <si>
    <t>Luft-Luft-Wärmepumpen</t>
  </si>
  <si>
    <t>Vom 1. Januar bis 31. August 2025 wird der Ersatz von dezentralen Elektroheizungen ohne Wärmeverteilsystem durch Luft-Luft-Wärmepumpen gefördert. Es werden nur Klimageräte gefördert, die auf topten.ch gelistet sind und folgende Effizienzanforderungen erfüllen:&lt;br /&gt;- mindestens Energieklasse A++&lt;br /&gt;- bei Multi-Split-Truhengeräten: mindestens A+</t>
  </si>
  <si>
    <t>https://www.ekz.ch/de/privatkunden/energieberatung/foerderprogramme/foerderprogramm-luft-luft-waermepumpe.html</t>
  </si>
  <si>
    <t>Remplacement de chauffages décentralisés (électriques ou combustibles fossiles)</t>
  </si>
  <si>
    <t>Cette subvention est allouée pour remplacer les chauffages électriques décentralisés à résistances ou les chauffages décentralisés à combustibles fossiles par des installations de chauffage renouvelables.&lt;br /&gt;&lt;br /&gt;&lt;strong&gt;Contribution financière:&lt;/strong&gt;&lt;br /&gt;- SRE de 250 m&lt;sup&gt;2&lt;/sup&gt; au plus: 15 000 fr.&lt;br /&gt;- SRE supérieure à 250 m&lt;sup&gt;2&lt;/sup&gt;: 60 fr. par m&lt;sup&gt;2&lt;/sup&gt; SRE</t>
  </si>
  <si>
    <t>https://www.ge-energie.ch/remplacement-de-chauffages-electriques-decentralises-resistances-ou-de-chauffages-decentralises</t>
  </si>
  <si>
    <t>Remplacement chauffage électrique, mazout ou gaz par réseau de chaleur</t>
  </si>
  <si>
    <t>Le remplacement d'un chauffage électrique, au mazout ou au gaz par un reaseau de chaleur est encouragé.&lt;br /&gt;&lt;br /&gt;&lt;strong&gt;Contribution financière:&lt;/strong&gt;&lt;br /&gt;- Nouveau chauffage ≤ 15 kW: 4500 fr.&lt;br /&gt;- Nouveau chauffage &amp;gt; 15 kW ≤ 70 kW: 3000 fr. + 100 fr./kW&lt;br /&gt;- Nouveau chauffage &amp;gt; 70 kW ≤ 500 kW: 8000 fr. + 40 fr./kW&lt;br /&gt;- Nouveau chauffage &amp;gt; 500 kW: 18 000 fr. + 20 fr./kW&lt;br /&gt;&lt;br /&gt;- Contribution supplémentaire pour la première installation d'un système de distribution de chaleur: SRE &amp;lt; 250 m2: 15 000 fr. / SRE ≥ 250 m2: 60 fr./m2 SRE</t>
  </si>
  <si>
    <t>Wärmepumpen über 70 kW</t>
  </si>
  <si>
    <t>Gefördert wird der Rückbau und Ersatz von elektrischen und fossilen Heizungen in bestehenden Bauten durch eine Elektro-Wärmepumpe (Luft-Wasser, Sole-Wasser oder Wasser-Wasser) über 70 kW. Als elektrisch gelten zentrale oder dezentrale elektrische Widerstandsheizungen, als fossil gelten Öl-, Gas- und Kohleheizungen.&lt;br /&gt;&lt;br /&gt;&lt;strong&gt;Förderbeiträge&lt;/strong&gt;&lt;br /&gt;- Luft-Wasser-Wärmepumpe über 70 kW: 3200 Fr. + 120 Fr. pro kW&lt;sub&gt;th&lt;/sub&gt;&lt;br /&gt;- Sole-Wasser- oder Wasser-Wasser-Wärmepumpe ab 70 bis 500 kW: 4800 Fr. + 360 Fr. pro kW&lt;sub&gt;th&lt;/sub&gt;&lt;br /&gt;- Sole-Wasser- oder Wasser-Wasser-Wärmepumpe ab 500 kW: 84 800 Fr. + 200 Fr. pro kW&lt;sub&gt;th&lt;/sub&gt;&lt;br /&gt;&lt;br /&gt;Hinweis Umsetzungsanreiz: Bis Ende 2026 erhöht sich der Förderbeitrag um 30 %.</t>
  </si>
  <si>
    <t>https://www.energieagentur-sg.ch/index.cfm?page=139197&amp;cfid=5388084&amp;cftoken=3abaebe4b5c35137-6CB19F5E-A9CA-88A3-8591E1E8C56D5C52</t>
  </si>
  <si>
    <t>Anschluss an Fernwärmenetz über 70 kW</t>
  </si>
  <si>
    <t>Gefördert wird der Ersatz von elektrischen und fossilen Heizungen durch einen Anschluss mit einer Leistung von über 70 kW an ein Wärmenetz.&lt;br /&gt;&lt;br /&gt;&lt;strong&gt;Förderbeitrag&lt;/strong&gt;&lt;br /&gt;- thermische Leistung 70 bis 500 kW: 8000 Fr. + 40 Fr. pro kW&lt;sub&gt;th&lt;/sub&gt;&lt;br /&gt;- thermische Leistung ab 500 kW: 18 800 Fr. + CHF 20 Fr. pro kW&lt;sub&gt;th&lt;/sub&gt;&lt;br /&gt;&lt;br /&gt;Hinweis Umsetzungsanreiz: Bis Ende 2026 erhöht sich der Förderbeitrag um 30 %.</t>
  </si>
  <si>
    <t>https://www.energieagentur-sg.ch/index.cfm?page=139199&amp;cfid=5388084&amp;cftoken=3abaebe4b5c35137-6CB19F5E-A9CA-88A3-8591E1E8C56D5C52</t>
  </si>
  <si>
    <t>Thermische Solaranlagen über 70 kW</t>
  </si>
  <si>
    <t>Gefördert werden Flach- und Röhrenkollektoren mit einer Leistung von über 70 kW für die Wärmeerzeugung, in der Regel in mit erneuerbaren Energien betriebenen Wärmenetzen, die fossile oder elektrische Heizungen ersetzen.&lt;br /&gt;&lt;br /&gt;&lt;strong&gt;Förderbeitrag&lt;/strong&gt;&lt;br /&gt;- 2400 Fr. + 1000 Fr. pro kW&lt;sub&gt;th&lt;br /&gt;&lt;/sub&gt;&lt;br /&gt;Hinweis Umsetzungsanreiz: Bis Ende 2026 erhöht sich der Förderbeitrag um 30 %.</t>
  </si>
  <si>
    <t>https://www.energieagentur-sg.ch/thermische-solaranlage</t>
  </si>
  <si>
    <t>Bonus für Gebäudehülleneffizienz</t>
  </si>
  <si>
    <t>Sie können vom Gebäudehüllenbonus profitieren, wenn nach Umsetzung der Massnahmen die Hülleneffizienz GEAK C oder besser erreicht wird.&lt;br /&gt;Reichen Sie dazu ein Gesuch für Wärmedämmung von Einzelbauteilen oder für Gebäude in Etappen erneuern zusammen mit dem Gesuch für den Gebäudehüllenbonus ein. Beide Gesuche sind vor Baubeginn einzureichen. &lt;br /&gt;&lt;br /&gt;&lt;strong&gt;Förderbeitrag&lt;/strong&gt;&lt;br /&gt;- GEAK-Effizienzklasse C: 30 Fr. pro m&lt;sup&gt;2&lt;/sup&gt; EBF&lt;br /&gt;- GEAK-Effizienzklassen B und A: 40 Fr. pro m&lt;sup&gt;2&lt;/sup&gt; EBF</t>
  </si>
  <si>
    <t>https://www.energieagentur-sg.ch/index.cfm?page=139198&amp;cfid=5388084&amp;cftoken=3abaebe4b5c35137-6CB19F5E-A9CA-88A3-8591E1E8C56D5C52</t>
  </si>
  <si>
    <t>GEAK Plus oder energetische Grobanalyse</t>
  </si>
  <si>
    <t>Gefördert wird der Gebäudeenergieausweis mit Beratungsbericht (GEAK Plus) und eine Grobanalyse für komplexe Gebäude der Gebäudekategorien VII - XII (gemäss Vorgaben Kanton).</t>
  </si>
  <si>
    <t>https://www.saanen.ch/de/verwaltung/dienstleistungen/267_gesch%C3%A4ftsstelle-f%C3%B6rderprogramm-energie</t>
  </si>
  <si>
    <t>Sanierung von Einzelbauteilen</t>
  </si>
  <si>
    <t>Die energetische Sanierung von Einzelbauteilen wie Fenster, Wand/Dach/Boden gegen aussen und gegen unbeheizte Räume wird unterstützt. Sanierungen, welche durch das kantonale Förderprogramm unterstützt werden, erhalten keine Förderbeiträge.</t>
  </si>
  <si>
    <t>Geföderter werden Sonnenkollektoranlagen für Warmwasser oder für Warmwasser und Heizungsunterstützung.</t>
  </si>
  <si>
    <t>Gefördert wird der Ersatz von fossilen oder elektrischen Heizungen durch den Anschluss an einen Wärmeverbund/Nutzung von Abwärme; Nutzung Grundwasser- oder Erdsonden-Wärmepumpen; oder Nutzung Wärmepumpen Luft-Wasser oder Holzheizungen.</t>
  </si>
  <si>
    <t>Gefördert werden PV-Anlagen, welche eine minimale Leistung von 5 kWp aufweisen. PV-Anlagen auf Neubauten werden nicht gefördert, da dies Stand der Technik und oft Teil der gesetzlichen Anforderungen ist.</t>
  </si>
  <si>
    <t>Batteriespeicher für PV-Anlagen</t>
  </si>
  <si>
    <t>Gefördert werden Batteriespeicher, welche für die Eigenverbrauchsoptimierung der eigenen Photovoltaikanlage installiert werden. Beitragsberechtig sind Neuanlagen und Erweiterungen.</t>
  </si>
  <si>
    <t>Gefördert wird die Basisinstallation Elektro-Ladestationen für bestehende Parkplätze mit privater Nutzung oder öffentlichem Zugang. Mit der Basisinstallation werden Parkplätze mit einer Stromzuleitung (Flachbandkabel) versehen.</t>
  </si>
  <si>
    <t>Gefördert werden Bidirektionale DC-Ladestationen zur Nutzung von V2X-Anwendungen.</t>
  </si>
  <si>
    <t>Elektromotorräder</t>
  </si>
  <si>
    <t>Gefördert wird der Kauf und das Leasing von neuen Motorrädern der Führerausweiskategorie A oder A1, die ausschliesslich elektrisch angetrieben sind und deren Neupreis unter 20‘000 Fr. liegt.</t>
  </si>
  <si>
    <t>Mit einem Beitrag wird der Neubau von stationären Energiespeichern in Kombination mit Photovoltaik, ab einer Minimalgrösse ab 8 kWh, gefördert.</t>
  </si>
  <si>
    <t>https://www.urdorf.ch/dienstleistungen/102373</t>
  </si>
  <si>
    <t>eMobility CheckUp</t>
  </si>
  <si>
    <t>Le Check-up eMobility est subventionné pour les places de parking qui ont été légalement approuvées avant le 1er janvier 2023.&lt;br /&gt;&lt;br /&gt;&lt;strong&gt;Contribution financière:&lt;/strong&gt;&lt;br /&gt;- 500 fr.</t>
  </si>
  <si>
    <t>Gefördert werden Batteriespeicher zur Eigenverbrauchsoptimierung von Photovoltaikanlagen mit einer Mindestkapazität von 4 kWh. Ressourcenschonende Secondlife-Batteriespeicherlösungen werden mit 1000 Fr. zusätzlich gefördert.</t>
  </si>
  <si>
    <t>Innovationen fördern</t>
  </si>
  <si>
    <t>Der Kanton St. Gallen fördert Innovationen im Bereich Energie. Es werden gezielt Vorhaben unterstützt, die den Weg weisen, die Klimaziele des Kantons und des Bundes zu erreichen. Auf Grundlage des Energiekonzepts gibt es eine Vielzahl an Fördermöglichkeiten und Informationen, die dazu beitragen, Innovationen zu fördern und Hürden zu senken. Pilot- und Demonstrationsvorhaben stellen hierbei eine wichtige Komponente dar.&lt;br /&gt;&lt;br /&gt;&lt;strong&gt;Förderbeitrag&lt;/strong&gt;&lt;br /&gt;- projektspezifischer Entscheid&lt;br /&gt;</t>
  </si>
  <si>
    <t>https://www.sg.ch/umwelt-natur/energie/Innovationen-foerdern.html</t>
  </si>
  <si>
    <t>Shared-Mobility-Coaching</t>
  </si>
  <si>
    <t>Nous vous conseillons dans le cadre du programme «Shared Mobility Booster» individuellement sur les différents aspects du développement de la mobilité partagée dans votre commune ou votre région. Cette prestation vous permet de vous appuyer sur notre expertise en toute indépendance vis-à-vis des fournisseurs. Avec le soutien de SuisseEnergie et des quatre cantons de Berne, Fribourg, Genève et Zurich*, nous proposons une consultation initiale gratuite aux collectivités territoriales de ces cantons. L’offre s’adresse aux décideuses, décideurs et spécialistes des administrations et autorités en charge de l’aménagement du territoire ainsi que, le cas échéant, à leurs élues et élus aux transports et à la mobilité.&lt;br /&gt;&lt;br /&gt;*pour des prestations de conseil en dehors de ces cantons, nous contacter</t>
  </si>
  <si>
    <t>https://sharedmobilitybooster.ch/fr/Coaching_Details.php</t>
  </si>
  <si>
    <t>Cette subvention est allouée pour une nouvelle installation solaire thermique ou pour l’extension d’une installation existante, sur les bâtiments individuels et collectifs.</t>
  </si>
  <si>
    <t>https://horizon.echandens.ch/subventions</t>
  </si>
  <si>
    <t>Cette subvention est allouée pour la réalisation d’un CECB+. La commune encourage le CECB+ car il permet une évaluation énergétique des bâtiments et une clarification des options pour un assainissement. Les modalités sont les mêmes que pour l’obtention des subventions cantonales.</t>
  </si>
  <si>
    <t>Isolation de la façade, du toit et sol contre terre</t>
  </si>
  <si>
    <t>Cette subvention est allouée pour une isolation nouvelle ou supplémentaire de la façade, du toit, des murs et du sol contre terre. Aucune aide n’est allouée pour les éléments d’enveloppe contre des locaux non chauffés.</t>
  </si>
  <si>
    <t>Cette subvention est allouée pour le remplacement d’un chauffage principal au mazout, au gaz ou d’un chauffage électrique fixe à résistance par un chauffage central par pompe à chaleur.</t>
  </si>
  <si>
    <t>Création d'un réseau hydraulique</t>
  </si>
  <si>
    <t>Cette subvention est allouée pour la création d’un réseau hydraulique pour le chauffage du bâtiment, si le chauffage est électrique et doit être remplacé par un chauffage de source renouvelable</t>
  </si>
  <si>
    <t>Cette subvention est allouée pour l’achat d’appareils électroménagers répondant aux meilleures exigences d’efficacité́ énergétique (catégories de la nouvelle étiquette-énergie ou A++ de l’ancienne).</t>
  </si>
  <si>
    <t>Étude de faisibilité pour RCP</t>
  </si>
  <si>
    <t>Cette subvention est allouée pour l’étude de faisabilité de la mise en place d’un regroupement de consommation propre (RCP) de production d’électricité solaire.</t>
  </si>
  <si>
    <t>Création d'un RCP</t>
  </si>
  <si>
    <t>Cette subvention est allouée pour l’étude de réalisation de la mise en place d’un regroupement de consommation propre de production d’électricité solaire.</t>
  </si>
  <si>
    <t>Mobilité à vélo, trottinette et scooter</t>
  </si>
  <si>
    <t>La commune encourage la mobilité à vélo, trottinette et scooter par différentes mesures.</t>
  </si>
  <si>
    <t>Abonnement annuels de transports publics, Publibike et Mobility</t>
  </si>
  <si>
    <t>Cette subvention est allouée pour l’achat d’un abonnement annuel adulte, jeune et senior pour les transports publics, ainsi que les abonnements pour prendre son vélo dans les transports publics, et aussi pour l’achat d’un abonnement Publibike ou d’un abonnement Mobility.</t>
  </si>
  <si>
    <t>Plan de mobilité de l'entreprise</t>
  </si>
  <si>
    <t>Cette subvention est allouée pour la réalisation d’un plan de mobilité d’entreprise. La commune encourage les mesures permettant de développer des alternatives à l’usage des transports motorisés individuels.</t>
  </si>
  <si>
    <t>Bike to Work</t>
  </si>
  <si>
    <t>Cette subvention est allouée pour la participation au concours Bike To Work. La commune encourage les mesures permettant de développer des alternatives à l’usage des transports motorisés individuels.</t>
  </si>
  <si>
    <t>Cette subvention est allouée pour l’installation de bornes électriques pour voiture accessibles à toute la population.</t>
  </si>
  <si>
    <t>Subventions pour des initiatives groupées</t>
  </si>
  <si>
    <t>Cette subvention est allouée sur demande par des groupements (entreprises, écoles, parascolaire, association ou groupement privé) qui développent un projet ou une action groupée ayant pour répercussion une transition vers plus de durabilité.</t>
  </si>
  <si>
    <t>Subvention pour un CECB+.</t>
  </si>
  <si>
    <t>https://lully.ch/subventions-communales</t>
  </si>
  <si>
    <t>Carte Junior</t>
  </si>
  <si>
    <t>Subvention pour l'achat d'une Carte Junior.</t>
  </si>
  <si>
    <t>Subvention pour lachat d'un abonnement demi-tarif.</t>
  </si>
  <si>
    <t>Vélo traditionnel ou électrique</t>
  </si>
  <si>
    <t>Subvention pour l'achat d'un vélo traditionnel ou électrique.</t>
  </si>
  <si>
    <t>Vélo réparation</t>
  </si>
  <si>
    <t>Subvention pour la réparation d'un vélo.</t>
  </si>
  <si>
    <t>Projet de developpement durable</t>
  </si>
  <si>
    <t>Subvention pour un projet de developpement durable.</t>
  </si>
  <si>
    <t>Vélo électrique et remplacement de batterie</t>
  </si>
  <si>
    <t>Subvention pour l'achat d'un vélo électrique et le remplacement de la batterie.</t>
  </si>
  <si>
    <t>https://lonay.ch/subventions-communales</t>
  </si>
  <si>
    <t>Abonnement Vélolibre service</t>
  </si>
  <si>
    <t>Subvention pour l'achat d'un abonnement Vélolibre service.</t>
  </si>
  <si>
    <t>Abonnement transport public</t>
  </si>
  <si>
    <t>Subvention pour l'achat d'un abonnement annuel de transport public.</t>
  </si>
  <si>
    <t>Sunbvention pour un CECB+.</t>
  </si>
  <si>
    <t>Opération éco-logement</t>
  </si>
  <si>
    <t>Subvention par logement visité.</t>
  </si>
  <si>
    <t>Étude de remplacement du système de chauffage</t>
  </si>
  <si>
    <t>Subvention pour une étude de remplacement du système de chauffage.</t>
  </si>
  <si>
    <t>Subvention pour l'installation des panneaux solaires photovoltaïques.</t>
  </si>
  <si>
    <t>Installation d'énergie renouvelable</t>
  </si>
  <si>
    <t>Subvention pour un projet ne comportant que l'installation d'une énergie renouvelable (hors panneau solaire).</t>
  </si>
  <si>
    <t>Subvention pour la mobilité douce (pendant scolarité)</t>
  </si>
  <si>
    <t>Subvention pour l'achat d'un abonnement annuel Mobilis (ou équivalent) ou d'un moyen de transport relevant de la mobilité douce (vélo).</t>
  </si>
  <si>
    <t>https://www.preverenges.ch/dienstleistungen/36080</t>
  </si>
  <si>
    <t>Subvention pour l'installation de capteurs solaires photovoltaïques.</t>
  </si>
  <si>
    <t>https://vufflens-la-ville.ch/plan-energie-et-climat-pecc</t>
  </si>
  <si>
    <t>Audit énergétique (CECB+)</t>
  </si>
  <si>
    <t>Subvention pour la réalisation d'un CECB+.</t>
  </si>
  <si>
    <t>Remplacement d’un chauffage à énergie fossile par du renouvelable</t>
  </si>
  <si>
    <t>Subvention pour le remplacement d’un chauffage à énergie fossile par du renouvelable (pompe à chaleur avec photovoltaïque ou chauffage à bois).</t>
  </si>
  <si>
    <t>Remplacement d’appareils électroménagers</t>
  </si>
  <si>
    <t>Subvention pour le remplacement d’appareils électroménagers.</t>
  </si>
  <si>
    <t>Vélo électrique (neuf ou d'occasion)</t>
  </si>
  <si>
    <t>Subvention pour l'achat d'un vélo électrique.</t>
  </si>
  <si>
    <t>Vélo classique (neuf ou d'occasion)</t>
  </si>
  <si>
    <t>Subvention pour l'achat d'un vélo classique.</t>
  </si>
  <si>
    <t>Remplacement de batterie pour vélo électrique</t>
  </si>
  <si>
    <t>Subvention pour le remplacement de batterie pour un vélo électrique.</t>
  </si>
  <si>
    <t>Subvention pour l'achat d'un abonnement dans le réseau Mobilis.</t>
  </si>
  <si>
    <t>Subvention pour l'achat d'un abonnement annuel CFF.</t>
  </si>
  <si>
    <t>Allacciamento a teleriscaldamento</t>
  </si>
  <si>
    <t>Elettrodomestici</t>
  </si>
  <si>
    <t>Abbonamenti trasporti pubblici</t>
  </si>
  <si>
    <t>Biciclette, veicoli elettrici e veicoli ibridi</t>
  </si>
  <si>
    <t>Ricarica veicoli elettrici</t>
  </si>
  <si>
    <t>Condivisione organizzata di biciclette (Bike Sharing)</t>
  </si>
  <si>
    <t>https://dalpe.ch/albo/Regolamenti/Regolamento%20Comunale%20sugli%20incentivi%20all'efficienza%20energetica.pdf</t>
  </si>
  <si>
    <t>Conversione di impianti di riscaldamento elettrici diretti o alimentati&lt;br /&gt;con combustibili fossili</t>
  </si>
  <si>
    <t>Batterie di accumulo abbinate</t>
  </si>
  <si>
    <t>Stazioni di ricarica domestiche</t>
  </si>
  <si>
    <t>https://www.orselina.ch/downdoc.php?id_doc=3315&amp;lng=1&amp;i=1&amp;vis=2&amp;rif=2f62b72929</t>
  </si>
  <si>
    <t>Sostituzione di pompe di calore esistenti</t>
  </si>
  <si>
    <t>Allestimento di certificazioni e rapporti di consulenza</t>
  </si>
  <si>
    <t>https://www.orselina.ch/downdoc.php?id_doc=1256&amp;lng=1&amp;i=1&amp;vis=2&amp;rif=4a688ffd12</t>
  </si>
  <si>
    <t>Minergie-A o Minergie-P</t>
  </si>
  <si>
    <t>https://www.pollegio.ch/Regolamento-comunale-concernente-l-erogazione-di-incentivi-per-l-efficienza-ed-il-risparmio-energetico-e-a-favore-dell-uso-di-energie-rinnovabili-nell-edilizia-37f17f00?i=1</t>
  </si>
  <si>
    <t>Conversione generatori di calore negli edifici</t>
  </si>
  <si>
    <t>Risanamento impianti a legna</t>
  </si>
  <si>
    <t>https://ronco-s-ascona.ch/energia-mobilita-sez/energia-e-mobilita-incentivi/</t>
  </si>
  <si>
    <t>Sostituzione di impianti di riscaldamento ad olio combustibile o elettrico diretto</t>
  </si>
  <si>
    <t>Veicoli elettrici efficienti</t>
  </si>
  <si>
    <t>Bike sharing</t>
  </si>
  <si>
    <t>Pannelli fotovoltaici o altre fonti alternative</t>
  </si>
  <si>
    <t>Produzione di acqua calda mediante pannelli solari o con impianto a legna</t>
  </si>
  <si>
    <t>Riscaldamento da fonti rinnovabili</t>
  </si>
  <si>
    <t>PV-Anlagen</t>
  </si>
  <si>
    <t>https://www.kilchberg.ch/fileadmin/user_upload/gemeinde/PDF/Natur-_Landschafts-_und_Umwelt/Energieleitbild_Massnahmen_2025.pdf</t>
  </si>
  <si>
    <t>https://www.cugy-vd.ch/Services-communaux</t>
  </si>
  <si>
    <t>Assistance au maître d'ouvrage (AMO)</t>
  </si>
  <si>
    <t>Vannes thermostatiques et servomoteurs</t>
  </si>
  <si>
    <t>Désimperméabilisation des sols</t>
  </si>
  <si>
    <t>Rénovation et isolation thermique</t>
  </si>
  <si>
    <t>Réparation d’appareils électroménagers</t>
  </si>
  <si>
    <t>Abonnement Interrail</t>
  </si>
  <si>
    <t>https://www.cortaillod.ch/vie-quotidienne/urbanisme/panneaux-photovoltaiques</t>
  </si>
  <si>
    <t>Gebäudeanalysen nach BFE-Pflichtenheft</t>
  </si>
  <si>
    <t>Gebäudekategorien wie zum Beispiel Turnhallen sind in einer GEAK-Plus-Analyse nicht abbildbar. Bei solchen Liegenschaften kann eine Gebäudeanalyse nach BFE-Pflichtenheft durchgeführt werden. Ziel dieser Analyse ist es, energetische Einsparpotenziale zu identifizieren und wirtschaftlich sinnvolle Sanierungsmassnahmen aufzuzeigen. &lt;br /&gt;&lt;br /&gt;&lt;strong&gt;Förderbeitrag&lt;/strong&gt;&lt;br /&gt;- Für Gemeinden kostenlos</t>
  </si>
  <si>
    <t>Optimisation énergétique des bâtiments àde 5 logements et plus</t>
  </si>
  <si>
    <t>Subventions pour les mesures d’optimisation du chauffage, de la ventilation ou de l’installation sanitaire des bâtiments de cinq logements ou plus. Le but est de diminuer la consommation énergétique.&lt;br /&gt;&lt;br /&gt;&lt;strong&gt;Contribution financière&lt;/strong&gt;&lt;br /&gt;- L’audit énergétique est subventionné à hauteur de 50 % pour un montant maximum de 1000 francs. &lt;br /&gt;- Les autres mesures sont subventionnées à hauteur de 50 %. Si le bénéficiaire est une commune ou un groupement de communes, la hauteur du subventionnement est fixée à 30 %. &lt;br /&gt;- Le montant total accordé par immeuble est de maximum 6000 francs.</t>
  </si>
  <si>
    <t>https://www.fr.ch/energie-agriculture-et-environnement/energie/subventions-en-faveur-de-loptimisation-energetique-des-batiments-de-cinq-logements-et-plus</t>
  </si>
  <si>
    <t>Programme de promotion des dameuses électriques</t>
  </si>
  <si>
    <t>Avec le soutien du fonds pour le climat de Swiss Olympic, ce programme de soutien offre une aide financière pour l'achat d'une dameuse électrique respectueuse du climat.</t>
  </si>
  <si>
    <t>https://www.myclimate.org/fr-ch/sengager/projets-de-protection-climatique/detail-des-projets-de-protection-du-climat/suisse-efficience-energetique-7852/</t>
  </si>
  <si>
    <t>Batterie vélos électriques</t>
  </si>
  <si>
    <t>https://www.collonge-bellerive.ch/subventions/452131</t>
  </si>
  <si>
    <t>Borne électromobilité</t>
  </si>
  <si>
    <t>https://www.collonge-bellerive.ch/subventions/452128</t>
  </si>
  <si>
    <t>https://www.collonge-bellerive.ch/subventions/417065</t>
  </si>
  <si>
    <t>https://www.collonge-bellerive.ch/subventions/462631</t>
  </si>
  <si>
    <t>https://www.collonge-bellerive.ch/subventions/412138</t>
  </si>
  <si>
    <t>Photovoltaïques</t>
  </si>
  <si>
    <t>https://www.collonge-bellerive.ch/subventions/405695</t>
  </si>
  <si>
    <t>https://www.collonge-bellerive.ch/subventions/481816</t>
  </si>
  <si>
    <t>Rénovation thermique des toits - Rénovation thermique des murs et sols</t>
  </si>
  <si>
    <t>https://www.collonge-bellerive.ch/subventions/481834</t>
  </si>
  <si>
    <t>TPG</t>
  </si>
  <si>
    <t>https://www.collonge-bellerive.ch/subventions/132784</t>
  </si>
  <si>
    <t>https://www.collonge-bellerive.ch/subventions/462634</t>
  </si>
  <si>
    <t>Visite Expert SIG-éco21</t>
  </si>
  <si>
    <t>https://www.collonge-bellerive.ch/subventions/557188</t>
  </si>
  <si>
    <t>Programme de soutien aux économies d’énergie durables (SEED)</t>
  </si>
  <si>
    <t>Toutes les entreprises (y compris des organismes publics) souhaitant mettre en œuvre un projet d'économie d'énergie dans le canton de Vaud peuvent bénéficier du programme de soutien aux économies d’énergie durables (SEED). &lt;br /&gt;&lt;br /&gt;&lt;strong&gt;Contribution financière&lt;/strong&gt;&lt;br /&gt;- entre 10 000 fr. et 100 000 fr.</t>
  </si>
  <si>
    <t>https://www.vd.ch/environnement/energie/entreprises-grands-et-moyens-consommateurs-denergie/grands-consommateurs/programme-seed</t>
  </si>
  <si>
    <t>Mobilitätsmanagementkonzept</t>
  </si>
  <si>
    <t>ajouté (manque dans francs-energie)</t>
  </si>
  <si>
    <t>https://www.bs.ch/bvd/mobilitaet/mobilitaetsfonds/foerderprogramme-mobilitaetsfonds#foerderprogramm-mobilitaetsmanagement-in-unternehmen</t>
  </si>
  <si>
    <t>subvention abo TPG jeunes / senior</t>
  </si>
  <si>
    <t>https://www.unireso.com/titres-de-transport/</t>
  </si>
  <si>
    <t>subvention PV</t>
  </si>
  <si>
    <t>ajouté (manque dans francs-energie). 20% de ProNovo</t>
  </si>
  <si>
    <t>https://ww2.sig-ge.ch/particuliers/offres/solaire/offres-solaires/maison-solaire/demande-la-prime-solaire</t>
  </si>
  <si>
    <t>Aide borne de recarge bidirectionnelle (ajouté manuellement pour cantons)</t>
  </si>
  <si>
    <t>Cantons SBECO</t>
  </si>
  <si>
    <t>5 : EcoEntrp</t>
  </si>
  <si>
    <t>Cantons : évaluation manuelle (MOB_D_109m)</t>
  </si>
  <si>
    <t>MOB_D_109a</t>
  </si>
  <si>
    <t>SBPMB</t>
  </si>
  <si>
    <t>5 : PlMob</t>
  </si>
  <si>
    <t>BS PlMob manque : https://www.bs.ch/bvd/mobilitaet/mobilitaetsfonds/foerderprogramme-mobilitaetsfonds#foerderprogramm-mobilitaetsmanagement-in-unternehmen</t>
  </si>
  <si>
    <t>Barême cantons</t>
  </si>
  <si>
    <t>Source : francsenergie + relevé sites web</t>
  </si>
  <si>
    <t>1) PV</t>
  </si>
  <si>
    <t>fr/ KWp</t>
  </si>
  <si>
    <t>projets spéciaux / ss-ensemble bâtiments</t>
  </si>
  <si>
    <t>limite KWc</t>
  </si>
  <si>
    <t>30 KWc</t>
  </si>
  <si>
    <t>0-100 francs / KWc</t>
  </si>
  <si>
    <t>conditions</t>
  </si>
  <si>
    <t>rénovation</t>
  </si>
  <si>
    <t>proj. Spéc.</t>
  </si>
  <si>
    <t>bat protégés</t>
  </si>
  <si>
    <t>install &gt; 90 KW</t>
  </si>
  <si>
    <t>100 -200 francs / KWc</t>
  </si>
  <si>
    <t>2000 forfait</t>
  </si>
  <si>
    <t>50% Pronovo</t>
  </si>
  <si>
    <t>20% ProNovo</t>
  </si>
  <si>
    <t>200 - 300 francs / KWc</t>
  </si>
  <si>
    <t>inclinaison &gt; 75 (= façade) ou combiné thermique</t>
  </si>
  <si>
    <t>&gt;= 300 francs / KWc</t>
  </si>
  <si>
    <t>GE : pas dans francs-energy, voir https://ww2.sig-ge.ch/particuliers/offres/solaire/offres-solaires/maison-solaire/demande-la-prime-solaire</t>
  </si>
  <si>
    <t xml:space="preserve">  -&gt; ajouté dans fme.subvention avec id &gt; 90000</t>
  </si>
  <si>
    <t>2) PV-EauCd</t>
  </si>
  <si>
    <t>moyenne</t>
  </si>
  <si>
    <t>cible</t>
  </si>
  <si>
    <t>forfait</t>
  </si>
  <si>
    <t>par KW</t>
  </si>
  <si>
    <t>pour 10 KW (env. 20 m2)</t>
  </si>
  <si>
    <t>50% max</t>
  </si>
  <si>
    <t>tarif pour petite installations (&lt; 70 KW)</t>
  </si>
  <si>
    <t>+20% prime</t>
  </si>
  <si>
    <t>+ greendeal + 100%</t>
  </si>
  <si>
    <t>seul. &gt; 70 KW</t>
  </si>
  <si>
    <t>pas subv.</t>
  </si>
  <si>
    <t>600 après 4 KW</t>
  </si>
  <si>
    <t xml:space="preserve">pour 10 KWc panneaux solaires </t>
  </si>
  <si>
    <t>50% ProNovo</t>
  </si>
  <si>
    <t xml:space="preserve">Cantons : </t>
  </si>
  <si>
    <r>
      <rPr>
        <u/>
        <sz val="11"/>
        <color theme="1"/>
        <rFont val="Calibri"/>
        <family val="2"/>
        <scheme val="minor"/>
      </rPr>
      <t>3) PV-Cnsl</t>
    </r>
    <r>
      <rPr>
        <sz val="11"/>
        <color theme="1"/>
        <rFont val="Calibri"/>
        <family val="2"/>
        <scheme val="minor"/>
      </rPr>
      <t xml:space="preserve"> : 300.- pour AI et AR, 250.- pour ZH. Pas pris en compte</t>
    </r>
  </si>
  <si>
    <t>0 - 2.5</t>
  </si>
  <si>
    <t>montant PV 10 KWc (bigger better), min 1</t>
  </si>
  <si>
    <t>additionner les francs nok car montant thermique &gt;&gt; montant PV</t>
  </si>
  <si>
    <t>montant PV-EauCd 8 KWth (bigger better), min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</si>
</sst>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name val="Calibri"/>
      <family val="2"/>
      <scheme val="minor"/>
    </font>
    <font>
      <sz val="11"/>
      <color theme="2" tint="-0.249977111117893"/>
      <name val="Calibri"/>
      <family val="2"/>
      <scheme val="minor"/>
    </font>
    <font>
      <u/>
      <sz val="11"/>
      <color theme="10"/>
      <name val="Calibri"/>
      <family val="2"/>
      <scheme val="minor"/>
    </font>
    <font>
      <u/>
      <sz val="11"/>
      <color theme="1"/>
      <name val="Calibri"/>
      <family val="2"/>
      <scheme val="minor"/>
    </font>
    <font>
      <strike/>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92D050"/>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4" fillId="0" borderId="0" xfId="1"/>
    <xf numFmtId="0" fontId="3" fillId="0" borderId="0" xfId="0" quotePrefix="1" applyFont="1"/>
    <xf numFmtId="0" fontId="0" fillId="2" borderId="0" xfId="0" applyFill="1"/>
    <xf numFmtId="0" fontId="2" fillId="0" borderId="6" xfId="0" applyFont="1" applyBorder="1"/>
    <xf numFmtId="0" fontId="0" fillId="0" borderId="0" xfId="0" quotePrefix="1"/>
    <xf numFmtId="0" fontId="2" fillId="0" borderId="0" xfId="0" quotePrefix="1" applyFont="1"/>
    <xf numFmtId="9" fontId="0" fillId="0" borderId="0" xfId="0" applyNumberFormat="1"/>
    <xf numFmtId="0" fontId="5" fillId="0" borderId="0" xfId="0" applyFont="1"/>
    <xf numFmtId="0" fontId="6" fillId="0" borderId="0" xfId="0" applyFont="1"/>
    <xf numFmtId="0" fontId="0" fillId="0" borderId="0" xfId="0" applyAlignment="1">
      <alignment horizontal="right"/>
    </xf>
    <xf numFmtId="1" fontId="0" fillId="0" borderId="0" xfId="0" applyNumberFormat="1"/>
    <xf numFmtId="0" fontId="0" fillId="0" borderId="0" xfId="0" applyAlignment="1">
      <alignment horizontal="left"/>
    </xf>
    <xf numFmtId="0" fontId="0" fillId="0" borderId="4" xfId="0" quotePrefix="1" applyBorder="1"/>
    <xf numFmtId="0" fontId="7" fillId="0" borderId="0" xfId="0" applyFont="1"/>
    <xf numFmtId="0" fontId="0" fillId="0" borderId="6" xfId="0" quotePrefix="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68774-FE9B-4D7A-B6A3-A52A2441EAF2}">
  <dimension ref="A1:H2942"/>
  <sheetViews>
    <sheetView tabSelected="1" workbookViewId="0">
      <selection activeCell="D10" sqref="D10"/>
    </sheetView>
  </sheetViews>
  <sheetFormatPr defaultRowHeight="15" x14ac:dyDescent="0.25"/>
  <cols>
    <col min="4" max="4" width="43.7109375" customWidth="1"/>
    <col min="5" max="5" width="70.85546875" customWidth="1"/>
    <col min="6" max="6" width="62.28515625" customWidth="1"/>
    <col min="7" max="7" width="16.5703125" customWidth="1"/>
  </cols>
  <sheetData>
    <row r="1" spans="1:8" x14ac:dyDescent="0.25">
      <c r="A1" s="2" t="s">
        <v>887</v>
      </c>
      <c r="B1" s="2" t="s">
        <v>888</v>
      </c>
      <c r="C1" s="2" t="s">
        <v>889</v>
      </c>
      <c r="D1" s="2" t="s">
        <v>890</v>
      </c>
      <c r="E1" s="2" t="s">
        <v>891</v>
      </c>
      <c r="F1" s="2" t="s">
        <v>892</v>
      </c>
      <c r="G1" s="2" t="s">
        <v>893</v>
      </c>
      <c r="H1" s="2" t="s">
        <v>4465</v>
      </c>
    </row>
    <row r="2" spans="1:8" x14ac:dyDescent="0.25">
      <c r="A2">
        <v>11</v>
      </c>
      <c r="B2">
        <v>1</v>
      </c>
      <c r="C2" t="s">
        <v>894</v>
      </c>
      <c r="D2" t="s">
        <v>895</v>
      </c>
      <c r="E2" t="s">
        <v>896</v>
      </c>
      <c r="F2" t="s">
        <v>897</v>
      </c>
      <c r="G2" t="s">
        <v>4448</v>
      </c>
    </row>
    <row r="3" spans="1:8" x14ac:dyDescent="0.25">
      <c r="A3">
        <v>14</v>
      </c>
      <c r="B3">
        <v>5</v>
      </c>
      <c r="C3" t="s">
        <v>898</v>
      </c>
      <c r="D3" t="s">
        <v>899</v>
      </c>
      <c r="E3" t="s">
        <v>900</v>
      </c>
      <c r="F3" t="s">
        <v>901</v>
      </c>
    </row>
    <row r="4" spans="1:8" x14ac:dyDescent="0.25">
      <c r="A4">
        <v>19</v>
      </c>
      <c r="B4">
        <v>8</v>
      </c>
      <c r="C4" t="s">
        <v>894</v>
      </c>
      <c r="D4" t="s">
        <v>902</v>
      </c>
      <c r="E4" t="s">
        <v>903</v>
      </c>
      <c r="F4" t="s">
        <v>904</v>
      </c>
      <c r="G4" t="s">
        <v>4459</v>
      </c>
    </row>
    <row r="5" spans="1:8" x14ac:dyDescent="0.25">
      <c r="A5">
        <v>22</v>
      </c>
      <c r="B5">
        <v>5</v>
      </c>
      <c r="C5" t="s">
        <v>898</v>
      </c>
      <c r="D5" t="s">
        <v>905</v>
      </c>
      <c r="E5" t="s">
        <v>906</v>
      </c>
      <c r="F5" t="s">
        <v>907</v>
      </c>
    </row>
    <row r="6" spans="1:8" x14ac:dyDescent="0.25">
      <c r="A6">
        <v>25</v>
      </c>
      <c r="B6">
        <v>2</v>
      </c>
      <c r="C6" t="s">
        <v>894</v>
      </c>
      <c r="D6" t="s">
        <v>908</v>
      </c>
      <c r="E6" t="s">
        <v>909</v>
      </c>
      <c r="F6" t="s">
        <v>910</v>
      </c>
      <c r="G6" t="s">
        <v>4442</v>
      </c>
    </row>
    <row r="7" spans="1:8" x14ac:dyDescent="0.25">
      <c r="A7">
        <v>30</v>
      </c>
      <c r="B7">
        <v>10</v>
      </c>
      <c r="C7" t="s">
        <v>894</v>
      </c>
      <c r="D7" t="s">
        <v>911</v>
      </c>
      <c r="E7" t="s">
        <v>912</v>
      </c>
      <c r="F7" t="s">
        <v>913</v>
      </c>
      <c r="G7" t="s">
        <v>1125</v>
      </c>
    </row>
    <row r="8" spans="1:8" x14ac:dyDescent="0.25">
      <c r="A8">
        <v>33</v>
      </c>
      <c r="B8">
        <v>11</v>
      </c>
      <c r="C8" t="s">
        <v>894</v>
      </c>
      <c r="D8" t="s">
        <v>914</v>
      </c>
      <c r="E8" t="s">
        <v>915</v>
      </c>
      <c r="F8" t="s">
        <v>916</v>
      </c>
      <c r="G8" t="s">
        <v>4444</v>
      </c>
    </row>
    <row r="9" spans="1:8" x14ac:dyDescent="0.25">
      <c r="A9">
        <v>36</v>
      </c>
      <c r="B9">
        <v>11</v>
      </c>
      <c r="C9" t="s">
        <v>894</v>
      </c>
      <c r="D9" t="s">
        <v>917</v>
      </c>
      <c r="E9" t="s">
        <v>918</v>
      </c>
      <c r="F9" t="s">
        <v>916</v>
      </c>
      <c r="G9" t="s">
        <v>919</v>
      </c>
    </row>
    <row r="10" spans="1:8" x14ac:dyDescent="0.25">
      <c r="A10">
        <v>37</v>
      </c>
      <c r="B10">
        <v>12</v>
      </c>
      <c r="C10" t="s">
        <v>894</v>
      </c>
      <c r="D10" t="s">
        <v>914</v>
      </c>
      <c r="E10" t="s">
        <v>920</v>
      </c>
      <c r="F10" t="s">
        <v>921</v>
      </c>
      <c r="G10" t="s">
        <v>4444</v>
      </c>
    </row>
    <row r="11" spans="1:8" x14ac:dyDescent="0.25">
      <c r="A11">
        <v>40</v>
      </c>
      <c r="B11">
        <v>12</v>
      </c>
      <c r="C11" t="s">
        <v>894</v>
      </c>
      <c r="D11" t="s">
        <v>917</v>
      </c>
      <c r="E11" t="s">
        <v>922</v>
      </c>
      <c r="F11" t="s">
        <v>921</v>
      </c>
      <c r="G11" t="s">
        <v>919</v>
      </c>
    </row>
    <row r="12" spans="1:8" x14ac:dyDescent="0.25">
      <c r="A12">
        <v>44</v>
      </c>
      <c r="B12">
        <v>13</v>
      </c>
      <c r="C12" t="s">
        <v>894</v>
      </c>
      <c r="D12" t="s">
        <v>923</v>
      </c>
      <c r="E12" t="s">
        <v>924</v>
      </c>
      <c r="F12" t="s">
        <v>925</v>
      </c>
      <c r="G12" t="s">
        <v>4444</v>
      </c>
    </row>
    <row r="13" spans="1:8" x14ac:dyDescent="0.25">
      <c r="A13">
        <v>45</v>
      </c>
      <c r="B13">
        <v>13</v>
      </c>
      <c r="C13" t="s">
        <v>894</v>
      </c>
      <c r="D13" t="s">
        <v>926</v>
      </c>
      <c r="E13" t="s">
        <v>927</v>
      </c>
      <c r="F13" t="s">
        <v>925</v>
      </c>
      <c r="G13" t="s">
        <v>4447</v>
      </c>
    </row>
    <row r="14" spans="1:8" x14ac:dyDescent="0.25">
      <c r="A14">
        <v>50</v>
      </c>
      <c r="B14">
        <v>15</v>
      </c>
      <c r="C14" t="s">
        <v>894</v>
      </c>
      <c r="D14" t="s">
        <v>928</v>
      </c>
      <c r="E14" t="s">
        <v>929</v>
      </c>
      <c r="F14" t="s">
        <v>930</v>
      </c>
      <c r="G14" t="s">
        <v>2758</v>
      </c>
    </row>
    <row r="15" spans="1:8" x14ac:dyDescent="0.25">
      <c r="A15">
        <v>51</v>
      </c>
      <c r="B15">
        <v>15</v>
      </c>
      <c r="C15" t="s">
        <v>894</v>
      </c>
      <c r="D15" t="s">
        <v>931</v>
      </c>
      <c r="E15" t="s">
        <v>932</v>
      </c>
      <c r="F15" t="s">
        <v>930</v>
      </c>
      <c r="G15" t="s">
        <v>4442</v>
      </c>
    </row>
    <row r="16" spans="1:8" x14ac:dyDescent="0.25">
      <c r="A16">
        <v>53</v>
      </c>
      <c r="B16">
        <v>16</v>
      </c>
      <c r="C16" t="s">
        <v>894</v>
      </c>
      <c r="D16" t="s">
        <v>933</v>
      </c>
      <c r="E16" t="s">
        <v>934</v>
      </c>
      <c r="F16" t="s">
        <v>935</v>
      </c>
      <c r="G16" t="s">
        <v>4444</v>
      </c>
    </row>
    <row r="17" spans="1:8" x14ac:dyDescent="0.25">
      <c r="A17">
        <v>54</v>
      </c>
      <c r="B17">
        <v>16</v>
      </c>
      <c r="C17" t="s">
        <v>894</v>
      </c>
      <c r="D17" t="s">
        <v>936</v>
      </c>
      <c r="E17" t="s">
        <v>937</v>
      </c>
      <c r="F17" t="s">
        <v>938</v>
      </c>
      <c r="G17" t="s">
        <v>4447</v>
      </c>
    </row>
    <row r="18" spans="1:8" x14ac:dyDescent="0.25">
      <c r="A18">
        <v>55</v>
      </c>
      <c r="B18">
        <v>16</v>
      </c>
      <c r="C18" t="s">
        <v>894</v>
      </c>
      <c r="D18" t="s">
        <v>939</v>
      </c>
      <c r="E18" t="s">
        <v>940</v>
      </c>
      <c r="F18" t="s">
        <v>941</v>
      </c>
      <c r="G18" t="s">
        <v>919</v>
      </c>
    </row>
    <row r="19" spans="1:8" x14ac:dyDescent="0.25">
      <c r="A19">
        <v>56</v>
      </c>
      <c r="B19">
        <v>17</v>
      </c>
      <c r="C19" t="s">
        <v>894</v>
      </c>
      <c r="D19" t="s">
        <v>923</v>
      </c>
      <c r="E19" t="s">
        <v>942</v>
      </c>
      <c r="F19" t="s">
        <v>943</v>
      </c>
      <c r="G19" t="s">
        <v>4444</v>
      </c>
    </row>
    <row r="20" spans="1:8" x14ac:dyDescent="0.25">
      <c r="A20">
        <v>57</v>
      </c>
      <c r="B20">
        <v>17</v>
      </c>
      <c r="C20" t="s">
        <v>894</v>
      </c>
      <c r="D20" t="s">
        <v>939</v>
      </c>
      <c r="E20" t="s">
        <v>944</v>
      </c>
      <c r="F20" t="s">
        <v>943</v>
      </c>
      <c r="G20" t="s">
        <v>919</v>
      </c>
    </row>
    <row r="21" spans="1:8" x14ac:dyDescent="0.25">
      <c r="A21">
        <v>58</v>
      </c>
      <c r="B21">
        <v>18</v>
      </c>
      <c r="C21" t="s">
        <v>894</v>
      </c>
      <c r="D21" t="s">
        <v>914</v>
      </c>
      <c r="E21" t="s">
        <v>945</v>
      </c>
      <c r="F21" t="s">
        <v>946</v>
      </c>
      <c r="G21" t="s">
        <v>4444</v>
      </c>
    </row>
    <row r="22" spans="1:8" x14ac:dyDescent="0.25">
      <c r="A22">
        <v>59</v>
      </c>
      <c r="B22">
        <v>18</v>
      </c>
      <c r="C22" t="s">
        <v>894</v>
      </c>
      <c r="D22" t="s">
        <v>936</v>
      </c>
      <c r="E22" t="s">
        <v>947</v>
      </c>
      <c r="F22" t="s">
        <v>946</v>
      </c>
      <c r="G22" t="s">
        <v>4447</v>
      </c>
    </row>
    <row r="23" spans="1:8" x14ac:dyDescent="0.25">
      <c r="A23">
        <v>60</v>
      </c>
      <c r="B23">
        <v>18</v>
      </c>
      <c r="C23" t="s">
        <v>894</v>
      </c>
      <c r="D23" t="s">
        <v>939</v>
      </c>
      <c r="E23" t="s">
        <v>948</v>
      </c>
      <c r="F23" t="s">
        <v>946</v>
      </c>
      <c r="G23" t="s">
        <v>919</v>
      </c>
    </row>
    <row r="24" spans="1:8" x14ac:dyDescent="0.25">
      <c r="A24">
        <v>71</v>
      </c>
      <c r="B24">
        <v>24</v>
      </c>
      <c r="C24" t="s">
        <v>894</v>
      </c>
      <c r="D24" t="s">
        <v>949</v>
      </c>
      <c r="E24" t="s">
        <v>950</v>
      </c>
      <c r="F24" t="s">
        <v>951</v>
      </c>
      <c r="G24" t="s">
        <v>2758</v>
      </c>
      <c r="H24">
        <v>1250</v>
      </c>
    </row>
    <row r="25" spans="1:8" x14ac:dyDescent="0.25">
      <c r="A25">
        <v>72</v>
      </c>
      <c r="B25">
        <v>24</v>
      </c>
      <c r="C25" t="s">
        <v>894</v>
      </c>
      <c r="D25" t="s">
        <v>952</v>
      </c>
      <c r="E25" t="s">
        <v>953</v>
      </c>
      <c r="F25" t="s">
        <v>954</v>
      </c>
      <c r="G25" t="s">
        <v>4442</v>
      </c>
    </row>
    <row r="26" spans="1:8" x14ac:dyDescent="0.25">
      <c r="A26">
        <v>81</v>
      </c>
      <c r="B26">
        <v>773</v>
      </c>
      <c r="C26" t="s">
        <v>894</v>
      </c>
      <c r="D26" t="s">
        <v>895</v>
      </c>
      <c r="E26" t="s">
        <v>955</v>
      </c>
      <c r="F26" t="s">
        <v>956</v>
      </c>
      <c r="G26" t="s">
        <v>4448</v>
      </c>
    </row>
    <row r="27" spans="1:8" x14ac:dyDescent="0.25">
      <c r="A27">
        <v>84</v>
      </c>
      <c r="B27">
        <v>28</v>
      </c>
      <c r="C27" t="s">
        <v>894</v>
      </c>
      <c r="D27" t="s">
        <v>957</v>
      </c>
      <c r="E27" t="s">
        <v>958</v>
      </c>
      <c r="F27" t="s">
        <v>959</v>
      </c>
      <c r="G27" t="s">
        <v>4444</v>
      </c>
      <c r="H27">
        <v>12400</v>
      </c>
    </row>
    <row r="28" spans="1:8" x14ac:dyDescent="0.25">
      <c r="A28">
        <v>85</v>
      </c>
      <c r="B28">
        <v>28</v>
      </c>
      <c r="C28" t="s">
        <v>894</v>
      </c>
      <c r="D28" t="s">
        <v>960</v>
      </c>
      <c r="E28" t="s">
        <v>961</v>
      </c>
      <c r="F28" t="s">
        <v>962</v>
      </c>
      <c r="G28" t="s">
        <v>4447</v>
      </c>
    </row>
    <row r="29" spans="1:8" x14ac:dyDescent="0.25">
      <c r="A29">
        <v>86</v>
      </c>
      <c r="B29">
        <v>28</v>
      </c>
      <c r="C29" t="s">
        <v>894</v>
      </c>
      <c r="D29" t="s">
        <v>963</v>
      </c>
      <c r="E29" t="s">
        <v>964</v>
      </c>
      <c r="F29" t="s">
        <v>965</v>
      </c>
      <c r="G29" t="s">
        <v>4447</v>
      </c>
    </row>
    <row r="30" spans="1:8" x14ac:dyDescent="0.25">
      <c r="A30">
        <v>87</v>
      </c>
      <c r="B30">
        <v>28</v>
      </c>
      <c r="C30" t="s">
        <v>894</v>
      </c>
      <c r="D30" t="s">
        <v>966</v>
      </c>
      <c r="E30" t="s">
        <v>967</v>
      </c>
      <c r="F30" t="s">
        <v>968</v>
      </c>
      <c r="G30" t="s">
        <v>2758</v>
      </c>
      <c r="H30">
        <v>1250</v>
      </c>
    </row>
    <row r="31" spans="1:8" x14ac:dyDescent="0.25">
      <c r="A31">
        <v>90</v>
      </c>
      <c r="B31">
        <v>29</v>
      </c>
      <c r="C31" t="s">
        <v>894</v>
      </c>
      <c r="D31" t="s">
        <v>969</v>
      </c>
      <c r="E31" t="s">
        <v>970</v>
      </c>
      <c r="F31" t="s">
        <v>971</v>
      </c>
    </row>
    <row r="32" spans="1:8" x14ac:dyDescent="0.25">
      <c r="A32">
        <v>98</v>
      </c>
      <c r="B32">
        <v>31</v>
      </c>
      <c r="C32" t="s">
        <v>898</v>
      </c>
      <c r="D32" t="s">
        <v>972</v>
      </c>
      <c r="E32" t="s">
        <v>973</v>
      </c>
      <c r="F32" t="s">
        <v>974</v>
      </c>
      <c r="G32" t="s">
        <v>4447</v>
      </c>
    </row>
    <row r="33" spans="1:8" x14ac:dyDescent="0.25">
      <c r="A33">
        <v>99</v>
      </c>
      <c r="B33">
        <v>31</v>
      </c>
      <c r="C33" t="s">
        <v>898</v>
      </c>
      <c r="D33" t="s">
        <v>975</v>
      </c>
      <c r="E33" t="s">
        <v>976</v>
      </c>
      <c r="F33" t="s">
        <v>977</v>
      </c>
      <c r="G33" t="s">
        <v>4444</v>
      </c>
      <c r="H33">
        <v>12400</v>
      </c>
    </row>
    <row r="34" spans="1:8" x14ac:dyDescent="0.25">
      <c r="A34">
        <v>108</v>
      </c>
      <c r="B34">
        <v>38</v>
      </c>
      <c r="C34" t="s">
        <v>894</v>
      </c>
      <c r="D34" t="s">
        <v>978</v>
      </c>
      <c r="E34" t="s">
        <v>979</v>
      </c>
      <c r="F34" t="s">
        <v>980</v>
      </c>
    </row>
    <row r="35" spans="1:8" x14ac:dyDescent="0.25">
      <c r="A35">
        <v>111</v>
      </c>
      <c r="B35">
        <v>38</v>
      </c>
      <c r="C35" t="s">
        <v>894</v>
      </c>
      <c r="D35" t="s">
        <v>933</v>
      </c>
      <c r="E35" t="s">
        <v>981</v>
      </c>
      <c r="F35" t="s">
        <v>980</v>
      </c>
      <c r="G35" t="s">
        <v>4444</v>
      </c>
      <c r="H35">
        <v>9300</v>
      </c>
    </row>
    <row r="36" spans="1:8" x14ac:dyDescent="0.25">
      <c r="A36">
        <v>112</v>
      </c>
      <c r="B36">
        <v>38</v>
      </c>
      <c r="C36" t="s">
        <v>894</v>
      </c>
      <c r="D36" t="s">
        <v>982</v>
      </c>
      <c r="E36" t="s">
        <v>983</v>
      </c>
      <c r="F36" t="s">
        <v>980</v>
      </c>
      <c r="G36" t="s">
        <v>4447</v>
      </c>
    </row>
    <row r="37" spans="1:8" x14ac:dyDescent="0.25">
      <c r="A37">
        <v>113</v>
      </c>
      <c r="B37">
        <v>38</v>
      </c>
      <c r="C37" t="s">
        <v>894</v>
      </c>
      <c r="D37" t="s">
        <v>984</v>
      </c>
      <c r="E37" t="s">
        <v>985</v>
      </c>
      <c r="F37" t="s">
        <v>980</v>
      </c>
      <c r="G37" t="s">
        <v>4447</v>
      </c>
    </row>
    <row r="38" spans="1:8" x14ac:dyDescent="0.25">
      <c r="A38">
        <v>117</v>
      </c>
      <c r="B38">
        <v>41</v>
      </c>
      <c r="C38" t="s">
        <v>894</v>
      </c>
      <c r="D38" t="s">
        <v>986</v>
      </c>
      <c r="E38" t="s">
        <v>987</v>
      </c>
      <c r="F38" t="s">
        <v>988</v>
      </c>
      <c r="G38" t="s">
        <v>4448</v>
      </c>
    </row>
    <row r="39" spans="1:8" x14ac:dyDescent="0.25">
      <c r="A39">
        <v>118</v>
      </c>
      <c r="B39">
        <v>40</v>
      </c>
      <c r="C39" t="s">
        <v>894</v>
      </c>
      <c r="D39" t="s">
        <v>923</v>
      </c>
      <c r="E39" t="s">
        <v>989</v>
      </c>
      <c r="F39" t="s">
        <v>990</v>
      </c>
      <c r="G39" t="s">
        <v>4444</v>
      </c>
    </row>
    <row r="40" spans="1:8" ht="90" x14ac:dyDescent="0.25">
      <c r="A40">
        <v>121</v>
      </c>
      <c r="B40">
        <v>39</v>
      </c>
      <c r="C40" t="s">
        <v>894</v>
      </c>
      <c r="D40" t="s">
        <v>923</v>
      </c>
      <c r="E40" s="1" t="s">
        <v>991</v>
      </c>
      <c r="F40" t="s">
        <v>992</v>
      </c>
      <c r="G40" t="s">
        <v>4444</v>
      </c>
      <c r="H40">
        <v>14000</v>
      </c>
    </row>
    <row r="41" spans="1:8" x14ac:dyDescent="0.25">
      <c r="A41">
        <v>147</v>
      </c>
      <c r="B41">
        <v>52</v>
      </c>
      <c r="C41" t="s">
        <v>894</v>
      </c>
      <c r="D41" t="s">
        <v>993</v>
      </c>
      <c r="E41" t="s">
        <v>994</v>
      </c>
      <c r="F41" t="s">
        <v>995</v>
      </c>
    </row>
    <row r="42" spans="1:8" x14ac:dyDescent="0.25">
      <c r="A42">
        <v>148</v>
      </c>
      <c r="B42">
        <v>52</v>
      </c>
      <c r="C42" t="s">
        <v>894</v>
      </c>
      <c r="D42" t="s">
        <v>996</v>
      </c>
      <c r="E42" t="s">
        <v>997</v>
      </c>
      <c r="F42" t="s">
        <v>995</v>
      </c>
      <c r="G42" t="s">
        <v>1084</v>
      </c>
    </row>
    <row r="43" spans="1:8" x14ac:dyDescent="0.25">
      <c r="A43">
        <v>150</v>
      </c>
      <c r="B43">
        <v>52</v>
      </c>
      <c r="C43" t="s">
        <v>894</v>
      </c>
      <c r="D43" t="s">
        <v>998</v>
      </c>
      <c r="E43" t="s">
        <v>999</v>
      </c>
      <c r="F43" t="s">
        <v>995</v>
      </c>
      <c r="G43" t="s">
        <v>4448</v>
      </c>
      <c r="H43">
        <v>700</v>
      </c>
    </row>
    <row r="44" spans="1:8" x14ac:dyDescent="0.25">
      <c r="A44">
        <v>151</v>
      </c>
      <c r="B44">
        <v>52</v>
      </c>
      <c r="C44" t="s">
        <v>894</v>
      </c>
      <c r="D44" t="s">
        <v>914</v>
      </c>
      <c r="E44" t="s">
        <v>1000</v>
      </c>
      <c r="F44" t="s">
        <v>995</v>
      </c>
      <c r="G44" t="s">
        <v>4444</v>
      </c>
      <c r="H44">
        <v>11600</v>
      </c>
    </row>
    <row r="45" spans="1:8" x14ac:dyDescent="0.25">
      <c r="A45">
        <v>154</v>
      </c>
      <c r="B45">
        <v>52</v>
      </c>
      <c r="C45" t="s">
        <v>894</v>
      </c>
      <c r="D45" t="s">
        <v>1001</v>
      </c>
      <c r="E45" t="s">
        <v>1002</v>
      </c>
      <c r="F45" t="s">
        <v>995</v>
      </c>
      <c r="G45" t="s">
        <v>4447</v>
      </c>
    </row>
    <row r="46" spans="1:8" x14ac:dyDescent="0.25">
      <c r="A46">
        <v>157</v>
      </c>
      <c r="B46">
        <v>48</v>
      </c>
      <c r="C46" t="s">
        <v>894</v>
      </c>
      <c r="D46" t="s">
        <v>1003</v>
      </c>
      <c r="E46" t="s">
        <v>1004</v>
      </c>
      <c r="F46" t="s">
        <v>1005</v>
      </c>
    </row>
    <row r="47" spans="1:8" x14ac:dyDescent="0.25">
      <c r="A47">
        <v>158</v>
      </c>
      <c r="B47">
        <v>48</v>
      </c>
      <c r="C47" t="s">
        <v>894</v>
      </c>
      <c r="D47" t="s">
        <v>1006</v>
      </c>
      <c r="E47" t="s">
        <v>1004</v>
      </c>
      <c r="F47" t="s">
        <v>1005</v>
      </c>
      <c r="G47" t="s">
        <v>4442</v>
      </c>
    </row>
    <row r="48" spans="1:8" x14ac:dyDescent="0.25">
      <c r="A48">
        <v>162</v>
      </c>
      <c r="B48">
        <v>54</v>
      </c>
      <c r="C48" t="s">
        <v>894</v>
      </c>
      <c r="D48" t="s">
        <v>966</v>
      </c>
      <c r="E48" t="s">
        <v>1007</v>
      </c>
      <c r="F48" t="s">
        <v>1008</v>
      </c>
      <c r="G48" t="s">
        <v>2758</v>
      </c>
      <c r="H48">
        <v>1500</v>
      </c>
    </row>
    <row r="49" spans="1:8" x14ac:dyDescent="0.25">
      <c r="A49">
        <v>163</v>
      </c>
      <c r="B49">
        <v>54</v>
      </c>
      <c r="C49" t="s">
        <v>894</v>
      </c>
      <c r="D49" t="s">
        <v>978</v>
      </c>
      <c r="E49" t="s">
        <v>1009</v>
      </c>
      <c r="F49" t="s">
        <v>1010</v>
      </c>
    </row>
    <row r="50" spans="1:8" x14ac:dyDescent="0.25">
      <c r="A50">
        <v>165</v>
      </c>
      <c r="B50">
        <v>54</v>
      </c>
      <c r="C50" t="s">
        <v>894</v>
      </c>
      <c r="D50" t="s">
        <v>1011</v>
      </c>
      <c r="E50" t="s">
        <v>1012</v>
      </c>
      <c r="F50" t="s">
        <v>1013</v>
      </c>
      <c r="G50" t="s">
        <v>4444</v>
      </c>
      <c r="H50">
        <v>13000</v>
      </c>
    </row>
    <row r="51" spans="1:8" x14ac:dyDescent="0.25">
      <c r="A51">
        <v>166</v>
      </c>
      <c r="B51">
        <v>54</v>
      </c>
      <c r="C51" t="s">
        <v>894</v>
      </c>
      <c r="D51" t="s">
        <v>960</v>
      </c>
      <c r="E51" t="s">
        <v>1014</v>
      </c>
      <c r="F51" t="s">
        <v>1013</v>
      </c>
      <c r="G51" t="s">
        <v>4447</v>
      </c>
    </row>
    <row r="52" spans="1:8" x14ac:dyDescent="0.25">
      <c r="A52">
        <v>168</v>
      </c>
      <c r="B52">
        <v>47</v>
      </c>
      <c r="C52" t="s">
        <v>894</v>
      </c>
      <c r="D52" t="s">
        <v>1015</v>
      </c>
      <c r="E52" t="s">
        <v>1016</v>
      </c>
      <c r="F52" t="s">
        <v>1017</v>
      </c>
    </row>
    <row r="53" spans="1:8" x14ac:dyDescent="0.25">
      <c r="A53">
        <v>170</v>
      </c>
      <c r="B53">
        <v>47</v>
      </c>
      <c r="C53" t="s">
        <v>894</v>
      </c>
      <c r="D53" t="s">
        <v>1018</v>
      </c>
      <c r="E53" t="s">
        <v>1016</v>
      </c>
      <c r="F53" t="s">
        <v>1017</v>
      </c>
      <c r="G53" t="s">
        <v>4442</v>
      </c>
    </row>
    <row r="54" spans="1:8" x14ac:dyDescent="0.25">
      <c r="A54">
        <v>171</v>
      </c>
      <c r="B54">
        <v>46</v>
      </c>
      <c r="C54" t="s">
        <v>894</v>
      </c>
      <c r="D54" t="s">
        <v>1019</v>
      </c>
      <c r="F54" t="s">
        <v>1020</v>
      </c>
      <c r="G54" t="s">
        <v>4447</v>
      </c>
    </row>
    <row r="55" spans="1:8" x14ac:dyDescent="0.25">
      <c r="A55">
        <v>173</v>
      </c>
      <c r="B55">
        <v>46</v>
      </c>
      <c r="C55" t="s">
        <v>894</v>
      </c>
      <c r="D55" t="s">
        <v>1021</v>
      </c>
      <c r="E55" t="s">
        <v>1022</v>
      </c>
      <c r="F55" t="s">
        <v>1020</v>
      </c>
      <c r="G55" t="s">
        <v>4444</v>
      </c>
    </row>
    <row r="56" spans="1:8" x14ac:dyDescent="0.25">
      <c r="A56">
        <v>174</v>
      </c>
      <c r="B56">
        <v>46</v>
      </c>
      <c r="C56" t="s">
        <v>894</v>
      </c>
      <c r="D56" t="s">
        <v>939</v>
      </c>
      <c r="E56" t="s">
        <v>1023</v>
      </c>
      <c r="F56" t="s">
        <v>1024</v>
      </c>
      <c r="G56" t="s">
        <v>919</v>
      </c>
    </row>
    <row r="57" spans="1:8" x14ac:dyDescent="0.25">
      <c r="A57">
        <v>183</v>
      </c>
      <c r="B57">
        <v>57</v>
      </c>
      <c r="C57" t="s">
        <v>894</v>
      </c>
      <c r="D57" t="s">
        <v>1025</v>
      </c>
      <c r="E57" t="s">
        <v>1026</v>
      </c>
      <c r="F57" t="s">
        <v>1027</v>
      </c>
      <c r="G57" t="s">
        <v>4448</v>
      </c>
      <c r="H57">
        <v>2000</v>
      </c>
    </row>
    <row r="58" spans="1:8" x14ac:dyDescent="0.25">
      <c r="A58">
        <v>188</v>
      </c>
      <c r="B58">
        <v>58</v>
      </c>
      <c r="C58" t="s">
        <v>894</v>
      </c>
      <c r="D58" t="s">
        <v>1028</v>
      </c>
      <c r="F58" t="s">
        <v>1029</v>
      </c>
      <c r="G58" t="s">
        <v>919</v>
      </c>
    </row>
    <row r="59" spans="1:8" x14ac:dyDescent="0.25">
      <c r="A59">
        <v>191</v>
      </c>
      <c r="B59">
        <v>59</v>
      </c>
      <c r="C59" t="s">
        <v>894</v>
      </c>
      <c r="D59" t="s">
        <v>923</v>
      </c>
      <c r="E59" t="s">
        <v>1030</v>
      </c>
      <c r="F59" t="s">
        <v>1031</v>
      </c>
      <c r="G59" t="s">
        <v>4444</v>
      </c>
      <c r="H59">
        <v>14000</v>
      </c>
    </row>
    <row r="60" spans="1:8" x14ac:dyDescent="0.25">
      <c r="A60">
        <v>192</v>
      </c>
      <c r="B60">
        <v>59</v>
      </c>
      <c r="C60" t="s">
        <v>894</v>
      </c>
      <c r="D60" t="s">
        <v>960</v>
      </c>
      <c r="E60" t="s">
        <v>1032</v>
      </c>
      <c r="F60" t="s">
        <v>1033</v>
      </c>
      <c r="G60" t="s">
        <v>4447</v>
      </c>
    </row>
    <row r="61" spans="1:8" x14ac:dyDescent="0.25">
      <c r="A61">
        <v>193</v>
      </c>
      <c r="B61">
        <v>59</v>
      </c>
      <c r="C61" t="s">
        <v>894</v>
      </c>
      <c r="D61" t="s">
        <v>963</v>
      </c>
      <c r="E61" t="s">
        <v>1034</v>
      </c>
      <c r="F61" t="s">
        <v>1035</v>
      </c>
      <c r="G61" t="s">
        <v>4447</v>
      </c>
    </row>
    <row r="62" spans="1:8" x14ac:dyDescent="0.25">
      <c r="A62">
        <v>200</v>
      </c>
      <c r="B62">
        <v>69</v>
      </c>
      <c r="C62" t="s">
        <v>894</v>
      </c>
      <c r="D62" t="s">
        <v>1036</v>
      </c>
      <c r="E62" t="s">
        <v>1037</v>
      </c>
      <c r="F62" t="s">
        <v>1038</v>
      </c>
    </row>
    <row r="63" spans="1:8" x14ac:dyDescent="0.25">
      <c r="A63">
        <v>201</v>
      </c>
      <c r="B63">
        <v>69</v>
      </c>
      <c r="C63" t="s">
        <v>894</v>
      </c>
      <c r="D63" t="s">
        <v>1039</v>
      </c>
      <c r="E63" t="s">
        <v>1040</v>
      </c>
      <c r="F63" t="s">
        <v>1041</v>
      </c>
      <c r="G63" t="s">
        <v>4442</v>
      </c>
    </row>
    <row r="64" spans="1:8" x14ac:dyDescent="0.25">
      <c r="A64">
        <v>202</v>
      </c>
      <c r="B64">
        <v>69</v>
      </c>
      <c r="C64" t="s">
        <v>894</v>
      </c>
      <c r="D64" t="s">
        <v>1036</v>
      </c>
      <c r="E64" t="s">
        <v>1042</v>
      </c>
      <c r="F64" t="s">
        <v>1041</v>
      </c>
      <c r="G64" t="s">
        <v>4442</v>
      </c>
    </row>
    <row r="65" spans="1:8" x14ac:dyDescent="0.25">
      <c r="A65">
        <v>203</v>
      </c>
      <c r="B65">
        <v>69</v>
      </c>
      <c r="C65" t="s">
        <v>894</v>
      </c>
      <c r="D65" t="s">
        <v>1043</v>
      </c>
      <c r="F65" t="s">
        <v>1041</v>
      </c>
      <c r="G65" t="s">
        <v>4443</v>
      </c>
    </row>
    <row r="66" spans="1:8" x14ac:dyDescent="0.25">
      <c r="A66">
        <v>204</v>
      </c>
      <c r="B66">
        <v>69</v>
      </c>
      <c r="C66" t="s">
        <v>894</v>
      </c>
      <c r="D66" t="s">
        <v>1044</v>
      </c>
      <c r="F66" t="s">
        <v>1041</v>
      </c>
      <c r="G66" t="s">
        <v>4447</v>
      </c>
    </row>
    <row r="67" spans="1:8" x14ac:dyDescent="0.25">
      <c r="A67">
        <v>205</v>
      </c>
      <c r="B67">
        <v>69</v>
      </c>
      <c r="C67" t="s">
        <v>894</v>
      </c>
      <c r="D67" t="s">
        <v>1045</v>
      </c>
      <c r="E67" t="s">
        <v>1046</v>
      </c>
      <c r="F67" t="s">
        <v>1041</v>
      </c>
      <c r="G67" t="s">
        <v>4447</v>
      </c>
    </row>
    <row r="68" spans="1:8" x14ac:dyDescent="0.25">
      <c r="A68">
        <v>216</v>
      </c>
      <c r="B68">
        <v>65</v>
      </c>
      <c r="C68" t="s">
        <v>894</v>
      </c>
      <c r="D68" t="s">
        <v>1047</v>
      </c>
      <c r="E68" t="s">
        <v>1048</v>
      </c>
      <c r="F68" t="s">
        <v>1049</v>
      </c>
      <c r="G68" t="s">
        <v>4447</v>
      </c>
    </row>
    <row r="69" spans="1:8" x14ac:dyDescent="0.25">
      <c r="A69">
        <v>218</v>
      </c>
      <c r="B69">
        <v>63</v>
      </c>
      <c r="C69" t="s">
        <v>894</v>
      </c>
      <c r="D69" t="s">
        <v>1050</v>
      </c>
      <c r="E69" t="s">
        <v>1051</v>
      </c>
      <c r="F69" t="s">
        <v>1052</v>
      </c>
      <c r="G69" t="s">
        <v>4442</v>
      </c>
    </row>
    <row r="70" spans="1:8" x14ac:dyDescent="0.25">
      <c r="A70">
        <v>219</v>
      </c>
      <c r="B70">
        <v>63</v>
      </c>
      <c r="C70" t="s">
        <v>894</v>
      </c>
      <c r="D70" t="s">
        <v>1053</v>
      </c>
      <c r="E70" t="s">
        <v>1054</v>
      </c>
      <c r="F70" t="s">
        <v>1052</v>
      </c>
      <c r="G70" t="s">
        <v>4447</v>
      </c>
    </row>
    <row r="71" spans="1:8" x14ac:dyDescent="0.25">
      <c r="A71">
        <v>220</v>
      </c>
      <c r="B71">
        <v>63</v>
      </c>
      <c r="C71" t="s">
        <v>894</v>
      </c>
      <c r="D71" t="s">
        <v>914</v>
      </c>
      <c r="E71" t="s">
        <v>1055</v>
      </c>
      <c r="F71" t="s">
        <v>1052</v>
      </c>
      <c r="G71" t="s">
        <v>4444</v>
      </c>
    </row>
    <row r="72" spans="1:8" x14ac:dyDescent="0.25">
      <c r="A72">
        <v>222</v>
      </c>
      <c r="B72">
        <v>62</v>
      </c>
      <c r="C72" t="s">
        <v>894</v>
      </c>
      <c r="D72" t="s">
        <v>993</v>
      </c>
      <c r="E72" t="s">
        <v>1056</v>
      </c>
      <c r="F72" t="s">
        <v>1057</v>
      </c>
    </row>
    <row r="73" spans="1:8" x14ac:dyDescent="0.25">
      <c r="A73">
        <v>225</v>
      </c>
      <c r="B73">
        <v>62</v>
      </c>
      <c r="C73" t="s">
        <v>894</v>
      </c>
      <c r="D73" t="s">
        <v>1058</v>
      </c>
      <c r="E73" t="s">
        <v>1059</v>
      </c>
      <c r="F73" t="s">
        <v>1057</v>
      </c>
      <c r="G73" t="s">
        <v>4444</v>
      </c>
      <c r="H73">
        <v>6200</v>
      </c>
    </row>
    <row r="74" spans="1:8" x14ac:dyDescent="0.25">
      <c r="A74">
        <v>226</v>
      </c>
      <c r="B74">
        <v>62</v>
      </c>
      <c r="C74" t="s">
        <v>894</v>
      </c>
      <c r="D74" t="s">
        <v>1060</v>
      </c>
      <c r="E74" t="s">
        <v>1061</v>
      </c>
      <c r="F74" t="s">
        <v>1057</v>
      </c>
      <c r="G74" t="s">
        <v>4447</v>
      </c>
    </row>
    <row r="75" spans="1:8" x14ac:dyDescent="0.25">
      <c r="A75">
        <v>227</v>
      </c>
      <c r="B75">
        <v>793</v>
      </c>
      <c r="C75" t="s">
        <v>894</v>
      </c>
      <c r="D75" t="s">
        <v>993</v>
      </c>
      <c r="E75" t="s">
        <v>1062</v>
      </c>
      <c r="F75" t="s">
        <v>1063</v>
      </c>
    </row>
    <row r="76" spans="1:8" x14ac:dyDescent="0.25">
      <c r="A76">
        <v>229</v>
      </c>
      <c r="B76">
        <v>793</v>
      </c>
      <c r="C76" t="s">
        <v>894</v>
      </c>
      <c r="D76" t="s">
        <v>1064</v>
      </c>
      <c r="E76" t="s">
        <v>1065</v>
      </c>
      <c r="F76" t="s">
        <v>1063</v>
      </c>
      <c r="G76" t="s">
        <v>1084</v>
      </c>
    </row>
    <row r="77" spans="1:8" x14ac:dyDescent="0.25">
      <c r="A77">
        <v>230</v>
      </c>
      <c r="B77">
        <v>61</v>
      </c>
      <c r="C77" t="s">
        <v>894</v>
      </c>
      <c r="D77" t="s">
        <v>933</v>
      </c>
      <c r="E77" t="s">
        <v>1066</v>
      </c>
      <c r="F77" t="s">
        <v>1063</v>
      </c>
      <c r="G77" t="s">
        <v>4444</v>
      </c>
      <c r="H77">
        <v>8000</v>
      </c>
    </row>
    <row r="78" spans="1:8" x14ac:dyDescent="0.25">
      <c r="A78">
        <v>240</v>
      </c>
      <c r="B78">
        <v>71</v>
      </c>
      <c r="C78" t="s">
        <v>894</v>
      </c>
      <c r="D78" t="s">
        <v>1067</v>
      </c>
      <c r="E78" t="s">
        <v>1068</v>
      </c>
      <c r="F78" t="s">
        <v>1069</v>
      </c>
    </row>
    <row r="79" spans="1:8" x14ac:dyDescent="0.25">
      <c r="A79">
        <v>242</v>
      </c>
      <c r="B79">
        <v>71</v>
      </c>
      <c r="C79" t="s">
        <v>894</v>
      </c>
      <c r="D79" t="s">
        <v>1070</v>
      </c>
      <c r="E79" t="s">
        <v>1071</v>
      </c>
      <c r="F79" t="s">
        <v>1069</v>
      </c>
      <c r="G79" t="s">
        <v>4442</v>
      </c>
    </row>
    <row r="80" spans="1:8" x14ac:dyDescent="0.25">
      <c r="A80">
        <v>243</v>
      </c>
      <c r="B80">
        <v>71</v>
      </c>
      <c r="C80" t="s">
        <v>894</v>
      </c>
      <c r="D80" t="s">
        <v>1072</v>
      </c>
      <c r="E80" t="s">
        <v>1073</v>
      </c>
      <c r="F80" t="s">
        <v>1069</v>
      </c>
      <c r="G80" t="s">
        <v>4447</v>
      </c>
    </row>
    <row r="81" spans="1:8" x14ac:dyDescent="0.25">
      <c r="A81">
        <v>251</v>
      </c>
      <c r="B81">
        <v>29</v>
      </c>
      <c r="C81" t="s">
        <v>894</v>
      </c>
      <c r="D81" t="s">
        <v>1074</v>
      </c>
      <c r="E81" t="s">
        <v>1075</v>
      </c>
      <c r="F81" t="s">
        <v>1076</v>
      </c>
      <c r="G81" t="s">
        <v>4444</v>
      </c>
      <c r="H81">
        <v>4080</v>
      </c>
    </row>
    <row r="82" spans="1:8" x14ac:dyDescent="0.25">
      <c r="A82">
        <v>252</v>
      </c>
      <c r="B82">
        <v>29</v>
      </c>
      <c r="C82" t="s">
        <v>894</v>
      </c>
      <c r="D82" t="s">
        <v>963</v>
      </c>
      <c r="E82" t="s">
        <v>1077</v>
      </c>
      <c r="F82" t="s">
        <v>1078</v>
      </c>
      <c r="G82" t="s">
        <v>4447</v>
      </c>
    </row>
    <row r="83" spans="1:8" x14ac:dyDescent="0.25">
      <c r="A83">
        <v>253</v>
      </c>
      <c r="B83">
        <v>29</v>
      </c>
      <c r="C83" t="s">
        <v>894</v>
      </c>
      <c r="D83" t="s">
        <v>1072</v>
      </c>
      <c r="E83" t="s">
        <v>1079</v>
      </c>
      <c r="F83" t="s">
        <v>1080</v>
      </c>
      <c r="G83" t="s">
        <v>4447</v>
      </c>
    </row>
    <row r="84" spans="1:8" x14ac:dyDescent="0.25">
      <c r="A84">
        <v>254</v>
      </c>
      <c r="B84">
        <v>29</v>
      </c>
      <c r="C84" t="s">
        <v>894</v>
      </c>
      <c r="D84" t="s">
        <v>1081</v>
      </c>
      <c r="E84" t="s">
        <v>1082</v>
      </c>
      <c r="F84" t="s">
        <v>1083</v>
      </c>
      <c r="G84" t="s">
        <v>4447</v>
      </c>
    </row>
    <row r="85" spans="1:8" x14ac:dyDescent="0.25">
      <c r="A85">
        <v>256</v>
      </c>
      <c r="B85">
        <v>72</v>
      </c>
      <c r="C85" t="s">
        <v>894</v>
      </c>
      <c r="D85" t="s">
        <v>1084</v>
      </c>
      <c r="E85" t="s">
        <v>1085</v>
      </c>
      <c r="F85" t="s">
        <v>1086</v>
      </c>
      <c r="G85" t="s">
        <v>4442</v>
      </c>
    </row>
    <row r="86" spans="1:8" x14ac:dyDescent="0.25">
      <c r="A86">
        <v>258</v>
      </c>
      <c r="B86">
        <v>72</v>
      </c>
      <c r="C86" t="s">
        <v>894</v>
      </c>
      <c r="D86" t="s">
        <v>923</v>
      </c>
      <c r="F86" t="s">
        <v>1086</v>
      </c>
      <c r="G86" t="s">
        <v>4444</v>
      </c>
    </row>
    <row r="87" spans="1:8" x14ac:dyDescent="0.25">
      <c r="A87">
        <v>263</v>
      </c>
      <c r="B87">
        <v>77</v>
      </c>
      <c r="C87" t="s">
        <v>894</v>
      </c>
      <c r="D87" t="s">
        <v>914</v>
      </c>
      <c r="E87" t="s">
        <v>1087</v>
      </c>
      <c r="F87" t="s">
        <v>1088</v>
      </c>
      <c r="G87" t="s">
        <v>4444</v>
      </c>
    </row>
    <row r="88" spans="1:8" x14ac:dyDescent="0.25">
      <c r="A88">
        <v>264</v>
      </c>
      <c r="B88">
        <v>77</v>
      </c>
      <c r="C88" t="s">
        <v>894</v>
      </c>
      <c r="D88" t="s">
        <v>1089</v>
      </c>
      <c r="E88" t="s">
        <v>1090</v>
      </c>
      <c r="F88" t="s">
        <v>1088</v>
      </c>
      <c r="G88" t="s">
        <v>4447</v>
      </c>
    </row>
    <row r="89" spans="1:8" x14ac:dyDescent="0.25">
      <c r="A89">
        <v>268</v>
      </c>
      <c r="B89">
        <v>78</v>
      </c>
      <c r="C89" t="s">
        <v>894</v>
      </c>
      <c r="D89" t="s">
        <v>936</v>
      </c>
      <c r="F89" t="s">
        <v>1091</v>
      </c>
      <c r="G89" t="s">
        <v>4447</v>
      </c>
    </row>
    <row r="90" spans="1:8" x14ac:dyDescent="0.25">
      <c r="A90">
        <v>273</v>
      </c>
      <c r="B90">
        <v>80</v>
      </c>
      <c r="C90" t="s">
        <v>894</v>
      </c>
      <c r="D90" t="s">
        <v>923</v>
      </c>
      <c r="F90" t="s">
        <v>1092</v>
      </c>
      <c r="G90" t="s">
        <v>4444</v>
      </c>
    </row>
    <row r="91" spans="1:8" x14ac:dyDescent="0.25">
      <c r="A91">
        <v>274</v>
      </c>
      <c r="B91">
        <v>80</v>
      </c>
      <c r="C91" t="s">
        <v>894</v>
      </c>
      <c r="D91" t="s">
        <v>1093</v>
      </c>
      <c r="F91" t="s">
        <v>1092</v>
      </c>
      <c r="G91" t="s">
        <v>919</v>
      </c>
    </row>
    <row r="92" spans="1:8" x14ac:dyDescent="0.25">
      <c r="A92">
        <v>275</v>
      </c>
      <c r="B92">
        <v>80</v>
      </c>
      <c r="C92" t="s">
        <v>894</v>
      </c>
      <c r="D92" t="s">
        <v>1094</v>
      </c>
      <c r="F92" t="s">
        <v>1092</v>
      </c>
      <c r="G92" t="s">
        <v>4447</v>
      </c>
    </row>
    <row r="93" spans="1:8" x14ac:dyDescent="0.25">
      <c r="A93">
        <v>280</v>
      </c>
      <c r="B93">
        <v>80</v>
      </c>
      <c r="C93" t="s">
        <v>894</v>
      </c>
      <c r="D93" t="s">
        <v>1095</v>
      </c>
      <c r="F93" t="s">
        <v>1092</v>
      </c>
      <c r="G93" t="s">
        <v>4442</v>
      </c>
    </row>
    <row r="94" spans="1:8" x14ac:dyDescent="0.25">
      <c r="A94">
        <v>286</v>
      </c>
      <c r="B94">
        <v>83</v>
      </c>
      <c r="C94" t="s">
        <v>898</v>
      </c>
      <c r="D94" t="s">
        <v>1096</v>
      </c>
      <c r="E94" t="s">
        <v>1097</v>
      </c>
      <c r="F94" t="s">
        <v>1098</v>
      </c>
      <c r="G94" t="s">
        <v>4447</v>
      </c>
    </row>
    <row r="95" spans="1:8" x14ac:dyDescent="0.25">
      <c r="A95">
        <v>289</v>
      </c>
      <c r="B95">
        <v>45</v>
      </c>
      <c r="C95" t="s">
        <v>894</v>
      </c>
      <c r="D95" t="s">
        <v>1050</v>
      </c>
      <c r="E95" t="s">
        <v>1099</v>
      </c>
      <c r="F95" t="s">
        <v>1100</v>
      </c>
      <c r="G95" t="s">
        <v>4442</v>
      </c>
    </row>
    <row r="96" spans="1:8" x14ac:dyDescent="0.25">
      <c r="A96">
        <v>293</v>
      </c>
      <c r="B96">
        <v>84</v>
      </c>
      <c r="C96" t="s">
        <v>894</v>
      </c>
      <c r="D96" t="s">
        <v>923</v>
      </c>
      <c r="F96" t="s">
        <v>1101</v>
      </c>
      <c r="G96" t="s">
        <v>4444</v>
      </c>
    </row>
    <row r="97" spans="1:7" x14ac:dyDescent="0.25">
      <c r="A97">
        <v>294</v>
      </c>
      <c r="B97">
        <v>85</v>
      </c>
      <c r="C97" t="s">
        <v>894</v>
      </c>
      <c r="D97" t="s">
        <v>914</v>
      </c>
      <c r="E97" t="s">
        <v>1102</v>
      </c>
      <c r="F97" t="s">
        <v>1103</v>
      </c>
      <c r="G97" t="s">
        <v>4444</v>
      </c>
    </row>
    <row r="98" spans="1:7" x14ac:dyDescent="0.25">
      <c r="A98">
        <v>295</v>
      </c>
      <c r="B98">
        <v>85</v>
      </c>
      <c r="C98" t="s">
        <v>894</v>
      </c>
      <c r="D98" t="s">
        <v>1104</v>
      </c>
      <c r="E98" t="s">
        <v>1105</v>
      </c>
      <c r="F98" t="s">
        <v>1103</v>
      </c>
      <c r="G98" t="s">
        <v>4447</v>
      </c>
    </row>
    <row r="99" spans="1:7" x14ac:dyDescent="0.25">
      <c r="A99">
        <v>297</v>
      </c>
      <c r="B99">
        <v>85</v>
      </c>
      <c r="C99" t="s">
        <v>894</v>
      </c>
      <c r="D99" t="s">
        <v>939</v>
      </c>
      <c r="E99" t="s">
        <v>1106</v>
      </c>
      <c r="F99" t="s">
        <v>1103</v>
      </c>
      <c r="G99" t="s">
        <v>919</v>
      </c>
    </row>
    <row r="100" spans="1:7" x14ac:dyDescent="0.25">
      <c r="A100">
        <v>310</v>
      </c>
      <c r="B100">
        <v>90</v>
      </c>
      <c r="C100" t="s">
        <v>894</v>
      </c>
      <c r="D100" t="s">
        <v>914</v>
      </c>
      <c r="E100" t="s">
        <v>1107</v>
      </c>
      <c r="F100" t="s">
        <v>1108</v>
      </c>
      <c r="G100" t="s">
        <v>4444</v>
      </c>
    </row>
    <row r="101" spans="1:7" x14ac:dyDescent="0.25">
      <c r="A101">
        <v>311</v>
      </c>
      <c r="B101">
        <v>90</v>
      </c>
      <c r="C101" t="s">
        <v>894</v>
      </c>
      <c r="D101" t="s">
        <v>966</v>
      </c>
      <c r="F101" t="s">
        <v>1108</v>
      </c>
      <c r="G101" t="s">
        <v>2758</v>
      </c>
    </row>
    <row r="102" spans="1:7" x14ac:dyDescent="0.25">
      <c r="A102">
        <v>312</v>
      </c>
      <c r="B102">
        <v>88</v>
      </c>
      <c r="C102" t="s">
        <v>894</v>
      </c>
      <c r="D102" t="s">
        <v>1109</v>
      </c>
      <c r="E102" t="s">
        <v>1110</v>
      </c>
      <c r="F102" t="s">
        <v>1111</v>
      </c>
      <c r="G102" t="s">
        <v>4460</v>
      </c>
    </row>
    <row r="103" spans="1:7" x14ac:dyDescent="0.25">
      <c r="A103">
        <v>313</v>
      </c>
      <c r="B103">
        <v>88</v>
      </c>
      <c r="C103" t="s">
        <v>894</v>
      </c>
      <c r="D103" t="s">
        <v>1112</v>
      </c>
      <c r="E103" t="s">
        <v>1113</v>
      </c>
      <c r="F103" t="s">
        <v>1111</v>
      </c>
      <c r="G103" t="s">
        <v>4442</v>
      </c>
    </row>
    <row r="104" spans="1:7" x14ac:dyDescent="0.25">
      <c r="A104">
        <v>318</v>
      </c>
      <c r="B104">
        <v>91</v>
      </c>
      <c r="C104" t="s">
        <v>894</v>
      </c>
      <c r="D104" t="s">
        <v>914</v>
      </c>
      <c r="F104" t="s">
        <v>1114</v>
      </c>
      <c r="G104" t="s">
        <v>4444</v>
      </c>
    </row>
    <row r="105" spans="1:7" x14ac:dyDescent="0.25">
      <c r="A105">
        <v>319</v>
      </c>
      <c r="B105">
        <v>91</v>
      </c>
      <c r="C105" t="s">
        <v>894</v>
      </c>
      <c r="D105" t="s">
        <v>939</v>
      </c>
      <c r="F105" t="s">
        <v>1114</v>
      </c>
      <c r="G105" t="s">
        <v>919</v>
      </c>
    </row>
    <row r="106" spans="1:7" x14ac:dyDescent="0.25">
      <c r="A106">
        <v>320</v>
      </c>
      <c r="B106">
        <v>91</v>
      </c>
      <c r="C106" t="s">
        <v>894</v>
      </c>
      <c r="D106" t="s">
        <v>1115</v>
      </c>
      <c r="E106" t="s">
        <v>1116</v>
      </c>
      <c r="F106" t="s">
        <v>1114</v>
      </c>
    </row>
    <row r="107" spans="1:7" x14ac:dyDescent="0.25">
      <c r="A107">
        <v>331</v>
      </c>
      <c r="B107">
        <v>96</v>
      </c>
      <c r="C107" t="s">
        <v>894</v>
      </c>
      <c r="D107" t="s">
        <v>1117</v>
      </c>
      <c r="E107" t="s">
        <v>1118</v>
      </c>
      <c r="F107" t="s">
        <v>1119</v>
      </c>
    </row>
    <row r="108" spans="1:7" x14ac:dyDescent="0.25">
      <c r="A108">
        <v>332</v>
      </c>
      <c r="B108">
        <v>96</v>
      </c>
      <c r="C108" t="s">
        <v>894</v>
      </c>
      <c r="D108" t="s">
        <v>914</v>
      </c>
      <c r="E108" t="s">
        <v>1118</v>
      </c>
      <c r="F108" t="s">
        <v>1119</v>
      </c>
      <c r="G108" t="s">
        <v>4444</v>
      </c>
    </row>
    <row r="109" spans="1:7" x14ac:dyDescent="0.25">
      <c r="A109">
        <v>333</v>
      </c>
      <c r="B109">
        <v>96</v>
      </c>
      <c r="C109" t="s">
        <v>894</v>
      </c>
      <c r="D109" t="s">
        <v>1120</v>
      </c>
      <c r="E109" t="s">
        <v>1118</v>
      </c>
      <c r="F109" t="s">
        <v>1119</v>
      </c>
      <c r="G109" t="s">
        <v>4447</v>
      </c>
    </row>
    <row r="110" spans="1:7" x14ac:dyDescent="0.25">
      <c r="A110">
        <v>334</v>
      </c>
      <c r="B110">
        <v>96</v>
      </c>
      <c r="C110" t="s">
        <v>894</v>
      </c>
      <c r="D110" t="s">
        <v>1104</v>
      </c>
      <c r="E110" t="s">
        <v>1118</v>
      </c>
      <c r="F110" t="s">
        <v>1119</v>
      </c>
      <c r="G110" t="s">
        <v>4447</v>
      </c>
    </row>
    <row r="111" spans="1:7" x14ac:dyDescent="0.25">
      <c r="A111">
        <v>335</v>
      </c>
      <c r="B111">
        <v>47</v>
      </c>
      <c r="C111" t="s">
        <v>894</v>
      </c>
      <c r="D111" t="s">
        <v>1121</v>
      </c>
      <c r="E111" t="s">
        <v>1122</v>
      </c>
      <c r="F111" t="s">
        <v>1017</v>
      </c>
      <c r="G111" t="s">
        <v>4448</v>
      </c>
    </row>
    <row r="112" spans="1:7" x14ac:dyDescent="0.25">
      <c r="A112">
        <v>336</v>
      </c>
      <c r="B112">
        <v>47</v>
      </c>
      <c r="C112" t="s">
        <v>894</v>
      </c>
      <c r="D112" t="s">
        <v>1123</v>
      </c>
      <c r="E112" t="s">
        <v>1124</v>
      </c>
      <c r="F112" t="s">
        <v>1017</v>
      </c>
      <c r="G112" t="s">
        <v>1125</v>
      </c>
    </row>
    <row r="113" spans="1:8" x14ac:dyDescent="0.25">
      <c r="A113">
        <v>337</v>
      </c>
      <c r="B113">
        <v>47</v>
      </c>
      <c r="C113" t="s">
        <v>894</v>
      </c>
      <c r="D113" t="s">
        <v>939</v>
      </c>
      <c r="E113" t="s">
        <v>1126</v>
      </c>
      <c r="F113" t="s">
        <v>1127</v>
      </c>
      <c r="G113" t="s">
        <v>919</v>
      </c>
    </row>
    <row r="114" spans="1:8" x14ac:dyDescent="0.25">
      <c r="A114">
        <v>342</v>
      </c>
      <c r="B114">
        <v>41</v>
      </c>
      <c r="C114" t="s">
        <v>894</v>
      </c>
      <c r="D114" t="s">
        <v>1128</v>
      </c>
      <c r="E114" t="s">
        <v>1129</v>
      </c>
      <c r="F114" t="s">
        <v>988</v>
      </c>
      <c r="G114" t="s">
        <v>2758</v>
      </c>
    </row>
    <row r="115" spans="1:8" x14ac:dyDescent="0.25">
      <c r="A115">
        <v>351</v>
      </c>
      <c r="B115">
        <v>71</v>
      </c>
      <c r="C115" t="s">
        <v>894</v>
      </c>
      <c r="D115" t="s">
        <v>1130</v>
      </c>
      <c r="E115" t="s">
        <v>1131</v>
      </c>
      <c r="F115" t="s">
        <v>1069</v>
      </c>
      <c r="G115" t="s">
        <v>4447</v>
      </c>
    </row>
    <row r="116" spans="1:8" x14ac:dyDescent="0.25">
      <c r="A116">
        <v>352</v>
      </c>
      <c r="B116">
        <v>71</v>
      </c>
      <c r="C116" t="s">
        <v>894</v>
      </c>
      <c r="D116" t="s">
        <v>1132</v>
      </c>
      <c r="E116" t="s">
        <v>1133</v>
      </c>
      <c r="F116" t="s">
        <v>1069</v>
      </c>
      <c r="G116" t="s">
        <v>4459</v>
      </c>
    </row>
    <row r="117" spans="1:8" x14ac:dyDescent="0.25">
      <c r="A117">
        <v>363</v>
      </c>
      <c r="B117">
        <v>42</v>
      </c>
      <c r="C117" t="s">
        <v>894</v>
      </c>
      <c r="D117" t="s">
        <v>1134</v>
      </c>
      <c r="E117" t="s">
        <v>1135</v>
      </c>
      <c r="F117" t="s">
        <v>1136</v>
      </c>
      <c r="G117" t="s">
        <v>2758</v>
      </c>
      <c r="H117">
        <v>1500</v>
      </c>
    </row>
    <row r="118" spans="1:8" x14ac:dyDescent="0.25">
      <c r="A118">
        <v>374</v>
      </c>
      <c r="B118">
        <v>83</v>
      </c>
      <c r="C118" t="s">
        <v>898</v>
      </c>
      <c r="D118" t="s">
        <v>1137</v>
      </c>
      <c r="E118" t="s">
        <v>1138</v>
      </c>
      <c r="F118" t="s">
        <v>1139</v>
      </c>
      <c r="G118" t="s">
        <v>4444</v>
      </c>
      <c r="H118">
        <v>7700</v>
      </c>
    </row>
    <row r="119" spans="1:8" x14ac:dyDescent="0.25">
      <c r="A119">
        <v>377</v>
      </c>
      <c r="B119">
        <v>102</v>
      </c>
      <c r="C119" t="s">
        <v>898</v>
      </c>
      <c r="D119" t="s">
        <v>1140</v>
      </c>
      <c r="E119" t="s">
        <v>1141</v>
      </c>
      <c r="F119" t="s">
        <v>1142</v>
      </c>
    </row>
    <row r="120" spans="1:8" x14ac:dyDescent="0.25">
      <c r="A120">
        <v>378</v>
      </c>
      <c r="B120">
        <v>102</v>
      </c>
      <c r="C120" t="s">
        <v>898</v>
      </c>
      <c r="D120" t="s">
        <v>1143</v>
      </c>
      <c r="E120" t="s">
        <v>1144</v>
      </c>
      <c r="F120" t="s">
        <v>1142</v>
      </c>
      <c r="G120" t="s">
        <v>4442</v>
      </c>
    </row>
    <row r="121" spans="1:8" x14ac:dyDescent="0.25">
      <c r="A121">
        <v>379</v>
      </c>
      <c r="B121">
        <v>102</v>
      </c>
      <c r="C121" t="s">
        <v>898</v>
      </c>
      <c r="D121" t="s">
        <v>1145</v>
      </c>
      <c r="E121" t="s">
        <v>1146</v>
      </c>
      <c r="F121" t="s">
        <v>1142</v>
      </c>
      <c r="G121" t="s">
        <v>4447</v>
      </c>
    </row>
    <row r="122" spans="1:8" x14ac:dyDescent="0.25">
      <c r="A122">
        <v>380</v>
      </c>
      <c r="B122">
        <v>102</v>
      </c>
      <c r="C122" t="s">
        <v>898</v>
      </c>
      <c r="D122" t="s">
        <v>1147</v>
      </c>
      <c r="E122" t="s">
        <v>1148</v>
      </c>
      <c r="F122" t="s">
        <v>1142</v>
      </c>
      <c r="G122" t="s">
        <v>4444</v>
      </c>
      <c r="H122">
        <v>7000</v>
      </c>
    </row>
    <row r="123" spans="1:8" x14ac:dyDescent="0.25">
      <c r="A123">
        <v>384</v>
      </c>
      <c r="B123">
        <v>103</v>
      </c>
      <c r="C123" t="s">
        <v>898</v>
      </c>
      <c r="D123" t="s">
        <v>1149</v>
      </c>
      <c r="E123" t="s">
        <v>1150</v>
      </c>
      <c r="F123" t="s">
        <v>1151</v>
      </c>
      <c r="G123" t="s">
        <v>4447</v>
      </c>
    </row>
    <row r="124" spans="1:8" x14ac:dyDescent="0.25">
      <c r="A124">
        <v>385</v>
      </c>
      <c r="B124">
        <v>103</v>
      </c>
      <c r="C124" t="s">
        <v>898</v>
      </c>
      <c r="D124" t="s">
        <v>1137</v>
      </c>
      <c r="E124" t="s">
        <v>1152</v>
      </c>
      <c r="F124" t="s">
        <v>1151</v>
      </c>
      <c r="G124" t="s">
        <v>4444</v>
      </c>
      <c r="H124">
        <v>6200</v>
      </c>
    </row>
    <row r="125" spans="1:8" x14ac:dyDescent="0.25">
      <c r="A125">
        <v>387</v>
      </c>
      <c r="B125">
        <v>103</v>
      </c>
      <c r="C125" t="s">
        <v>898</v>
      </c>
      <c r="D125" t="s">
        <v>1153</v>
      </c>
      <c r="E125" t="s">
        <v>1154</v>
      </c>
      <c r="F125" t="s">
        <v>1155</v>
      </c>
      <c r="G125" t="s">
        <v>4442</v>
      </c>
    </row>
    <row r="126" spans="1:8" x14ac:dyDescent="0.25">
      <c r="A126">
        <v>388</v>
      </c>
      <c r="B126">
        <v>557</v>
      </c>
      <c r="C126" t="s">
        <v>898</v>
      </c>
      <c r="D126" t="s">
        <v>1156</v>
      </c>
      <c r="E126" t="s">
        <v>1157</v>
      </c>
      <c r="F126" t="s">
        <v>1158</v>
      </c>
      <c r="G126" t="s">
        <v>4442</v>
      </c>
    </row>
    <row r="127" spans="1:8" x14ac:dyDescent="0.25">
      <c r="A127">
        <v>390</v>
      </c>
      <c r="B127">
        <v>557</v>
      </c>
      <c r="C127" t="s">
        <v>898</v>
      </c>
      <c r="D127" t="s">
        <v>1137</v>
      </c>
      <c r="E127" t="s">
        <v>1159</v>
      </c>
      <c r="F127" t="s">
        <v>1158</v>
      </c>
      <c r="G127" t="s">
        <v>4444</v>
      </c>
      <c r="H127">
        <v>6200</v>
      </c>
    </row>
    <row r="128" spans="1:8" x14ac:dyDescent="0.25">
      <c r="A128">
        <v>391</v>
      </c>
      <c r="B128">
        <v>557</v>
      </c>
      <c r="C128" t="s">
        <v>898</v>
      </c>
      <c r="D128" t="s">
        <v>1160</v>
      </c>
      <c r="E128" t="s">
        <v>1161</v>
      </c>
      <c r="F128" t="s">
        <v>1158</v>
      </c>
      <c r="G128" t="s">
        <v>4447</v>
      </c>
    </row>
    <row r="129" spans="1:8" x14ac:dyDescent="0.25">
      <c r="A129">
        <v>393</v>
      </c>
      <c r="B129">
        <v>557</v>
      </c>
      <c r="C129" t="s">
        <v>898</v>
      </c>
      <c r="D129" t="s">
        <v>1162</v>
      </c>
      <c r="E129" t="s">
        <v>1163</v>
      </c>
      <c r="F129" t="s">
        <v>1158</v>
      </c>
      <c r="G129" t="s">
        <v>4447</v>
      </c>
    </row>
    <row r="130" spans="1:8" ht="240" x14ac:dyDescent="0.25">
      <c r="A130">
        <v>396</v>
      </c>
      <c r="B130">
        <v>105</v>
      </c>
      <c r="C130" t="s">
        <v>898</v>
      </c>
      <c r="D130" t="s">
        <v>1164</v>
      </c>
      <c r="E130" s="1" t="s">
        <v>1165</v>
      </c>
      <c r="F130" t="s">
        <v>1166</v>
      </c>
      <c r="G130" t="s">
        <v>4442</v>
      </c>
    </row>
    <row r="131" spans="1:8" x14ac:dyDescent="0.25">
      <c r="A131">
        <v>398</v>
      </c>
      <c r="B131">
        <v>105</v>
      </c>
      <c r="C131" t="s">
        <v>898</v>
      </c>
      <c r="D131" t="s">
        <v>1167</v>
      </c>
      <c r="E131" t="s">
        <v>1168</v>
      </c>
      <c r="F131" t="s">
        <v>1169</v>
      </c>
      <c r="G131" t="s">
        <v>4444</v>
      </c>
      <c r="H131">
        <v>7500</v>
      </c>
    </row>
    <row r="132" spans="1:8" x14ac:dyDescent="0.25">
      <c r="A132">
        <v>399</v>
      </c>
      <c r="B132">
        <v>105</v>
      </c>
      <c r="C132" t="s">
        <v>898</v>
      </c>
      <c r="D132" t="s">
        <v>1170</v>
      </c>
      <c r="E132" t="s">
        <v>1171</v>
      </c>
      <c r="F132" t="s">
        <v>1172</v>
      </c>
      <c r="G132" t="s">
        <v>4447</v>
      </c>
    </row>
    <row r="133" spans="1:8" x14ac:dyDescent="0.25">
      <c r="A133">
        <v>400</v>
      </c>
      <c r="B133">
        <v>105</v>
      </c>
      <c r="C133" t="s">
        <v>898</v>
      </c>
      <c r="D133" t="s">
        <v>1173</v>
      </c>
      <c r="E133" t="s">
        <v>1174</v>
      </c>
      <c r="F133" t="s">
        <v>1175</v>
      </c>
      <c r="G133" t="s">
        <v>4447</v>
      </c>
    </row>
    <row r="134" spans="1:8" x14ac:dyDescent="0.25">
      <c r="A134">
        <v>404</v>
      </c>
      <c r="B134">
        <v>106</v>
      </c>
      <c r="C134" t="s">
        <v>898</v>
      </c>
      <c r="D134" t="s">
        <v>1176</v>
      </c>
      <c r="E134" t="s">
        <v>1177</v>
      </c>
      <c r="F134" t="s">
        <v>1178</v>
      </c>
      <c r="G134" t="s">
        <v>4447</v>
      </c>
    </row>
    <row r="135" spans="1:8" x14ac:dyDescent="0.25">
      <c r="A135">
        <v>406</v>
      </c>
      <c r="B135">
        <v>106</v>
      </c>
      <c r="C135" t="s">
        <v>898</v>
      </c>
      <c r="D135" t="s">
        <v>1179</v>
      </c>
      <c r="E135" t="s">
        <v>1180</v>
      </c>
      <c r="F135" t="s">
        <v>1181</v>
      </c>
      <c r="G135" t="s">
        <v>4444</v>
      </c>
      <c r="H135">
        <v>24800</v>
      </c>
    </row>
    <row r="136" spans="1:8" x14ac:dyDescent="0.25">
      <c r="A136">
        <v>407</v>
      </c>
      <c r="B136">
        <v>106</v>
      </c>
      <c r="C136" t="s">
        <v>898</v>
      </c>
      <c r="D136" t="s">
        <v>1182</v>
      </c>
      <c r="E136" t="s">
        <v>1183</v>
      </c>
      <c r="F136" t="s">
        <v>1184</v>
      </c>
      <c r="G136" t="s">
        <v>4447</v>
      </c>
    </row>
    <row r="137" spans="1:8" x14ac:dyDescent="0.25">
      <c r="A137">
        <v>408</v>
      </c>
      <c r="B137">
        <v>106</v>
      </c>
      <c r="C137" t="s">
        <v>898</v>
      </c>
      <c r="D137" t="s">
        <v>1185</v>
      </c>
      <c r="E137" t="s">
        <v>1186</v>
      </c>
      <c r="F137" t="s">
        <v>1187</v>
      </c>
      <c r="G137" t="s">
        <v>4447</v>
      </c>
    </row>
    <row r="138" spans="1:8" x14ac:dyDescent="0.25">
      <c r="A138">
        <v>410</v>
      </c>
      <c r="B138">
        <v>643</v>
      </c>
      <c r="C138" t="s">
        <v>1188</v>
      </c>
      <c r="D138" t="s">
        <v>1189</v>
      </c>
      <c r="E138" t="s">
        <v>1190</v>
      </c>
      <c r="F138" t="s">
        <v>1191</v>
      </c>
      <c r="G138" t="s">
        <v>4444</v>
      </c>
      <c r="H138">
        <v>12400</v>
      </c>
    </row>
    <row r="139" spans="1:8" x14ac:dyDescent="0.25">
      <c r="A139">
        <v>412</v>
      </c>
      <c r="B139">
        <v>498</v>
      </c>
      <c r="C139" t="s">
        <v>1188</v>
      </c>
      <c r="D139" t="s">
        <v>1192</v>
      </c>
      <c r="E139" t="s">
        <v>1193</v>
      </c>
      <c r="F139" t="s">
        <v>1194</v>
      </c>
      <c r="G139" t="s">
        <v>919</v>
      </c>
      <c r="H139">
        <v>1800</v>
      </c>
    </row>
    <row r="140" spans="1:8" x14ac:dyDescent="0.25">
      <c r="A140">
        <v>413</v>
      </c>
      <c r="B140">
        <v>643</v>
      </c>
      <c r="C140" t="s">
        <v>1188</v>
      </c>
      <c r="D140" t="s">
        <v>1195</v>
      </c>
      <c r="E140" t="s">
        <v>1196</v>
      </c>
      <c r="F140" t="s">
        <v>1191</v>
      </c>
      <c r="G140" t="s">
        <v>4447</v>
      </c>
    </row>
    <row r="141" spans="1:8" x14ac:dyDescent="0.25">
      <c r="A141">
        <v>416</v>
      </c>
      <c r="B141">
        <v>109</v>
      </c>
      <c r="C141" t="s">
        <v>1188</v>
      </c>
      <c r="D141" t="s">
        <v>1197</v>
      </c>
      <c r="F141" t="s">
        <v>1198</v>
      </c>
      <c r="G141" t="s">
        <v>4447</v>
      </c>
    </row>
    <row r="142" spans="1:8" x14ac:dyDescent="0.25">
      <c r="A142">
        <v>417</v>
      </c>
      <c r="B142">
        <v>109</v>
      </c>
      <c r="C142" t="s">
        <v>1188</v>
      </c>
      <c r="D142" t="s">
        <v>1199</v>
      </c>
      <c r="E142" t="s">
        <v>1200</v>
      </c>
      <c r="F142" t="s">
        <v>1198</v>
      </c>
      <c r="G142" t="s">
        <v>4447</v>
      </c>
    </row>
    <row r="143" spans="1:8" x14ac:dyDescent="0.25">
      <c r="A143">
        <v>418</v>
      </c>
      <c r="B143">
        <v>109</v>
      </c>
      <c r="C143" t="s">
        <v>1188</v>
      </c>
      <c r="D143" t="s">
        <v>1201</v>
      </c>
      <c r="E143" t="s">
        <v>1202</v>
      </c>
      <c r="F143" t="s">
        <v>1198</v>
      </c>
      <c r="G143" t="s">
        <v>4444</v>
      </c>
    </row>
    <row r="144" spans="1:8" x14ac:dyDescent="0.25">
      <c r="A144">
        <v>419</v>
      </c>
      <c r="B144">
        <v>109</v>
      </c>
      <c r="C144" t="s">
        <v>1188</v>
      </c>
      <c r="D144" t="s">
        <v>1203</v>
      </c>
      <c r="F144" t="s">
        <v>1198</v>
      </c>
    </row>
    <row r="145" spans="1:7" x14ac:dyDescent="0.25">
      <c r="A145">
        <v>420</v>
      </c>
      <c r="B145">
        <v>109</v>
      </c>
      <c r="C145" t="s">
        <v>1188</v>
      </c>
      <c r="D145" t="s">
        <v>1204</v>
      </c>
      <c r="F145" t="s">
        <v>1198</v>
      </c>
      <c r="G145" t="s">
        <v>4442</v>
      </c>
    </row>
    <row r="146" spans="1:7" x14ac:dyDescent="0.25">
      <c r="A146">
        <v>422</v>
      </c>
      <c r="B146">
        <v>110</v>
      </c>
      <c r="C146" t="s">
        <v>1188</v>
      </c>
      <c r="D146" t="s">
        <v>1205</v>
      </c>
      <c r="F146" t="s">
        <v>1206</v>
      </c>
      <c r="G146" t="s">
        <v>4441</v>
      </c>
    </row>
    <row r="147" spans="1:7" x14ac:dyDescent="0.25">
      <c r="A147">
        <v>424</v>
      </c>
      <c r="B147">
        <v>110</v>
      </c>
      <c r="C147" t="s">
        <v>1188</v>
      </c>
      <c r="D147" t="s">
        <v>1207</v>
      </c>
      <c r="F147" t="s">
        <v>1206</v>
      </c>
      <c r="G147" t="s">
        <v>919</v>
      </c>
    </row>
    <row r="148" spans="1:7" x14ac:dyDescent="0.25">
      <c r="A148">
        <v>425</v>
      </c>
      <c r="B148">
        <v>110</v>
      </c>
      <c r="C148" t="s">
        <v>1188</v>
      </c>
      <c r="D148" t="s">
        <v>1208</v>
      </c>
      <c r="F148" t="s">
        <v>1206</v>
      </c>
    </row>
    <row r="149" spans="1:7" x14ac:dyDescent="0.25">
      <c r="A149">
        <v>427</v>
      </c>
      <c r="B149">
        <v>110</v>
      </c>
      <c r="C149" t="s">
        <v>1188</v>
      </c>
      <c r="D149" t="s">
        <v>1209</v>
      </c>
      <c r="F149" t="s">
        <v>1206</v>
      </c>
      <c r="G149" t="s">
        <v>4443</v>
      </c>
    </row>
    <row r="150" spans="1:7" x14ac:dyDescent="0.25">
      <c r="A150">
        <v>428</v>
      </c>
      <c r="B150">
        <v>111</v>
      </c>
      <c r="C150" t="s">
        <v>898</v>
      </c>
      <c r="D150" t="s">
        <v>975</v>
      </c>
      <c r="E150" t="s">
        <v>1210</v>
      </c>
      <c r="F150" t="s">
        <v>1211</v>
      </c>
      <c r="G150" t="s">
        <v>4444</v>
      </c>
    </row>
    <row r="151" spans="1:7" x14ac:dyDescent="0.25">
      <c r="A151">
        <v>437</v>
      </c>
      <c r="B151">
        <v>114</v>
      </c>
      <c r="C151" t="s">
        <v>1188</v>
      </c>
      <c r="D151" t="s">
        <v>1189</v>
      </c>
      <c r="F151" t="s">
        <v>1212</v>
      </c>
      <c r="G151" t="s">
        <v>4444</v>
      </c>
    </row>
    <row r="152" spans="1:7" x14ac:dyDescent="0.25">
      <c r="A152">
        <v>439</v>
      </c>
      <c r="B152">
        <v>114</v>
      </c>
      <c r="C152" t="s">
        <v>1188</v>
      </c>
      <c r="D152" t="s">
        <v>1213</v>
      </c>
      <c r="F152" t="s">
        <v>1212</v>
      </c>
      <c r="G152" t="s">
        <v>2758</v>
      </c>
    </row>
    <row r="153" spans="1:7" x14ac:dyDescent="0.25">
      <c r="A153">
        <v>440</v>
      </c>
      <c r="B153">
        <v>114</v>
      </c>
      <c r="C153" t="s">
        <v>1188</v>
      </c>
      <c r="D153" t="s">
        <v>1207</v>
      </c>
      <c r="F153" t="s">
        <v>1212</v>
      </c>
      <c r="G153" t="s">
        <v>919</v>
      </c>
    </row>
    <row r="154" spans="1:7" x14ac:dyDescent="0.25">
      <c r="A154">
        <v>441</v>
      </c>
      <c r="B154">
        <v>114</v>
      </c>
      <c r="C154" t="s">
        <v>1188</v>
      </c>
      <c r="D154" t="s">
        <v>1214</v>
      </c>
      <c r="E154" t="s">
        <v>1215</v>
      </c>
      <c r="F154" t="s">
        <v>1212</v>
      </c>
    </row>
    <row r="155" spans="1:7" x14ac:dyDescent="0.25">
      <c r="A155">
        <v>452</v>
      </c>
      <c r="B155">
        <v>117</v>
      </c>
      <c r="C155" t="s">
        <v>898</v>
      </c>
      <c r="D155" t="s">
        <v>1137</v>
      </c>
      <c r="F155" t="s">
        <v>1216</v>
      </c>
      <c r="G155" t="s">
        <v>4444</v>
      </c>
    </row>
    <row r="156" spans="1:7" x14ac:dyDescent="0.25">
      <c r="A156">
        <v>453</v>
      </c>
      <c r="B156">
        <v>117</v>
      </c>
      <c r="C156" t="s">
        <v>898</v>
      </c>
      <c r="D156" t="s">
        <v>1217</v>
      </c>
      <c r="F156" t="s">
        <v>1216</v>
      </c>
      <c r="G156" t="s">
        <v>4447</v>
      </c>
    </row>
    <row r="157" spans="1:7" x14ac:dyDescent="0.25">
      <c r="A157">
        <v>454</v>
      </c>
      <c r="B157">
        <v>117</v>
      </c>
      <c r="C157" t="s">
        <v>898</v>
      </c>
      <c r="D157" t="s">
        <v>1218</v>
      </c>
      <c r="F157" t="s">
        <v>1216</v>
      </c>
      <c r="G157" t="s">
        <v>4447</v>
      </c>
    </row>
    <row r="158" spans="1:7" x14ac:dyDescent="0.25">
      <c r="A158">
        <v>455</v>
      </c>
      <c r="B158">
        <v>117</v>
      </c>
      <c r="C158" t="s">
        <v>898</v>
      </c>
      <c r="D158" t="s">
        <v>1219</v>
      </c>
      <c r="F158" t="s">
        <v>1216</v>
      </c>
      <c r="G158" t="s">
        <v>919</v>
      </c>
    </row>
    <row r="159" spans="1:7" x14ac:dyDescent="0.25">
      <c r="A159">
        <v>456</v>
      </c>
      <c r="B159">
        <v>117</v>
      </c>
      <c r="C159" t="s">
        <v>898</v>
      </c>
      <c r="D159" t="s">
        <v>1220</v>
      </c>
      <c r="F159" t="s">
        <v>1216</v>
      </c>
      <c r="G159" t="s">
        <v>4442</v>
      </c>
    </row>
    <row r="160" spans="1:7" x14ac:dyDescent="0.25">
      <c r="A160">
        <v>465</v>
      </c>
      <c r="B160">
        <v>119</v>
      </c>
      <c r="C160" t="s">
        <v>898</v>
      </c>
      <c r="D160" t="s">
        <v>1221</v>
      </c>
      <c r="E160" t="s">
        <v>1222</v>
      </c>
      <c r="F160" t="s">
        <v>1223</v>
      </c>
    </row>
    <row r="161" spans="1:8" x14ac:dyDescent="0.25">
      <c r="A161">
        <v>466</v>
      </c>
      <c r="B161">
        <v>119</v>
      </c>
      <c r="C161" t="s">
        <v>898</v>
      </c>
      <c r="D161" t="s">
        <v>1224</v>
      </c>
      <c r="E161" t="s">
        <v>1225</v>
      </c>
      <c r="F161" t="s">
        <v>1223</v>
      </c>
      <c r="G161" t="s">
        <v>919</v>
      </c>
    </row>
    <row r="162" spans="1:8" x14ac:dyDescent="0.25">
      <c r="A162">
        <v>494</v>
      </c>
      <c r="B162">
        <v>125</v>
      </c>
      <c r="C162" t="s">
        <v>898</v>
      </c>
      <c r="D162" t="s">
        <v>1137</v>
      </c>
      <c r="F162" t="s">
        <v>1226</v>
      </c>
      <c r="G162" t="s">
        <v>4444</v>
      </c>
    </row>
    <row r="163" spans="1:8" x14ac:dyDescent="0.25">
      <c r="A163">
        <v>495</v>
      </c>
      <c r="B163">
        <v>125</v>
      </c>
      <c r="C163" t="s">
        <v>898</v>
      </c>
      <c r="D163" t="s">
        <v>905</v>
      </c>
      <c r="E163" t="s">
        <v>1227</v>
      </c>
      <c r="F163" t="s">
        <v>1226</v>
      </c>
      <c r="G163" t="s">
        <v>919</v>
      </c>
    </row>
    <row r="164" spans="1:8" x14ac:dyDescent="0.25">
      <c r="A164">
        <v>496</v>
      </c>
      <c r="B164">
        <v>125</v>
      </c>
      <c r="C164" t="s">
        <v>898</v>
      </c>
      <c r="D164" t="s">
        <v>1228</v>
      </c>
      <c r="E164" t="s">
        <v>1229</v>
      </c>
      <c r="F164" t="s">
        <v>1226</v>
      </c>
      <c r="G164" t="s">
        <v>4447</v>
      </c>
    </row>
    <row r="165" spans="1:8" x14ac:dyDescent="0.25">
      <c r="A165">
        <v>497</v>
      </c>
      <c r="B165">
        <v>125</v>
      </c>
      <c r="C165" t="s">
        <v>898</v>
      </c>
      <c r="D165" t="s">
        <v>1230</v>
      </c>
      <c r="F165" t="s">
        <v>1226</v>
      </c>
      <c r="G165" t="s">
        <v>4447</v>
      </c>
    </row>
    <row r="166" spans="1:8" x14ac:dyDescent="0.25">
      <c r="A166">
        <v>498</v>
      </c>
      <c r="B166">
        <v>125</v>
      </c>
      <c r="C166" t="s">
        <v>898</v>
      </c>
      <c r="D166" t="s">
        <v>1231</v>
      </c>
      <c r="F166" t="s">
        <v>1226</v>
      </c>
      <c r="G166" t="s">
        <v>4442</v>
      </c>
    </row>
    <row r="167" spans="1:8" x14ac:dyDescent="0.25">
      <c r="A167">
        <v>503</v>
      </c>
      <c r="B167">
        <v>128</v>
      </c>
      <c r="C167" t="s">
        <v>894</v>
      </c>
      <c r="D167" t="s">
        <v>957</v>
      </c>
      <c r="E167" t="s">
        <v>1232</v>
      </c>
      <c r="F167" t="s">
        <v>1233</v>
      </c>
      <c r="G167" t="s">
        <v>4444</v>
      </c>
    </row>
    <row r="168" spans="1:8" x14ac:dyDescent="0.25">
      <c r="A168">
        <v>504</v>
      </c>
      <c r="B168">
        <v>128</v>
      </c>
      <c r="C168" t="s">
        <v>894</v>
      </c>
      <c r="D168" t="s">
        <v>1089</v>
      </c>
      <c r="E168" t="s">
        <v>1234</v>
      </c>
      <c r="F168" t="s">
        <v>1235</v>
      </c>
      <c r="G168" t="s">
        <v>4447</v>
      </c>
    </row>
    <row r="169" spans="1:8" x14ac:dyDescent="0.25">
      <c r="A169">
        <v>505</v>
      </c>
      <c r="B169">
        <v>128</v>
      </c>
      <c r="C169" t="s">
        <v>894</v>
      </c>
      <c r="D169" t="s">
        <v>917</v>
      </c>
      <c r="E169" t="s">
        <v>1236</v>
      </c>
      <c r="F169" t="s">
        <v>1237</v>
      </c>
      <c r="G169" t="s">
        <v>919</v>
      </c>
    </row>
    <row r="170" spans="1:8" ht="409.5" x14ac:dyDescent="0.25">
      <c r="A170">
        <v>517</v>
      </c>
      <c r="B170">
        <v>553</v>
      </c>
      <c r="C170" t="s">
        <v>894</v>
      </c>
      <c r="D170" t="s">
        <v>1238</v>
      </c>
      <c r="E170" s="1" t="s">
        <v>1239</v>
      </c>
      <c r="F170" t="s">
        <v>1240</v>
      </c>
      <c r="G170" t="s">
        <v>4442</v>
      </c>
    </row>
    <row r="171" spans="1:8" x14ac:dyDescent="0.25">
      <c r="A171">
        <v>518</v>
      </c>
      <c r="B171">
        <v>553</v>
      </c>
      <c r="C171" t="s">
        <v>894</v>
      </c>
      <c r="D171" t="s">
        <v>1241</v>
      </c>
      <c r="E171" t="s">
        <v>1242</v>
      </c>
      <c r="F171" t="s">
        <v>1240</v>
      </c>
      <c r="G171" t="s">
        <v>4442</v>
      </c>
    </row>
    <row r="172" spans="1:8" x14ac:dyDescent="0.25">
      <c r="A172">
        <v>522</v>
      </c>
      <c r="B172">
        <v>40</v>
      </c>
      <c r="C172" t="s">
        <v>894</v>
      </c>
      <c r="D172" t="s">
        <v>939</v>
      </c>
      <c r="E172" t="s">
        <v>1243</v>
      </c>
      <c r="F172" t="s">
        <v>1244</v>
      </c>
      <c r="G172" t="s">
        <v>919</v>
      </c>
    </row>
    <row r="173" spans="1:8" x14ac:dyDescent="0.25">
      <c r="A173">
        <v>529</v>
      </c>
      <c r="B173">
        <v>133</v>
      </c>
      <c r="C173" t="s">
        <v>894</v>
      </c>
      <c r="D173" t="s">
        <v>1245</v>
      </c>
      <c r="E173" t="s">
        <v>1246</v>
      </c>
      <c r="F173" t="s">
        <v>1247</v>
      </c>
      <c r="G173" t="s">
        <v>4447</v>
      </c>
    </row>
    <row r="174" spans="1:8" x14ac:dyDescent="0.25">
      <c r="A174">
        <v>530</v>
      </c>
      <c r="B174">
        <v>133</v>
      </c>
      <c r="C174" t="s">
        <v>894</v>
      </c>
      <c r="D174" t="s">
        <v>914</v>
      </c>
      <c r="E174" t="s">
        <v>1248</v>
      </c>
      <c r="F174" t="s">
        <v>1247</v>
      </c>
      <c r="G174" t="s">
        <v>4444</v>
      </c>
      <c r="H174">
        <v>6500</v>
      </c>
    </row>
    <row r="175" spans="1:8" x14ac:dyDescent="0.25">
      <c r="A175">
        <v>534</v>
      </c>
      <c r="B175">
        <v>136</v>
      </c>
      <c r="C175" t="s">
        <v>894</v>
      </c>
      <c r="D175" t="s">
        <v>1249</v>
      </c>
      <c r="E175" t="s">
        <v>1250</v>
      </c>
      <c r="F175" t="s">
        <v>1251</v>
      </c>
      <c r="G175" t="s">
        <v>4447</v>
      </c>
    </row>
    <row r="176" spans="1:8" x14ac:dyDescent="0.25">
      <c r="A176">
        <v>536</v>
      </c>
      <c r="B176">
        <v>136</v>
      </c>
      <c r="C176" t="s">
        <v>894</v>
      </c>
      <c r="D176" t="s">
        <v>1252</v>
      </c>
      <c r="E176" t="s">
        <v>1253</v>
      </c>
      <c r="F176" t="s">
        <v>1251</v>
      </c>
      <c r="G176" t="s">
        <v>4442</v>
      </c>
    </row>
    <row r="177" spans="1:8" x14ac:dyDescent="0.25">
      <c r="A177">
        <v>545</v>
      </c>
      <c r="B177">
        <v>137</v>
      </c>
      <c r="C177" t="s">
        <v>894</v>
      </c>
      <c r="D177" t="s">
        <v>1254</v>
      </c>
      <c r="F177" t="s">
        <v>1255</v>
      </c>
      <c r="G177" t="s">
        <v>4442</v>
      </c>
    </row>
    <row r="178" spans="1:8" x14ac:dyDescent="0.25">
      <c r="A178">
        <v>552</v>
      </c>
      <c r="B178">
        <v>140</v>
      </c>
      <c r="C178" t="s">
        <v>894</v>
      </c>
      <c r="D178" t="s">
        <v>1256</v>
      </c>
      <c r="E178" t="s">
        <v>1257</v>
      </c>
      <c r="F178" t="s">
        <v>1258</v>
      </c>
      <c r="G178" t="s">
        <v>4447</v>
      </c>
    </row>
    <row r="179" spans="1:8" x14ac:dyDescent="0.25">
      <c r="A179">
        <v>557</v>
      </c>
      <c r="B179">
        <v>141</v>
      </c>
      <c r="C179" t="s">
        <v>894</v>
      </c>
      <c r="D179" t="s">
        <v>1259</v>
      </c>
      <c r="E179" t="s">
        <v>1260</v>
      </c>
      <c r="F179" t="s">
        <v>1261</v>
      </c>
      <c r="G179" t="s">
        <v>1262</v>
      </c>
    </row>
    <row r="180" spans="1:8" x14ac:dyDescent="0.25">
      <c r="A180">
        <v>568</v>
      </c>
      <c r="B180">
        <v>145</v>
      </c>
      <c r="C180" t="s">
        <v>894</v>
      </c>
      <c r="D180" t="s">
        <v>914</v>
      </c>
      <c r="F180" t="s">
        <v>1263</v>
      </c>
      <c r="G180" t="s">
        <v>4444</v>
      </c>
    </row>
    <row r="181" spans="1:8" x14ac:dyDescent="0.25">
      <c r="A181">
        <v>569</v>
      </c>
      <c r="B181">
        <v>145</v>
      </c>
      <c r="C181" t="s">
        <v>894</v>
      </c>
      <c r="D181" t="s">
        <v>1264</v>
      </c>
      <c r="F181" t="s">
        <v>1265</v>
      </c>
      <c r="G181" t="s">
        <v>4447</v>
      </c>
    </row>
    <row r="182" spans="1:8" x14ac:dyDescent="0.25">
      <c r="A182">
        <v>577</v>
      </c>
      <c r="B182">
        <v>151</v>
      </c>
      <c r="C182" t="s">
        <v>894</v>
      </c>
      <c r="D182" t="s">
        <v>1266</v>
      </c>
      <c r="F182" t="s">
        <v>1267</v>
      </c>
      <c r="G182" t="s">
        <v>4448</v>
      </c>
    </row>
    <row r="183" spans="1:8" x14ac:dyDescent="0.25">
      <c r="A183">
        <v>579</v>
      </c>
      <c r="B183">
        <v>63</v>
      </c>
      <c r="C183" t="s">
        <v>894</v>
      </c>
      <c r="D183" t="s">
        <v>1047</v>
      </c>
      <c r="E183" t="s">
        <v>1268</v>
      </c>
      <c r="F183" t="s">
        <v>1052</v>
      </c>
      <c r="G183" t="s">
        <v>4447</v>
      </c>
    </row>
    <row r="184" spans="1:8" x14ac:dyDescent="0.25">
      <c r="A184">
        <v>597</v>
      </c>
      <c r="B184">
        <v>85</v>
      </c>
      <c r="C184" t="s">
        <v>894</v>
      </c>
      <c r="D184" t="s">
        <v>1269</v>
      </c>
      <c r="E184" t="s">
        <v>1270</v>
      </c>
      <c r="F184" t="s">
        <v>1271</v>
      </c>
      <c r="G184" t="s">
        <v>1262</v>
      </c>
    </row>
    <row r="185" spans="1:8" x14ac:dyDescent="0.25">
      <c r="A185">
        <v>664</v>
      </c>
      <c r="B185">
        <v>29</v>
      </c>
      <c r="C185" t="s">
        <v>894</v>
      </c>
      <c r="D185" t="s">
        <v>1272</v>
      </c>
      <c r="E185" t="s">
        <v>1273</v>
      </c>
      <c r="F185" t="s">
        <v>1274</v>
      </c>
      <c r="G185" t="s">
        <v>4442</v>
      </c>
    </row>
    <row r="186" spans="1:8" x14ac:dyDescent="0.25">
      <c r="A186">
        <v>666</v>
      </c>
      <c r="B186">
        <v>181</v>
      </c>
      <c r="C186" t="s">
        <v>894</v>
      </c>
      <c r="D186" t="s">
        <v>966</v>
      </c>
      <c r="E186" t="s">
        <v>1275</v>
      </c>
      <c r="F186" t="s">
        <v>1276</v>
      </c>
      <c r="G186" t="s">
        <v>2758</v>
      </c>
      <c r="H186">
        <v>1250</v>
      </c>
    </row>
    <row r="187" spans="1:8" x14ac:dyDescent="0.25">
      <c r="A187">
        <v>667</v>
      </c>
      <c r="B187">
        <v>46</v>
      </c>
      <c r="C187" t="s">
        <v>894</v>
      </c>
      <c r="D187" t="s">
        <v>1277</v>
      </c>
      <c r="F187" t="s">
        <v>1024</v>
      </c>
      <c r="G187" t="s">
        <v>1262</v>
      </c>
    </row>
    <row r="188" spans="1:8" x14ac:dyDescent="0.25">
      <c r="A188">
        <v>670</v>
      </c>
      <c r="B188">
        <v>46</v>
      </c>
      <c r="C188" t="s">
        <v>894</v>
      </c>
      <c r="D188" t="s">
        <v>1278</v>
      </c>
      <c r="E188" t="s">
        <v>1279</v>
      </c>
      <c r="F188" t="s">
        <v>1280</v>
      </c>
      <c r="G188" t="s">
        <v>1262</v>
      </c>
    </row>
    <row r="189" spans="1:8" x14ac:dyDescent="0.25">
      <c r="A189">
        <v>673</v>
      </c>
      <c r="B189">
        <v>46</v>
      </c>
      <c r="C189" t="s">
        <v>894</v>
      </c>
      <c r="D189" t="s">
        <v>1281</v>
      </c>
      <c r="F189" t="s">
        <v>1282</v>
      </c>
      <c r="G189" t="s">
        <v>4448</v>
      </c>
    </row>
    <row r="190" spans="1:8" x14ac:dyDescent="0.25">
      <c r="A190">
        <v>677</v>
      </c>
      <c r="B190">
        <v>679</v>
      </c>
      <c r="C190" t="s">
        <v>894</v>
      </c>
      <c r="D190" t="s">
        <v>914</v>
      </c>
      <c r="E190" t="s">
        <v>1283</v>
      </c>
      <c r="F190" t="s">
        <v>1284</v>
      </c>
      <c r="G190" t="s">
        <v>4444</v>
      </c>
    </row>
    <row r="191" spans="1:8" x14ac:dyDescent="0.25">
      <c r="A191">
        <v>679</v>
      </c>
      <c r="B191">
        <v>39</v>
      </c>
      <c r="C191" t="s">
        <v>894</v>
      </c>
      <c r="D191" t="s">
        <v>1072</v>
      </c>
      <c r="E191" t="s">
        <v>1285</v>
      </c>
      <c r="F191" t="s">
        <v>1286</v>
      </c>
      <c r="G191" t="s">
        <v>4447</v>
      </c>
    </row>
    <row r="192" spans="1:8" x14ac:dyDescent="0.25">
      <c r="A192">
        <v>680</v>
      </c>
      <c r="B192">
        <v>39</v>
      </c>
      <c r="C192" t="s">
        <v>894</v>
      </c>
      <c r="D192" t="s">
        <v>1287</v>
      </c>
      <c r="E192" t="s">
        <v>1288</v>
      </c>
      <c r="F192" t="s">
        <v>1289</v>
      </c>
      <c r="G192" t="s">
        <v>4442</v>
      </c>
    </row>
    <row r="193" spans="1:8" x14ac:dyDescent="0.25">
      <c r="A193">
        <v>691</v>
      </c>
      <c r="B193">
        <v>186</v>
      </c>
      <c r="C193" t="s">
        <v>894</v>
      </c>
      <c r="D193" t="s">
        <v>1290</v>
      </c>
      <c r="E193" t="s">
        <v>1291</v>
      </c>
      <c r="F193" t="s">
        <v>1292</v>
      </c>
      <c r="G193" t="s">
        <v>4442</v>
      </c>
    </row>
    <row r="194" spans="1:8" x14ac:dyDescent="0.25">
      <c r="A194">
        <v>692</v>
      </c>
      <c r="B194">
        <v>186</v>
      </c>
      <c r="C194" t="s">
        <v>894</v>
      </c>
      <c r="D194" t="s">
        <v>1021</v>
      </c>
      <c r="E194" t="s">
        <v>1293</v>
      </c>
      <c r="F194" t="s">
        <v>1292</v>
      </c>
      <c r="G194" t="s">
        <v>4444</v>
      </c>
    </row>
    <row r="195" spans="1:8" x14ac:dyDescent="0.25">
      <c r="A195">
        <v>694</v>
      </c>
      <c r="B195">
        <v>186</v>
      </c>
      <c r="C195" t="s">
        <v>894</v>
      </c>
      <c r="D195" t="s">
        <v>1294</v>
      </c>
      <c r="E195" t="s">
        <v>1295</v>
      </c>
      <c r="F195" t="s">
        <v>1292</v>
      </c>
      <c r="G195" t="s">
        <v>4443</v>
      </c>
    </row>
    <row r="196" spans="1:8" x14ac:dyDescent="0.25">
      <c r="A196">
        <v>696</v>
      </c>
      <c r="B196">
        <v>188</v>
      </c>
      <c r="C196" t="s">
        <v>894</v>
      </c>
      <c r="D196" t="s">
        <v>1296</v>
      </c>
      <c r="E196" t="s">
        <v>1297</v>
      </c>
      <c r="F196" t="s">
        <v>1298</v>
      </c>
      <c r="G196" t="s">
        <v>4443</v>
      </c>
    </row>
    <row r="197" spans="1:8" x14ac:dyDescent="0.25">
      <c r="A197">
        <v>697</v>
      </c>
      <c r="B197">
        <v>188</v>
      </c>
      <c r="C197" t="s">
        <v>894</v>
      </c>
      <c r="D197" t="s">
        <v>1299</v>
      </c>
      <c r="E197" t="s">
        <v>1297</v>
      </c>
      <c r="F197" t="s">
        <v>1298</v>
      </c>
      <c r="G197" t="s">
        <v>4447</v>
      </c>
    </row>
    <row r="198" spans="1:8" x14ac:dyDescent="0.25">
      <c r="A198">
        <v>698</v>
      </c>
      <c r="B198">
        <v>29</v>
      </c>
      <c r="C198" t="s">
        <v>894</v>
      </c>
      <c r="D198" t="s">
        <v>1300</v>
      </c>
      <c r="E198" t="s">
        <v>1301</v>
      </c>
      <c r="F198" t="s">
        <v>1302</v>
      </c>
      <c r="G198" t="s">
        <v>4442</v>
      </c>
    </row>
    <row r="199" spans="1:8" x14ac:dyDescent="0.25">
      <c r="A199">
        <v>704</v>
      </c>
      <c r="B199">
        <v>12</v>
      </c>
      <c r="C199" t="s">
        <v>894</v>
      </c>
      <c r="D199" t="s">
        <v>895</v>
      </c>
      <c r="E199" t="s">
        <v>1303</v>
      </c>
      <c r="F199" t="s">
        <v>921</v>
      </c>
      <c r="G199" t="s">
        <v>4448</v>
      </c>
    </row>
    <row r="200" spans="1:8" x14ac:dyDescent="0.25">
      <c r="A200">
        <v>708</v>
      </c>
      <c r="B200">
        <v>21</v>
      </c>
      <c r="C200" t="s">
        <v>894</v>
      </c>
      <c r="D200" t="s">
        <v>1304</v>
      </c>
      <c r="E200" t="s">
        <v>1305</v>
      </c>
      <c r="F200" t="s">
        <v>1306</v>
      </c>
      <c r="G200" t="s">
        <v>4448</v>
      </c>
    </row>
    <row r="201" spans="1:8" x14ac:dyDescent="0.25">
      <c r="A201">
        <v>717</v>
      </c>
      <c r="B201">
        <v>71</v>
      </c>
      <c r="C201" t="s">
        <v>894</v>
      </c>
      <c r="D201" t="s">
        <v>1307</v>
      </c>
      <c r="E201" t="s">
        <v>1308</v>
      </c>
      <c r="F201" t="s">
        <v>1069</v>
      </c>
      <c r="G201" t="s">
        <v>1309</v>
      </c>
      <c r="H201">
        <v>4</v>
      </c>
    </row>
    <row r="202" spans="1:8" x14ac:dyDescent="0.25">
      <c r="A202">
        <v>723</v>
      </c>
      <c r="B202">
        <v>195</v>
      </c>
      <c r="C202" t="s">
        <v>894</v>
      </c>
      <c r="D202" t="s">
        <v>1310</v>
      </c>
      <c r="E202" t="s">
        <v>1311</v>
      </c>
      <c r="F202" t="s">
        <v>1312</v>
      </c>
      <c r="G202" t="s">
        <v>4448</v>
      </c>
      <c r="H202">
        <v>250</v>
      </c>
    </row>
    <row r="203" spans="1:8" x14ac:dyDescent="0.25">
      <c r="A203">
        <v>730</v>
      </c>
      <c r="B203">
        <v>197</v>
      </c>
      <c r="C203" t="s">
        <v>894</v>
      </c>
      <c r="D203" t="s">
        <v>1313</v>
      </c>
      <c r="E203" t="s">
        <v>1314</v>
      </c>
      <c r="F203" t="s">
        <v>1315</v>
      </c>
    </row>
    <row r="204" spans="1:8" x14ac:dyDescent="0.25">
      <c r="A204">
        <v>731</v>
      </c>
      <c r="B204">
        <v>197</v>
      </c>
      <c r="C204" t="s">
        <v>894</v>
      </c>
      <c r="D204" t="s">
        <v>1316</v>
      </c>
      <c r="E204" t="s">
        <v>1317</v>
      </c>
      <c r="F204" t="s">
        <v>1315</v>
      </c>
      <c r="G204" t="s">
        <v>4442</v>
      </c>
    </row>
    <row r="205" spans="1:8" x14ac:dyDescent="0.25">
      <c r="A205">
        <v>732</v>
      </c>
      <c r="B205">
        <v>197</v>
      </c>
      <c r="C205" t="s">
        <v>894</v>
      </c>
      <c r="D205" t="s">
        <v>1021</v>
      </c>
      <c r="F205" t="s">
        <v>1315</v>
      </c>
      <c r="G205" t="s">
        <v>4444</v>
      </c>
    </row>
    <row r="206" spans="1:8" x14ac:dyDescent="0.25">
      <c r="A206">
        <v>733</v>
      </c>
      <c r="B206">
        <v>197</v>
      </c>
      <c r="C206" t="s">
        <v>894</v>
      </c>
      <c r="D206" t="s">
        <v>1318</v>
      </c>
      <c r="F206" t="s">
        <v>1315</v>
      </c>
      <c r="G206" t="s">
        <v>919</v>
      </c>
    </row>
    <row r="207" spans="1:8" x14ac:dyDescent="0.25">
      <c r="A207">
        <v>734</v>
      </c>
      <c r="B207">
        <v>197</v>
      </c>
      <c r="C207" t="s">
        <v>894</v>
      </c>
      <c r="D207" t="s">
        <v>1072</v>
      </c>
      <c r="E207" t="s">
        <v>1319</v>
      </c>
      <c r="F207" t="s">
        <v>1315</v>
      </c>
      <c r="G207" t="s">
        <v>4447</v>
      </c>
    </row>
    <row r="208" spans="1:8" x14ac:dyDescent="0.25">
      <c r="A208">
        <v>744</v>
      </c>
      <c r="B208">
        <v>54</v>
      </c>
      <c r="C208" t="s">
        <v>894</v>
      </c>
      <c r="D208" t="s">
        <v>1320</v>
      </c>
      <c r="E208" t="s">
        <v>1321</v>
      </c>
      <c r="F208" t="s">
        <v>1013</v>
      </c>
      <c r="G208" t="s">
        <v>4447</v>
      </c>
    </row>
    <row r="209" spans="1:8" x14ac:dyDescent="0.25">
      <c r="A209">
        <v>755</v>
      </c>
      <c r="B209">
        <v>57</v>
      </c>
      <c r="C209" t="s">
        <v>894</v>
      </c>
      <c r="D209" t="s">
        <v>1322</v>
      </c>
      <c r="E209" t="s">
        <v>1323</v>
      </c>
      <c r="F209" t="s">
        <v>1027</v>
      </c>
      <c r="G209" t="s">
        <v>4442</v>
      </c>
    </row>
    <row r="210" spans="1:8" x14ac:dyDescent="0.25">
      <c r="A210">
        <v>756</v>
      </c>
      <c r="B210">
        <v>57</v>
      </c>
      <c r="C210" t="s">
        <v>894</v>
      </c>
      <c r="D210" t="s">
        <v>1324</v>
      </c>
      <c r="E210" t="s">
        <v>1325</v>
      </c>
      <c r="F210" t="s">
        <v>1027</v>
      </c>
      <c r="G210" t="s">
        <v>4447</v>
      </c>
    </row>
    <row r="211" spans="1:8" x14ac:dyDescent="0.25">
      <c r="A211">
        <v>757</v>
      </c>
      <c r="B211">
        <v>57</v>
      </c>
      <c r="C211" t="s">
        <v>894</v>
      </c>
      <c r="D211" t="s">
        <v>923</v>
      </c>
      <c r="E211" t="s">
        <v>1326</v>
      </c>
      <c r="F211" t="s">
        <v>1027</v>
      </c>
      <c r="G211" t="s">
        <v>4444</v>
      </c>
      <c r="H211">
        <v>9500</v>
      </c>
    </row>
    <row r="212" spans="1:8" x14ac:dyDescent="0.25">
      <c r="A212">
        <v>763</v>
      </c>
      <c r="B212">
        <v>292</v>
      </c>
      <c r="C212" t="s">
        <v>894</v>
      </c>
      <c r="D212" t="s">
        <v>914</v>
      </c>
      <c r="E212" t="s">
        <v>1327</v>
      </c>
      <c r="F212" t="s">
        <v>1328</v>
      </c>
      <c r="G212" t="s">
        <v>4444</v>
      </c>
    </row>
    <row r="213" spans="1:8" x14ac:dyDescent="0.25">
      <c r="A213">
        <v>765</v>
      </c>
      <c r="B213">
        <v>292</v>
      </c>
      <c r="C213" t="s">
        <v>894</v>
      </c>
      <c r="D213" t="s">
        <v>1329</v>
      </c>
      <c r="E213" t="s">
        <v>1330</v>
      </c>
      <c r="F213" t="s">
        <v>1328</v>
      </c>
      <c r="G213" t="s">
        <v>4447</v>
      </c>
    </row>
    <row r="214" spans="1:8" x14ac:dyDescent="0.25">
      <c r="A214">
        <v>766</v>
      </c>
      <c r="B214">
        <v>292</v>
      </c>
      <c r="C214" t="s">
        <v>894</v>
      </c>
      <c r="D214" t="s">
        <v>1115</v>
      </c>
      <c r="E214" t="s">
        <v>1331</v>
      </c>
      <c r="F214" t="s">
        <v>1328</v>
      </c>
    </row>
    <row r="215" spans="1:8" x14ac:dyDescent="0.25">
      <c r="A215">
        <v>768</v>
      </c>
      <c r="B215">
        <v>201</v>
      </c>
      <c r="C215" t="s">
        <v>894</v>
      </c>
      <c r="D215" t="s">
        <v>917</v>
      </c>
      <c r="F215" t="s">
        <v>1332</v>
      </c>
      <c r="G215" t="s">
        <v>919</v>
      </c>
    </row>
    <row r="216" spans="1:8" x14ac:dyDescent="0.25">
      <c r="A216">
        <v>769</v>
      </c>
      <c r="B216">
        <v>201</v>
      </c>
      <c r="C216" t="s">
        <v>894</v>
      </c>
      <c r="D216" t="s">
        <v>1333</v>
      </c>
      <c r="F216" t="s">
        <v>1332</v>
      </c>
      <c r="G216" t="s">
        <v>4447</v>
      </c>
    </row>
    <row r="217" spans="1:8" x14ac:dyDescent="0.25">
      <c r="A217">
        <v>770</v>
      </c>
      <c r="B217">
        <v>201</v>
      </c>
      <c r="C217" t="s">
        <v>894</v>
      </c>
      <c r="D217" t="s">
        <v>1334</v>
      </c>
      <c r="F217" t="s">
        <v>1332</v>
      </c>
      <c r="G217" t="s">
        <v>4460</v>
      </c>
    </row>
    <row r="218" spans="1:8" x14ac:dyDescent="0.25">
      <c r="A218">
        <v>771</v>
      </c>
      <c r="B218">
        <v>201</v>
      </c>
      <c r="C218" t="s">
        <v>894</v>
      </c>
      <c r="D218" t="s">
        <v>928</v>
      </c>
      <c r="F218" t="s">
        <v>1332</v>
      </c>
      <c r="G218" t="s">
        <v>2758</v>
      </c>
    </row>
    <row r="219" spans="1:8" x14ac:dyDescent="0.25">
      <c r="A219">
        <v>772</v>
      </c>
      <c r="B219">
        <v>61</v>
      </c>
      <c r="C219" t="s">
        <v>894</v>
      </c>
      <c r="D219" t="s">
        <v>1335</v>
      </c>
      <c r="E219" t="s">
        <v>1336</v>
      </c>
      <c r="F219" t="s">
        <v>1063</v>
      </c>
      <c r="G219" t="s">
        <v>4447</v>
      </c>
    </row>
    <row r="220" spans="1:8" x14ac:dyDescent="0.25">
      <c r="A220">
        <v>773</v>
      </c>
      <c r="B220">
        <v>61</v>
      </c>
      <c r="C220" t="s">
        <v>894</v>
      </c>
      <c r="D220" t="s">
        <v>1320</v>
      </c>
      <c r="E220" t="s">
        <v>1337</v>
      </c>
      <c r="F220" t="s">
        <v>1063</v>
      </c>
      <c r="G220" t="s">
        <v>4447</v>
      </c>
    </row>
    <row r="221" spans="1:8" x14ac:dyDescent="0.25">
      <c r="A221">
        <v>778</v>
      </c>
      <c r="B221">
        <v>203</v>
      </c>
      <c r="C221" t="s">
        <v>894</v>
      </c>
      <c r="D221" t="s">
        <v>914</v>
      </c>
      <c r="E221" t="s">
        <v>1338</v>
      </c>
      <c r="F221" t="s">
        <v>1339</v>
      </c>
      <c r="G221" t="s">
        <v>4444</v>
      </c>
    </row>
    <row r="222" spans="1:8" x14ac:dyDescent="0.25">
      <c r="A222">
        <v>779</v>
      </c>
      <c r="B222">
        <v>203</v>
      </c>
      <c r="C222" t="s">
        <v>894</v>
      </c>
      <c r="D222" t="s">
        <v>1340</v>
      </c>
      <c r="E222" t="s">
        <v>1341</v>
      </c>
      <c r="F222" t="s">
        <v>1339</v>
      </c>
      <c r="G222" t="s">
        <v>4442</v>
      </c>
    </row>
    <row r="223" spans="1:8" x14ac:dyDescent="0.25">
      <c r="A223">
        <v>782</v>
      </c>
      <c r="B223">
        <v>24</v>
      </c>
      <c r="C223" t="s">
        <v>894</v>
      </c>
      <c r="D223" t="s">
        <v>1342</v>
      </c>
      <c r="E223" t="s">
        <v>1343</v>
      </c>
      <c r="F223" t="s">
        <v>951</v>
      </c>
      <c r="G223" t="s">
        <v>4448</v>
      </c>
      <c r="H223">
        <v>350</v>
      </c>
    </row>
    <row r="224" spans="1:8" x14ac:dyDescent="0.25">
      <c r="A224">
        <v>795</v>
      </c>
      <c r="B224">
        <v>292</v>
      </c>
      <c r="C224" t="s">
        <v>894</v>
      </c>
      <c r="D224" t="s">
        <v>1344</v>
      </c>
      <c r="E224" t="s">
        <v>1345</v>
      </c>
      <c r="F224" t="s">
        <v>1328</v>
      </c>
      <c r="G224" t="s">
        <v>4443</v>
      </c>
    </row>
    <row r="225" spans="1:8" x14ac:dyDescent="0.25">
      <c r="A225">
        <v>803</v>
      </c>
      <c r="B225">
        <v>207</v>
      </c>
      <c r="C225" t="s">
        <v>894</v>
      </c>
      <c r="D225" t="s">
        <v>895</v>
      </c>
      <c r="E225" t="s">
        <v>1346</v>
      </c>
      <c r="F225" t="s">
        <v>1347</v>
      </c>
      <c r="G225" t="s">
        <v>4448</v>
      </c>
    </row>
    <row r="226" spans="1:8" x14ac:dyDescent="0.25">
      <c r="A226">
        <v>810</v>
      </c>
      <c r="B226">
        <v>40</v>
      </c>
      <c r="C226" t="s">
        <v>894</v>
      </c>
      <c r="D226" t="s">
        <v>1348</v>
      </c>
      <c r="E226" t="s">
        <v>1349</v>
      </c>
      <c r="F226" t="s">
        <v>1350</v>
      </c>
      <c r="G226" t="s">
        <v>4448</v>
      </c>
    </row>
    <row r="227" spans="1:8" x14ac:dyDescent="0.25">
      <c r="A227">
        <v>812</v>
      </c>
      <c r="B227">
        <v>40</v>
      </c>
      <c r="C227" t="s">
        <v>894</v>
      </c>
      <c r="D227" t="s">
        <v>1351</v>
      </c>
      <c r="E227" t="s">
        <v>1352</v>
      </c>
      <c r="F227" t="s">
        <v>1353</v>
      </c>
      <c r="G227" t="s">
        <v>4447</v>
      </c>
    </row>
    <row r="228" spans="1:8" x14ac:dyDescent="0.25">
      <c r="A228">
        <v>815</v>
      </c>
      <c r="B228">
        <v>186</v>
      </c>
      <c r="C228" t="s">
        <v>894</v>
      </c>
      <c r="D228" t="s">
        <v>1354</v>
      </c>
      <c r="E228" t="s">
        <v>1355</v>
      </c>
      <c r="F228" t="s">
        <v>1292</v>
      </c>
      <c r="G228" t="s">
        <v>4457</v>
      </c>
    </row>
    <row r="229" spans="1:8" x14ac:dyDescent="0.25">
      <c r="A229">
        <v>826</v>
      </c>
      <c r="B229">
        <v>61</v>
      </c>
      <c r="C229" t="s">
        <v>894</v>
      </c>
      <c r="D229" t="s">
        <v>1356</v>
      </c>
      <c r="E229" t="s">
        <v>1357</v>
      </c>
      <c r="F229" t="s">
        <v>1063</v>
      </c>
      <c r="G229" t="s">
        <v>4442</v>
      </c>
    </row>
    <row r="230" spans="1:8" x14ac:dyDescent="0.25">
      <c r="A230">
        <v>827</v>
      </c>
      <c r="B230">
        <v>61</v>
      </c>
      <c r="C230" t="s">
        <v>894</v>
      </c>
      <c r="D230" t="s">
        <v>1358</v>
      </c>
      <c r="E230" t="s">
        <v>1359</v>
      </c>
      <c r="F230" t="s">
        <v>1063</v>
      </c>
      <c r="G230" t="s">
        <v>4447</v>
      </c>
    </row>
    <row r="231" spans="1:8" x14ac:dyDescent="0.25">
      <c r="A231">
        <v>831</v>
      </c>
      <c r="B231">
        <v>212</v>
      </c>
      <c r="C231" t="s">
        <v>894</v>
      </c>
      <c r="D231" t="s">
        <v>1360</v>
      </c>
      <c r="E231" t="s">
        <v>1361</v>
      </c>
      <c r="F231" t="s">
        <v>1362</v>
      </c>
      <c r="G231" t="s">
        <v>4442</v>
      </c>
    </row>
    <row r="232" spans="1:8" x14ac:dyDescent="0.25">
      <c r="A232">
        <v>836</v>
      </c>
      <c r="B232">
        <v>11</v>
      </c>
      <c r="C232" t="s">
        <v>894</v>
      </c>
      <c r="D232" t="s">
        <v>1363</v>
      </c>
      <c r="E232" t="s">
        <v>1364</v>
      </c>
      <c r="F232" t="s">
        <v>916</v>
      </c>
      <c r="G232" t="s">
        <v>4442</v>
      </c>
    </row>
    <row r="233" spans="1:8" x14ac:dyDescent="0.25">
      <c r="A233">
        <v>840</v>
      </c>
      <c r="B233">
        <v>16</v>
      </c>
      <c r="C233" t="s">
        <v>894</v>
      </c>
      <c r="D233" t="s">
        <v>1365</v>
      </c>
      <c r="E233" t="s">
        <v>1366</v>
      </c>
      <c r="F233" t="s">
        <v>935</v>
      </c>
      <c r="G233" t="s">
        <v>4447</v>
      </c>
    </row>
    <row r="234" spans="1:8" x14ac:dyDescent="0.25">
      <c r="A234">
        <v>844</v>
      </c>
      <c r="B234">
        <v>21</v>
      </c>
      <c r="C234" t="s">
        <v>894</v>
      </c>
      <c r="D234" t="s">
        <v>1367</v>
      </c>
      <c r="E234" t="s">
        <v>1368</v>
      </c>
      <c r="F234" t="s">
        <v>1306</v>
      </c>
      <c r="G234" t="s">
        <v>4447</v>
      </c>
    </row>
    <row r="235" spans="1:8" x14ac:dyDescent="0.25">
      <c r="A235">
        <v>849</v>
      </c>
      <c r="B235">
        <v>201</v>
      </c>
      <c r="C235" t="s">
        <v>894</v>
      </c>
      <c r="D235" t="s">
        <v>895</v>
      </c>
      <c r="E235" t="s">
        <v>1369</v>
      </c>
      <c r="F235" t="s">
        <v>1332</v>
      </c>
      <c r="G235" t="s">
        <v>4448</v>
      </c>
    </row>
    <row r="236" spans="1:8" x14ac:dyDescent="0.25">
      <c r="A236">
        <v>851</v>
      </c>
      <c r="B236">
        <v>553</v>
      </c>
      <c r="C236" t="s">
        <v>894</v>
      </c>
      <c r="D236" t="s">
        <v>966</v>
      </c>
      <c r="E236" t="s">
        <v>1370</v>
      </c>
      <c r="F236" t="s">
        <v>1240</v>
      </c>
      <c r="G236" t="s">
        <v>2758</v>
      </c>
      <c r="H236">
        <v>1500</v>
      </c>
    </row>
    <row r="237" spans="1:8" x14ac:dyDescent="0.25">
      <c r="A237">
        <v>858</v>
      </c>
      <c r="B237">
        <v>49</v>
      </c>
      <c r="C237" t="s">
        <v>894</v>
      </c>
      <c r="D237" t="s">
        <v>939</v>
      </c>
      <c r="F237" t="s">
        <v>1371</v>
      </c>
      <c r="G237" t="s">
        <v>919</v>
      </c>
    </row>
    <row r="238" spans="1:8" x14ac:dyDescent="0.25">
      <c r="A238">
        <v>860</v>
      </c>
      <c r="B238">
        <v>49</v>
      </c>
      <c r="C238" t="s">
        <v>894</v>
      </c>
      <c r="D238" t="s">
        <v>923</v>
      </c>
      <c r="F238" t="s">
        <v>1371</v>
      </c>
      <c r="G238" t="s">
        <v>4444</v>
      </c>
    </row>
    <row r="239" spans="1:8" x14ac:dyDescent="0.25">
      <c r="A239">
        <v>862</v>
      </c>
      <c r="B239">
        <v>49</v>
      </c>
      <c r="C239" t="s">
        <v>894</v>
      </c>
      <c r="D239" t="s">
        <v>1372</v>
      </c>
      <c r="F239" t="s">
        <v>1371</v>
      </c>
    </row>
    <row r="240" spans="1:8" x14ac:dyDescent="0.25">
      <c r="A240">
        <v>863</v>
      </c>
      <c r="B240">
        <v>49</v>
      </c>
      <c r="C240" t="s">
        <v>894</v>
      </c>
      <c r="D240" t="s">
        <v>1372</v>
      </c>
      <c r="F240" t="s">
        <v>1371</v>
      </c>
      <c r="G240" t="s">
        <v>1084</v>
      </c>
    </row>
    <row r="241" spans="1:7" x14ac:dyDescent="0.25">
      <c r="A241">
        <v>867</v>
      </c>
      <c r="B241">
        <v>28</v>
      </c>
      <c r="C241" t="s">
        <v>894</v>
      </c>
      <c r="D241" t="s">
        <v>1373</v>
      </c>
      <c r="E241" t="s">
        <v>1374</v>
      </c>
      <c r="F241" t="s">
        <v>1375</v>
      </c>
    </row>
    <row r="242" spans="1:7" x14ac:dyDescent="0.25">
      <c r="A242">
        <v>870</v>
      </c>
      <c r="B242">
        <v>103</v>
      </c>
      <c r="C242" t="s">
        <v>898</v>
      </c>
      <c r="D242" t="s">
        <v>1376</v>
      </c>
      <c r="E242" t="s">
        <v>1377</v>
      </c>
      <c r="F242" t="s">
        <v>1151</v>
      </c>
      <c r="G242" t="s">
        <v>4447</v>
      </c>
    </row>
    <row r="243" spans="1:7" x14ac:dyDescent="0.25">
      <c r="A243">
        <v>871</v>
      </c>
      <c r="B243">
        <v>103</v>
      </c>
      <c r="C243" t="s">
        <v>898</v>
      </c>
      <c r="D243" t="s">
        <v>1378</v>
      </c>
      <c r="E243" t="s">
        <v>1379</v>
      </c>
      <c r="F243" t="s">
        <v>1151</v>
      </c>
      <c r="G243" t="s">
        <v>4442</v>
      </c>
    </row>
    <row r="244" spans="1:7" x14ac:dyDescent="0.25">
      <c r="A244">
        <v>873</v>
      </c>
      <c r="B244">
        <v>57</v>
      </c>
      <c r="C244" t="s">
        <v>894</v>
      </c>
      <c r="D244" t="s">
        <v>1380</v>
      </c>
      <c r="E244" t="s">
        <v>1381</v>
      </c>
      <c r="F244" t="s">
        <v>1027</v>
      </c>
      <c r="G244" t="s">
        <v>4447</v>
      </c>
    </row>
    <row r="245" spans="1:7" x14ac:dyDescent="0.25">
      <c r="A245">
        <v>876</v>
      </c>
      <c r="B245">
        <v>59</v>
      </c>
      <c r="C245" t="s">
        <v>894</v>
      </c>
      <c r="D245" t="s">
        <v>1382</v>
      </c>
      <c r="E245" t="s">
        <v>1383</v>
      </c>
      <c r="F245" t="s">
        <v>1384</v>
      </c>
      <c r="G245" t="s">
        <v>4447</v>
      </c>
    </row>
    <row r="246" spans="1:7" x14ac:dyDescent="0.25">
      <c r="A246">
        <v>877</v>
      </c>
      <c r="B246">
        <v>59</v>
      </c>
      <c r="C246" t="s">
        <v>894</v>
      </c>
      <c r="D246" t="s">
        <v>1385</v>
      </c>
      <c r="E246" t="s">
        <v>1386</v>
      </c>
      <c r="F246" t="s">
        <v>1387</v>
      </c>
      <c r="G246" t="s">
        <v>4447</v>
      </c>
    </row>
    <row r="247" spans="1:7" x14ac:dyDescent="0.25">
      <c r="A247">
        <v>878</v>
      </c>
      <c r="B247">
        <v>59</v>
      </c>
      <c r="C247" t="s">
        <v>894</v>
      </c>
      <c r="D247" t="s">
        <v>1388</v>
      </c>
      <c r="E247" t="s">
        <v>1389</v>
      </c>
      <c r="F247" t="s">
        <v>1390</v>
      </c>
    </row>
    <row r="248" spans="1:7" ht="105" x14ac:dyDescent="0.25">
      <c r="A248">
        <v>885</v>
      </c>
      <c r="B248">
        <v>39</v>
      </c>
      <c r="C248" t="s">
        <v>894</v>
      </c>
      <c r="D248" t="s">
        <v>1241</v>
      </c>
      <c r="E248" s="1" t="s">
        <v>1391</v>
      </c>
      <c r="F248" t="s">
        <v>1392</v>
      </c>
      <c r="G248" t="s">
        <v>4442</v>
      </c>
    </row>
    <row r="249" spans="1:7" x14ac:dyDescent="0.25">
      <c r="A249">
        <v>887</v>
      </c>
      <c r="B249">
        <v>215</v>
      </c>
      <c r="C249" t="s">
        <v>894</v>
      </c>
      <c r="D249" t="s">
        <v>914</v>
      </c>
      <c r="E249" t="s">
        <v>1393</v>
      </c>
      <c r="F249" t="s">
        <v>1394</v>
      </c>
      <c r="G249" t="s">
        <v>4444</v>
      </c>
    </row>
    <row r="250" spans="1:7" x14ac:dyDescent="0.25">
      <c r="A250">
        <v>888</v>
      </c>
      <c r="B250">
        <v>215</v>
      </c>
      <c r="C250" t="s">
        <v>894</v>
      </c>
      <c r="D250" t="s">
        <v>1089</v>
      </c>
      <c r="E250" t="s">
        <v>1395</v>
      </c>
      <c r="F250" t="s">
        <v>1394</v>
      </c>
      <c r="G250" t="s">
        <v>4447</v>
      </c>
    </row>
    <row r="251" spans="1:7" x14ac:dyDescent="0.25">
      <c r="A251">
        <v>889</v>
      </c>
      <c r="B251">
        <v>215</v>
      </c>
      <c r="C251" t="s">
        <v>894</v>
      </c>
      <c r="D251" t="s">
        <v>936</v>
      </c>
      <c r="E251" t="s">
        <v>1396</v>
      </c>
      <c r="F251" t="s">
        <v>1394</v>
      </c>
      <c r="G251" t="s">
        <v>4447</v>
      </c>
    </row>
    <row r="252" spans="1:7" x14ac:dyDescent="0.25">
      <c r="A252">
        <v>896</v>
      </c>
      <c r="B252">
        <v>140</v>
      </c>
      <c r="C252" t="s">
        <v>894</v>
      </c>
      <c r="D252" t="s">
        <v>1397</v>
      </c>
      <c r="E252" t="s">
        <v>1398</v>
      </c>
      <c r="F252" t="s">
        <v>1258</v>
      </c>
      <c r="G252" t="s">
        <v>4444</v>
      </c>
    </row>
    <row r="253" spans="1:7" x14ac:dyDescent="0.25">
      <c r="A253">
        <v>897</v>
      </c>
      <c r="B253">
        <v>140</v>
      </c>
      <c r="C253" t="s">
        <v>894</v>
      </c>
      <c r="D253" t="s">
        <v>1399</v>
      </c>
      <c r="E253" t="s">
        <v>1400</v>
      </c>
      <c r="F253" t="s">
        <v>1258</v>
      </c>
      <c r="G253" t="s">
        <v>4447</v>
      </c>
    </row>
    <row r="254" spans="1:7" x14ac:dyDescent="0.25">
      <c r="A254">
        <v>902</v>
      </c>
      <c r="B254">
        <v>216</v>
      </c>
      <c r="C254" t="s">
        <v>894</v>
      </c>
      <c r="D254" t="s">
        <v>917</v>
      </c>
      <c r="E254" t="s">
        <v>1401</v>
      </c>
      <c r="F254" t="s">
        <v>1402</v>
      </c>
      <c r="G254" t="s">
        <v>919</v>
      </c>
    </row>
    <row r="255" spans="1:7" x14ac:dyDescent="0.25">
      <c r="A255">
        <v>903</v>
      </c>
      <c r="B255">
        <v>216</v>
      </c>
      <c r="C255" t="s">
        <v>894</v>
      </c>
      <c r="D255" t="s">
        <v>1403</v>
      </c>
      <c r="E255" t="s">
        <v>1404</v>
      </c>
      <c r="F255" t="s">
        <v>1402</v>
      </c>
      <c r="G255" t="s">
        <v>4447</v>
      </c>
    </row>
    <row r="256" spans="1:7" x14ac:dyDescent="0.25">
      <c r="A256">
        <v>904</v>
      </c>
      <c r="B256">
        <v>216</v>
      </c>
      <c r="C256" t="s">
        <v>894</v>
      </c>
      <c r="D256" t="s">
        <v>963</v>
      </c>
      <c r="E256" t="s">
        <v>1404</v>
      </c>
      <c r="F256" t="s">
        <v>1402</v>
      </c>
      <c r="G256" t="s">
        <v>4447</v>
      </c>
    </row>
    <row r="257" spans="1:7" x14ac:dyDescent="0.25">
      <c r="A257">
        <v>916</v>
      </c>
      <c r="B257">
        <v>8</v>
      </c>
      <c r="C257" t="s">
        <v>894</v>
      </c>
      <c r="D257" t="s">
        <v>1405</v>
      </c>
      <c r="E257" t="s">
        <v>1406</v>
      </c>
      <c r="F257" t="s">
        <v>1407</v>
      </c>
    </row>
    <row r="258" spans="1:7" x14ac:dyDescent="0.25">
      <c r="A258">
        <v>917</v>
      </c>
      <c r="B258">
        <v>64</v>
      </c>
      <c r="C258" t="s">
        <v>894</v>
      </c>
      <c r="D258" t="s">
        <v>1408</v>
      </c>
      <c r="E258" t="s">
        <v>1409</v>
      </c>
      <c r="F258" t="s">
        <v>1410</v>
      </c>
      <c r="G258" t="s">
        <v>4442</v>
      </c>
    </row>
    <row r="259" spans="1:7" x14ac:dyDescent="0.25">
      <c r="A259">
        <v>918</v>
      </c>
      <c r="B259">
        <v>64</v>
      </c>
      <c r="C259" t="s">
        <v>894</v>
      </c>
      <c r="D259" t="s">
        <v>1405</v>
      </c>
      <c r="E259" t="s">
        <v>1411</v>
      </c>
      <c r="F259" t="s">
        <v>1412</v>
      </c>
    </row>
    <row r="260" spans="1:7" x14ac:dyDescent="0.25">
      <c r="A260">
        <v>933</v>
      </c>
      <c r="B260">
        <v>219</v>
      </c>
      <c r="C260" t="s">
        <v>894</v>
      </c>
      <c r="D260" t="s">
        <v>936</v>
      </c>
      <c r="E260" t="s">
        <v>1413</v>
      </c>
      <c r="F260" t="s">
        <v>1414</v>
      </c>
      <c r="G260" t="s">
        <v>4447</v>
      </c>
    </row>
    <row r="261" spans="1:7" x14ac:dyDescent="0.25">
      <c r="A261">
        <v>934</v>
      </c>
      <c r="B261">
        <v>219</v>
      </c>
      <c r="C261" t="s">
        <v>894</v>
      </c>
      <c r="D261" t="s">
        <v>1089</v>
      </c>
      <c r="E261" t="s">
        <v>1415</v>
      </c>
      <c r="F261" t="s">
        <v>1414</v>
      </c>
      <c r="G261" t="s">
        <v>4447</v>
      </c>
    </row>
    <row r="262" spans="1:7" x14ac:dyDescent="0.25">
      <c r="A262">
        <v>935</v>
      </c>
      <c r="B262">
        <v>219</v>
      </c>
      <c r="C262" t="s">
        <v>894</v>
      </c>
      <c r="D262" t="s">
        <v>914</v>
      </c>
      <c r="E262" t="s">
        <v>1416</v>
      </c>
      <c r="F262" t="s">
        <v>1414</v>
      </c>
      <c r="G262" t="s">
        <v>4444</v>
      </c>
    </row>
    <row r="263" spans="1:7" x14ac:dyDescent="0.25">
      <c r="A263">
        <v>936</v>
      </c>
      <c r="B263">
        <v>219</v>
      </c>
      <c r="C263" t="s">
        <v>894</v>
      </c>
      <c r="D263" t="s">
        <v>1417</v>
      </c>
      <c r="E263" t="s">
        <v>1105</v>
      </c>
      <c r="F263" t="s">
        <v>1414</v>
      </c>
      <c r="G263" t="s">
        <v>4447</v>
      </c>
    </row>
    <row r="264" spans="1:7" x14ac:dyDescent="0.25">
      <c r="A264">
        <v>937</v>
      </c>
      <c r="B264">
        <v>220</v>
      </c>
      <c r="C264" t="s">
        <v>894</v>
      </c>
      <c r="D264" t="s">
        <v>1418</v>
      </c>
      <c r="E264" t="s">
        <v>1419</v>
      </c>
      <c r="F264" t="s">
        <v>1420</v>
      </c>
      <c r="G264" t="s">
        <v>4444</v>
      </c>
    </row>
    <row r="265" spans="1:7" x14ac:dyDescent="0.25">
      <c r="A265">
        <v>938</v>
      </c>
      <c r="B265">
        <v>221</v>
      </c>
      <c r="C265" t="s">
        <v>894</v>
      </c>
      <c r="D265" t="s">
        <v>914</v>
      </c>
      <c r="E265" t="s">
        <v>1087</v>
      </c>
      <c r="F265" t="s">
        <v>1421</v>
      </c>
      <c r="G265" t="s">
        <v>4444</v>
      </c>
    </row>
    <row r="266" spans="1:7" x14ac:dyDescent="0.25">
      <c r="A266">
        <v>947</v>
      </c>
      <c r="B266">
        <v>194</v>
      </c>
      <c r="C266" t="s">
        <v>894</v>
      </c>
      <c r="D266" t="s">
        <v>1422</v>
      </c>
      <c r="F266" t="s">
        <v>1423</v>
      </c>
      <c r="G266" t="s">
        <v>4442</v>
      </c>
    </row>
    <row r="267" spans="1:7" x14ac:dyDescent="0.25">
      <c r="A267">
        <v>951</v>
      </c>
      <c r="B267">
        <v>227</v>
      </c>
      <c r="C267" t="s">
        <v>894</v>
      </c>
      <c r="D267" t="s">
        <v>939</v>
      </c>
      <c r="E267" t="s">
        <v>1023</v>
      </c>
      <c r="F267" t="s">
        <v>1424</v>
      </c>
    </row>
    <row r="268" spans="1:7" x14ac:dyDescent="0.25">
      <c r="A268">
        <v>952</v>
      </c>
      <c r="B268">
        <v>228</v>
      </c>
      <c r="C268" t="s">
        <v>894</v>
      </c>
      <c r="D268" t="s">
        <v>931</v>
      </c>
      <c r="E268" t="s">
        <v>1425</v>
      </c>
      <c r="F268" t="s">
        <v>1426</v>
      </c>
    </row>
    <row r="269" spans="1:7" x14ac:dyDescent="0.25">
      <c r="A269">
        <v>953</v>
      </c>
      <c r="B269">
        <v>228</v>
      </c>
      <c r="C269" t="s">
        <v>894</v>
      </c>
      <c r="D269" t="s">
        <v>1427</v>
      </c>
      <c r="E269" t="s">
        <v>1428</v>
      </c>
      <c r="F269" t="s">
        <v>1426</v>
      </c>
      <c r="G269" t="s">
        <v>4442</v>
      </c>
    </row>
    <row r="270" spans="1:7" x14ac:dyDescent="0.25">
      <c r="A270">
        <v>955</v>
      </c>
      <c r="B270">
        <v>228</v>
      </c>
      <c r="C270" t="s">
        <v>894</v>
      </c>
      <c r="D270" t="s">
        <v>939</v>
      </c>
      <c r="E270" t="s">
        <v>1023</v>
      </c>
      <c r="F270" t="s">
        <v>1426</v>
      </c>
      <c r="G270" t="s">
        <v>919</v>
      </c>
    </row>
    <row r="271" spans="1:7" x14ac:dyDescent="0.25">
      <c r="A271">
        <v>956</v>
      </c>
      <c r="B271">
        <v>228</v>
      </c>
      <c r="C271" t="s">
        <v>894</v>
      </c>
      <c r="D271" t="s">
        <v>1072</v>
      </c>
      <c r="E271" t="s">
        <v>1429</v>
      </c>
      <c r="F271" t="s">
        <v>1426</v>
      </c>
      <c r="G271" t="s">
        <v>4447</v>
      </c>
    </row>
    <row r="272" spans="1:7" x14ac:dyDescent="0.25">
      <c r="A272">
        <v>960</v>
      </c>
      <c r="B272">
        <v>228</v>
      </c>
      <c r="C272" t="s">
        <v>894</v>
      </c>
      <c r="D272" t="s">
        <v>1430</v>
      </c>
      <c r="F272" t="s">
        <v>1426</v>
      </c>
      <c r="G272" t="s">
        <v>4448</v>
      </c>
    </row>
    <row r="273" spans="1:7" x14ac:dyDescent="0.25">
      <c r="A273">
        <v>962</v>
      </c>
      <c r="B273">
        <v>197</v>
      </c>
      <c r="C273" t="s">
        <v>894</v>
      </c>
      <c r="D273" t="s">
        <v>902</v>
      </c>
      <c r="F273" t="s">
        <v>1315</v>
      </c>
      <c r="G273" t="s">
        <v>4447</v>
      </c>
    </row>
    <row r="274" spans="1:7" x14ac:dyDescent="0.25">
      <c r="A274">
        <v>963</v>
      </c>
      <c r="B274">
        <v>229</v>
      </c>
      <c r="C274" t="s">
        <v>894</v>
      </c>
      <c r="D274" t="s">
        <v>895</v>
      </c>
      <c r="F274" t="s">
        <v>1431</v>
      </c>
      <c r="G274" t="s">
        <v>4448</v>
      </c>
    </row>
    <row r="275" spans="1:7" x14ac:dyDescent="0.25">
      <c r="A275">
        <v>964</v>
      </c>
      <c r="B275">
        <v>83</v>
      </c>
      <c r="C275" t="s">
        <v>898</v>
      </c>
      <c r="D275" t="s">
        <v>1432</v>
      </c>
      <c r="E275" t="s">
        <v>1433</v>
      </c>
      <c r="F275" t="s">
        <v>1434</v>
      </c>
      <c r="G275" t="s">
        <v>4447</v>
      </c>
    </row>
    <row r="276" spans="1:7" x14ac:dyDescent="0.25">
      <c r="A276">
        <v>977</v>
      </c>
      <c r="B276">
        <v>42</v>
      </c>
      <c r="C276" t="s">
        <v>894</v>
      </c>
      <c r="D276" t="s">
        <v>1130</v>
      </c>
      <c r="E276" t="s">
        <v>1435</v>
      </c>
      <c r="F276" t="s">
        <v>1136</v>
      </c>
      <c r="G276" t="s">
        <v>4447</v>
      </c>
    </row>
    <row r="277" spans="1:7" x14ac:dyDescent="0.25">
      <c r="A277">
        <v>990</v>
      </c>
      <c r="B277">
        <v>234</v>
      </c>
      <c r="C277" t="s">
        <v>894</v>
      </c>
      <c r="D277" t="s">
        <v>1436</v>
      </c>
      <c r="E277" t="s">
        <v>1437</v>
      </c>
      <c r="F277" t="s">
        <v>1438</v>
      </c>
      <c r="G277" t="s">
        <v>4442</v>
      </c>
    </row>
    <row r="278" spans="1:7" x14ac:dyDescent="0.25">
      <c r="A278">
        <v>992</v>
      </c>
      <c r="B278">
        <v>234</v>
      </c>
      <c r="C278" t="s">
        <v>894</v>
      </c>
      <c r="D278" t="s">
        <v>1072</v>
      </c>
      <c r="E278" t="s">
        <v>1439</v>
      </c>
      <c r="F278" t="s">
        <v>1438</v>
      </c>
      <c r="G278" t="s">
        <v>4447</v>
      </c>
    </row>
    <row r="279" spans="1:7" x14ac:dyDescent="0.25">
      <c r="A279">
        <v>993</v>
      </c>
      <c r="B279">
        <v>234</v>
      </c>
      <c r="C279" t="s">
        <v>894</v>
      </c>
      <c r="D279" t="s">
        <v>1440</v>
      </c>
      <c r="E279" t="s">
        <v>1441</v>
      </c>
      <c r="F279" t="s">
        <v>1438</v>
      </c>
      <c r="G279" t="s">
        <v>4447</v>
      </c>
    </row>
    <row r="280" spans="1:7" x14ac:dyDescent="0.25">
      <c r="A280">
        <v>999</v>
      </c>
      <c r="B280">
        <v>377</v>
      </c>
      <c r="C280" t="s">
        <v>894</v>
      </c>
      <c r="D280" t="s">
        <v>1442</v>
      </c>
      <c r="E280" t="s">
        <v>1443</v>
      </c>
      <c r="F280" t="s">
        <v>1444</v>
      </c>
      <c r="G280" t="s">
        <v>4442</v>
      </c>
    </row>
    <row r="281" spans="1:7" x14ac:dyDescent="0.25">
      <c r="A281">
        <v>1000</v>
      </c>
      <c r="B281">
        <v>377</v>
      </c>
      <c r="C281" t="s">
        <v>894</v>
      </c>
      <c r="D281" t="s">
        <v>923</v>
      </c>
      <c r="E281" t="s">
        <v>1445</v>
      </c>
      <c r="F281" t="s">
        <v>1444</v>
      </c>
      <c r="G281" t="s">
        <v>4444</v>
      </c>
    </row>
    <row r="282" spans="1:7" x14ac:dyDescent="0.25">
      <c r="A282">
        <v>1001</v>
      </c>
      <c r="B282">
        <v>377</v>
      </c>
      <c r="C282" t="s">
        <v>894</v>
      </c>
      <c r="D282" t="s">
        <v>895</v>
      </c>
      <c r="E282" t="s">
        <v>1311</v>
      </c>
      <c r="F282" t="s">
        <v>1446</v>
      </c>
      <c r="G282" t="s">
        <v>4448</v>
      </c>
    </row>
    <row r="283" spans="1:7" x14ac:dyDescent="0.25">
      <c r="A283">
        <v>1002</v>
      </c>
      <c r="B283">
        <v>377</v>
      </c>
      <c r="C283" t="s">
        <v>894</v>
      </c>
      <c r="D283" t="s">
        <v>939</v>
      </c>
      <c r="E283" t="s">
        <v>1447</v>
      </c>
      <c r="F283" t="s">
        <v>1444</v>
      </c>
      <c r="G283" t="s">
        <v>919</v>
      </c>
    </row>
    <row r="284" spans="1:7" x14ac:dyDescent="0.25">
      <c r="A284">
        <v>1007</v>
      </c>
      <c r="B284">
        <v>238</v>
      </c>
      <c r="C284" t="s">
        <v>894</v>
      </c>
      <c r="D284" t="s">
        <v>1448</v>
      </c>
      <c r="E284" t="s">
        <v>1449</v>
      </c>
      <c r="F284" t="s">
        <v>1450</v>
      </c>
      <c r="G284" t="s">
        <v>4442</v>
      </c>
    </row>
    <row r="285" spans="1:7" x14ac:dyDescent="0.25">
      <c r="A285">
        <v>1008</v>
      </c>
      <c r="B285">
        <v>238</v>
      </c>
      <c r="C285" t="s">
        <v>894</v>
      </c>
      <c r="D285" t="s">
        <v>963</v>
      </c>
      <c r="E285" t="s">
        <v>1451</v>
      </c>
      <c r="F285" t="s">
        <v>1450</v>
      </c>
      <c r="G285" t="s">
        <v>4447</v>
      </c>
    </row>
    <row r="286" spans="1:7" x14ac:dyDescent="0.25">
      <c r="A286">
        <v>1009</v>
      </c>
      <c r="B286">
        <v>238</v>
      </c>
      <c r="C286" t="s">
        <v>894</v>
      </c>
      <c r="D286" t="s">
        <v>1452</v>
      </c>
      <c r="E286" t="s">
        <v>1453</v>
      </c>
      <c r="F286" t="s">
        <v>1450</v>
      </c>
      <c r="G286" t="s">
        <v>4447</v>
      </c>
    </row>
    <row r="287" spans="1:7" x14ac:dyDescent="0.25">
      <c r="A287">
        <v>1010</v>
      </c>
      <c r="B287">
        <v>238</v>
      </c>
      <c r="C287" t="s">
        <v>894</v>
      </c>
      <c r="D287" t="s">
        <v>923</v>
      </c>
      <c r="E287" t="s">
        <v>1454</v>
      </c>
      <c r="F287" t="s">
        <v>1450</v>
      </c>
      <c r="G287" t="s">
        <v>4444</v>
      </c>
    </row>
    <row r="288" spans="1:7" x14ac:dyDescent="0.25">
      <c r="A288">
        <v>1011</v>
      </c>
      <c r="B288">
        <v>238</v>
      </c>
      <c r="C288" t="s">
        <v>894</v>
      </c>
      <c r="D288" t="s">
        <v>1455</v>
      </c>
      <c r="E288" t="s">
        <v>1456</v>
      </c>
      <c r="F288" t="s">
        <v>1450</v>
      </c>
      <c r="G288" t="s">
        <v>1457</v>
      </c>
    </row>
    <row r="289" spans="1:8" x14ac:dyDescent="0.25">
      <c r="A289">
        <v>1013</v>
      </c>
      <c r="B289">
        <v>238</v>
      </c>
      <c r="C289" t="s">
        <v>894</v>
      </c>
      <c r="D289" t="s">
        <v>1458</v>
      </c>
      <c r="E289" t="s">
        <v>1459</v>
      </c>
      <c r="F289" t="s">
        <v>1450</v>
      </c>
      <c r="G289" t="s">
        <v>4448</v>
      </c>
    </row>
    <row r="290" spans="1:8" x14ac:dyDescent="0.25">
      <c r="A290">
        <v>1014</v>
      </c>
      <c r="B290">
        <v>128</v>
      </c>
      <c r="C290" t="s">
        <v>894</v>
      </c>
      <c r="D290" t="s">
        <v>1460</v>
      </c>
      <c r="E290" t="s">
        <v>1461</v>
      </c>
      <c r="F290" t="s">
        <v>1462</v>
      </c>
      <c r="G290" t="s">
        <v>4448</v>
      </c>
    </row>
    <row r="291" spans="1:8" x14ac:dyDescent="0.25">
      <c r="A291">
        <v>1015</v>
      </c>
      <c r="B291">
        <v>128</v>
      </c>
      <c r="C291" t="s">
        <v>894</v>
      </c>
      <c r="D291" t="s">
        <v>1440</v>
      </c>
      <c r="E291" t="s">
        <v>1463</v>
      </c>
      <c r="F291" t="s">
        <v>1235</v>
      </c>
      <c r="G291" t="s">
        <v>4447</v>
      </c>
    </row>
    <row r="292" spans="1:8" x14ac:dyDescent="0.25">
      <c r="A292">
        <v>1016</v>
      </c>
      <c r="B292">
        <v>90</v>
      </c>
      <c r="C292" t="s">
        <v>894</v>
      </c>
      <c r="D292" t="s">
        <v>1464</v>
      </c>
      <c r="F292" t="s">
        <v>1108</v>
      </c>
      <c r="G292" t="s">
        <v>4447</v>
      </c>
    </row>
    <row r="293" spans="1:8" x14ac:dyDescent="0.25">
      <c r="A293">
        <v>1017</v>
      </c>
      <c r="B293">
        <v>90</v>
      </c>
      <c r="C293" t="s">
        <v>894</v>
      </c>
      <c r="D293" t="s">
        <v>939</v>
      </c>
      <c r="F293" t="s">
        <v>1108</v>
      </c>
      <c r="G293" t="s">
        <v>919</v>
      </c>
    </row>
    <row r="294" spans="1:8" x14ac:dyDescent="0.25">
      <c r="A294">
        <v>1018</v>
      </c>
      <c r="B294">
        <v>90</v>
      </c>
      <c r="C294" t="s">
        <v>894</v>
      </c>
      <c r="D294" t="s">
        <v>1465</v>
      </c>
      <c r="F294" t="s">
        <v>1108</v>
      </c>
      <c r="G294" t="s">
        <v>4448</v>
      </c>
    </row>
    <row r="295" spans="1:8" x14ac:dyDescent="0.25">
      <c r="A295">
        <v>1099</v>
      </c>
      <c r="B295">
        <v>39</v>
      </c>
      <c r="C295" t="s">
        <v>894</v>
      </c>
      <c r="D295" t="s">
        <v>966</v>
      </c>
      <c r="E295" t="s">
        <v>1466</v>
      </c>
      <c r="F295" t="s">
        <v>1467</v>
      </c>
      <c r="G295" t="s">
        <v>2758</v>
      </c>
      <c r="H295">
        <v>1250</v>
      </c>
    </row>
    <row r="296" spans="1:8" x14ac:dyDescent="0.25">
      <c r="A296">
        <v>1118</v>
      </c>
      <c r="B296">
        <v>91</v>
      </c>
      <c r="C296" t="s">
        <v>894</v>
      </c>
      <c r="D296" t="s">
        <v>895</v>
      </c>
      <c r="F296" t="s">
        <v>1114</v>
      </c>
      <c r="G296" t="s">
        <v>4448</v>
      </c>
    </row>
    <row r="297" spans="1:8" x14ac:dyDescent="0.25">
      <c r="A297">
        <v>1119</v>
      </c>
      <c r="B297">
        <v>91</v>
      </c>
      <c r="C297" t="s">
        <v>894</v>
      </c>
      <c r="D297" t="s">
        <v>1468</v>
      </c>
      <c r="F297" t="s">
        <v>1114</v>
      </c>
      <c r="G297" t="s">
        <v>1262</v>
      </c>
    </row>
    <row r="298" spans="1:8" x14ac:dyDescent="0.25">
      <c r="A298">
        <v>1120</v>
      </c>
      <c r="B298">
        <v>91</v>
      </c>
      <c r="C298" t="s">
        <v>894</v>
      </c>
      <c r="D298" t="s">
        <v>1469</v>
      </c>
      <c r="F298" t="s">
        <v>1114</v>
      </c>
      <c r="G298" t="s">
        <v>4447</v>
      </c>
    </row>
    <row r="299" spans="1:8" x14ac:dyDescent="0.25">
      <c r="A299">
        <v>1123</v>
      </c>
      <c r="B299">
        <v>50</v>
      </c>
      <c r="C299" t="s">
        <v>894</v>
      </c>
      <c r="D299" t="s">
        <v>939</v>
      </c>
      <c r="E299" t="s">
        <v>1023</v>
      </c>
      <c r="F299" t="s">
        <v>1470</v>
      </c>
      <c r="G299" t="s">
        <v>919</v>
      </c>
    </row>
    <row r="300" spans="1:8" x14ac:dyDescent="0.25">
      <c r="A300">
        <v>1124</v>
      </c>
      <c r="B300">
        <v>48</v>
      </c>
      <c r="C300" t="s">
        <v>894</v>
      </c>
      <c r="D300" t="s">
        <v>914</v>
      </c>
      <c r="E300" t="s">
        <v>1471</v>
      </c>
      <c r="F300" t="s">
        <v>1005</v>
      </c>
      <c r="G300" t="s">
        <v>4444</v>
      </c>
    </row>
    <row r="301" spans="1:8" x14ac:dyDescent="0.25">
      <c r="A301">
        <v>1125</v>
      </c>
      <c r="B301">
        <v>48</v>
      </c>
      <c r="C301" t="s">
        <v>894</v>
      </c>
      <c r="D301" t="s">
        <v>895</v>
      </c>
      <c r="E301" t="s">
        <v>1472</v>
      </c>
      <c r="F301" t="s">
        <v>1005</v>
      </c>
      <c r="G301" t="s">
        <v>4448</v>
      </c>
    </row>
    <row r="302" spans="1:8" x14ac:dyDescent="0.25">
      <c r="A302">
        <v>1128</v>
      </c>
      <c r="B302">
        <v>296</v>
      </c>
      <c r="C302" t="s">
        <v>894</v>
      </c>
      <c r="D302" t="s">
        <v>914</v>
      </c>
      <c r="E302" t="s">
        <v>1473</v>
      </c>
      <c r="F302" t="s">
        <v>1474</v>
      </c>
      <c r="G302" t="s">
        <v>4444</v>
      </c>
    </row>
    <row r="303" spans="1:8" x14ac:dyDescent="0.25">
      <c r="A303">
        <v>1134</v>
      </c>
      <c r="B303">
        <v>300</v>
      </c>
      <c r="C303" t="s">
        <v>894</v>
      </c>
      <c r="D303" t="s">
        <v>923</v>
      </c>
      <c r="E303" t="s">
        <v>1475</v>
      </c>
      <c r="F303" t="s">
        <v>1476</v>
      </c>
      <c r="G303" t="s">
        <v>4444</v>
      </c>
    </row>
    <row r="304" spans="1:8" x14ac:dyDescent="0.25">
      <c r="A304">
        <v>1136</v>
      </c>
      <c r="B304">
        <v>300</v>
      </c>
      <c r="C304" t="s">
        <v>894</v>
      </c>
      <c r="D304" t="s">
        <v>1477</v>
      </c>
      <c r="E304" t="s">
        <v>1478</v>
      </c>
      <c r="F304" t="s">
        <v>1476</v>
      </c>
      <c r="G304" t="s">
        <v>4447</v>
      </c>
    </row>
    <row r="305" spans="1:8" x14ac:dyDescent="0.25">
      <c r="A305">
        <v>1161</v>
      </c>
      <c r="B305">
        <v>31</v>
      </c>
      <c r="C305" t="s">
        <v>898</v>
      </c>
      <c r="D305" t="s">
        <v>1479</v>
      </c>
      <c r="E305" t="s">
        <v>1480</v>
      </c>
      <c r="F305" t="s">
        <v>1481</v>
      </c>
      <c r="G305" t="s">
        <v>2758</v>
      </c>
      <c r="H305">
        <v>1250</v>
      </c>
    </row>
    <row r="306" spans="1:8" x14ac:dyDescent="0.25">
      <c r="A306">
        <v>1162</v>
      </c>
      <c r="B306">
        <v>31</v>
      </c>
      <c r="C306" t="s">
        <v>898</v>
      </c>
      <c r="D306" t="s">
        <v>1482</v>
      </c>
      <c r="E306" t="s">
        <v>1483</v>
      </c>
      <c r="F306" t="s">
        <v>1484</v>
      </c>
      <c r="G306" t="s">
        <v>4442</v>
      </c>
    </row>
    <row r="307" spans="1:8" x14ac:dyDescent="0.25">
      <c r="A307">
        <v>1164</v>
      </c>
      <c r="B307">
        <v>31</v>
      </c>
      <c r="C307" t="s">
        <v>898</v>
      </c>
      <c r="D307" t="s">
        <v>1485</v>
      </c>
      <c r="E307" t="s">
        <v>1486</v>
      </c>
      <c r="F307" t="s">
        <v>1481</v>
      </c>
      <c r="G307" t="s">
        <v>4448</v>
      </c>
      <c r="H307">
        <v>3000</v>
      </c>
    </row>
    <row r="308" spans="1:8" x14ac:dyDescent="0.25">
      <c r="A308">
        <v>1165</v>
      </c>
      <c r="B308">
        <v>643</v>
      </c>
      <c r="C308" t="s">
        <v>1188</v>
      </c>
      <c r="D308" t="s">
        <v>1487</v>
      </c>
      <c r="E308" t="s">
        <v>1488</v>
      </c>
      <c r="F308" t="s">
        <v>1191</v>
      </c>
      <c r="G308" t="s">
        <v>4447</v>
      </c>
    </row>
    <row r="309" spans="1:8" x14ac:dyDescent="0.25">
      <c r="A309">
        <v>1166</v>
      </c>
      <c r="B309">
        <v>498</v>
      </c>
      <c r="C309" t="s">
        <v>1188</v>
      </c>
      <c r="D309" t="s">
        <v>1489</v>
      </c>
      <c r="E309" t="s">
        <v>1490</v>
      </c>
      <c r="F309" t="s">
        <v>1194</v>
      </c>
      <c r="G309" t="s">
        <v>4458</v>
      </c>
    </row>
    <row r="310" spans="1:8" x14ac:dyDescent="0.25">
      <c r="A310">
        <v>1171</v>
      </c>
      <c r="B310">
        <v>52</v>
      </c>
      <c r="C310" t="s">
        <v>894</v>
      </c>
      <c r="D310" t="s">
        <v>1491</v>
      </c>
      <c r="E310" t="s">
        <v>1492</v>
      </c>
      <c r="F310" t="s">
        <v>995</v>
      </c>
      <c r="G310" t="s">
        <v>919</v>
      </c>
      <c r="H310">
        <v>2500</v>
      </c>
    </row>
    <row r="311" spans="1:8" x14ac:dyDescent="0.25">
      <c r="A311">
        <v>1177</v>
      </c>
      <c r="B311">
        <v>98</v>
      </c>
      <c r="C311" t="s">
        <v>894</v>
      </c>
      <c r="D311" t="s">
        <v>1448</v>
      </c>
      <c r="E311" t="s">
        <v>1493</v>
      </c>
      <c r="F311" t="s">
        <v>1494</v>
      </c>
      <c r="G311" t="s">
        <v>4442</v>
      </c>
    </row>
    <row r="312" spans="1:8" x14ac:dyDescent="0.25">
      <c r="A312">
        <v>1178</v>
      </c>
      <c r="B312">
        <v>98</v>
      </c>
      <c r="C312" t="s">
        <v>894</v>
      </c>
      <c r="D312" t="s">
        <v>1084</v>
      </c>
      <c r="E312" t="s">
        <v>1495</v>
      </c>
      <c r="F312" t="s">
        <v>1494</v>
      </c>
      <c r="G312" t="s">
        <v>4442</v>
      </c>
    </row>
    <row r="313" spans="1:8" x14ac:dyDescent="0.25">
      <c r="A313">
        <v>1180</v>
      </c>
      <c r="B313">
        <v>98</v>
      </c>
      <c r="C313" t="s">
        <v>894</v>
      </c>
      <c r="D313" t="s">
        <v>895</v>
      </c>
      <c r="E313" t="s">
        <v>1496</v>
      </c>
      <c r="F313" t="s">
        <v>1497</v>
      </c>
      <c r="G313" t="s">
        <v>4448</v>
      </c>
    </row>
    <row r="314" spans="1:8" x14ac:dyDescent="0.25">
      <c r="A314">
        <v>1186</v>
      </c>
      <c r="B314">
        <v>342</v>
      </c>
      <c r="C314" t="s">
        <v>894</v>
      </c>
      <c r="D314" t="s">
        <v>960</v>
      </c>
      <c r="E314" t="s">
        <v>1498</v>
      </c>
      <c r="F314" t="s">
        <v>1499</v>
      </c>
    </row>
    <row r="315" spans="1:8" x14ac:dyDescent="0.25">
      <c r="A315">
        <v>1189</v>
      </c>
      <c r="B315">
        <v>16</v>
      </c>
      <c r="C315" t="s">
        <v>894</v>
      </c>
      <c r="D315" t="s">
        <v>1500</v>
      </c>
      <c r="E315" t="s">
        <v>1501</v>
      </c>
      <c r="F315" t="s">
        <v>941</v>
      </c>
      <c r="G315" t="s">
        <v>4458</v>
      </c>
    </row>
    <row r="316" spans="1:8" x14ac:dyDescent="0.25">
      <c r="A316">
        <v>1190</v>
      </c>
      <c r="B316">
        <v>21</v>
      </c>
      <c r="C316" t="s">
        <v>894</v>
      </c>
      <c r="D316" t="s">
        <v>1502</v>
      </c>
      <c r="E316" t="s">
        <v>1503</v>
      </c>
      <c r="F316" t="s">
        <v>1306</v>
      </c>
      <c r="G316" t="s">
        <v>919</v>
      </c>
    </row>
    <row r="317" spans="1:8" x14ac:dyDescent="0.25">
      <c r="A317">
        <v>1200</v>
      </c>
      <c r="B317">
        <v>306</v>
      </c>
      <c r="C317" t="s">
        <v>894</v>
      </c>
      <c r="D317" t="s">
        <v>895</v>
      </c>
      <c r="F317" t="s">
        <v>1504</v>
      </c>
    </row>
    <row r="318" spans="1:8" x14ac:dyDescent="0.25">
      <c r="A318">
        <v>1208</v>
      </c>
      <c r="B318">
        <v>76</v>
      </c>
      <c r="C318" t="s">
        <v>894</v>
      </c>
      <c r="D318" t="s">
        <v>1505</v>
      </c>
      <c r="E318" t="s">
        <v>1506</v>
      </c>
      <c r="F318" t="s">
        <v>1507</v>
      </c>
      <c r="G318" t="s">
        <v>4442</v>
      </c>
    </row>
    <row r="319" spans="1:8" x14ac:dyDescent="0.25">
      <c r="A319">
        <v>1209</v>
      </c>
      <c r="B319">
        <v>312</v>
      </c>
      <c r="C319" t="s">
        <v>894</v>
      </c>
      <c r="D319" t="s">
        <v>895</v>
      </c>
      <c r="E319" t="s">
        <v>1508</v>
      </c>
      <c r="F319" t="s">
        <v>1509</v>
      </c>
      <c r="G319" t="s">
        <v>4448</v>
      </c>
    </row>
    <row r="320" spans="1:8" x14ac:dyDescent="0.25">
      <c r="A320">
        <v>1235</v>
      </c>
      <c r="B320">
        <v>317</v>
      </c>
      <c r="C320" t="s">
        <v>894</v>
      </c>
      <c r="D320" t="s">
        <v>939</v>
      </c>
      <c r="F320" t="s">
        <v>1510</v>
      </c>
      <c r="G320" t="s">
        <v>919</v>
      </c>
    </row>
    <row r="321" spans="1:8" x14ac:dyDescent="0.25">
      <c r="A321">
        <v>1236</v>
      </c>
      <c r="B321">
        <v>317</v>
      </c>
      <c r="C321" t="s">
        <v>894</v>
      </c>
      <c r="D321" t="s">
        <v>1511</v>
      </c>
      <c r="F321" t="s">
        <v>1510</v>
      </c>
      <c r="G321" t="s">
        <v>4447</v>
      </c>
    </row>
    <row r="322" spans="1:8" x14ac:dyDescent="0.25">
      <c r="A322">
        <v>1237</v>
      </c>
      <c r="B322">
        <v>317</v>
      </c>
      <c r="C322" t="s">
        <v>894</v>
      </c>
      <c r="D322" t="s">
        <v>923</v>
      </c>
      <c r="F322" t="s">
        <v>1510</v>
      </c>
      <c r="G322" t="s">
        <v>4444</v>
      </c>
    </row>
    <row r="323" spans="1:8" x14ac:dyDescent="0.25">
      <c r="A323">
        <v>1238</v>
      </c>
      <c r="B323">
        <v>317</v>
      </c>
      <c r="C323" t="s">
        <v>894</v>
      </c>
      <c r="D323" t="s">
        <v>1104</v>
      </c>
      <c r="F323" t="s">
        <v>1510</v>
      </c>
      <c r="G323" t="s">
        <v>4447</v>
      </c>
    </row>
    <row r="324" spans="1:8" x14ac:dyDescent="0.25">
      <c r="A324">
        <v>1239</v>
      </c>
      <c r="B324">
        <v>317</v>
      </c>
      <c r="C324" t="s">
        <v>894</v>
      </c>
      <c r="D324" t="s">
        <v>1512</v>
      </c>
      <c r="F324" t="s">
        <v>1510</v>
      </c>
      <c r="G324" t="s">
        <v>4447</v>
      </c>
    </row>
    <row r="325" spans="1:8" x14ac:dyDescent="0.25">
      <c r="A325">
        <v>1240</v>
      </c>
      <c r="B325">
        <v>317</v>
      </c>
      <c r="C325" t="s">
        <v>894</v>
      </c>
      <c r="D325" t="s">
        <v>963</v>
      </c>
      <c r="E325" t="s">
        <v>1513</v>
      </c>
      <c r="F325" t="s">
        <v>1510</v>
      </c>
      <c r="G325" t="s">
        <v>4447</v>
      </c>
    </row>
    <row r="326" spans="1:8" x14ac:dyDescent="0.25">
      <c r="A326">
        <v>1247</v>
      </c>
      <c r="B326">
        <v>140</v>
      </c>
      <c r="C326" t="s">
        <v>894</v>
      </c>
      <c r="D326" t="s">
        <v>939</v>
      </c>
      <c r="E326" t="s">
        <v>1514</v>
      </c>
      <c r="F326" t="s">
        <v>1515</v>
      </c>
      <c r="G326" t="s">
        <v>919</v>
      </c>
    </row>
    <row r="327" spans="1:8" x14ac:dyDescent="0.25">
      <c r="A327">
        <v>1249</v>
      </c>
      <c r="B327">
        <v>29</v>
      </c>
      <c r="C327" t="s">
        <v>894</v>
      </c>
      <c r="D327" t="s">
        <v>966</v>
      </c>
      <c r="E327" t="s">
        <v>1516</v>
      </c>
      <c r="F327" t="s">
        <v>1517</v>
      </c>
      <c r="G327" t="s">
        <v>2758</v>
      </c>
      <c r="H327">
        <v>1250</v>
      </c>
    </row>
    <row r="328" spans="1:8" x14ac:dyDescent="0.25">
      <c r="A328">
        <v>1250</v>
      </c>
      <c r="B328">
        <v>28</v>
      </c>
      <c r="C328" t="s">
        <v>894</v>
      </c>
      <c r="D328" t="s">
        <v>1518</v>
      </c>
      <c r="E328" t="s">
        <v>1519</v>
      </c>
      <c r="F328" t="s">
        <v>1520</v>
      </c>
    </row>
    <row r="329" spans="1:8" x14ac:dyDescent="0.25">
      <c r="A329">
        <v>1266</v>
      </c>
      <c r="B329">
        <v>374</v>
      </c>
      <c r="C329" t="s">
        <v>894</v>
      </c>
      <c r="D329" t="s">
        <v>895</v>
      </c>
      <c r="E329" t="s">
        <v>1521</v>
      </c>
      <c r="F329" t="s">
        <v>1522</v>
      </c>
      <c r="G329" t="s">
        <v>4448</v>
      </c>
    </row>
    <row r="330" spans="1:8" x14ac:dyDescent="0.25">
      <c r="A330">
        <v>1272</v>
      </c>
      <c r="B330">
        <v>24</v>
      </c>
      <c r="C330" t="s">
        <v>894</v>
      </c>
      <c r="D330" t="s">
        <v>1523</v>
      </c>
      <c r="E330" t="s">
        <v>1524</v>
      </c>
      <c r="F330" t="s">
        <v>954</v>
      </c>
    </row>
    <row r="331" spans="1:8" x14ac:dyDescent="0.25">
      <c r="A331">
        <v>1277</v>
      </c>
      <c r="B331">
        <v>91</v>
      </c>
      <c r="C331" t="s">
        <v>894</v>
      </c>
      <c r="D331" t="s">
        <v>1525</v>
      </c>
      <c r="F331" t="s">
        <v>1114</v>
      </c>
      <c r="G331" t="s">
        <v>4442</v>
      </c>
    </row>
    <row r="332" spans="1:8" x14ac:dyDescent="0.25">
      <c r="A332">
        <v>1280</v>
      </c>
      <c r="B332">
        <v>147</v>
      </c>
      <c r="C332" t="s">
        <v>894</v>
      </c>
      <c r="D332" t="s">
        <v>933</v>
      </c>
      <c r="E332" t="s">
        <v>1526</v>
      </c>
      <c r="F332" t="s">
        <v>1527</v>
      </c>
      <c r="G332" t="s">
        <v>4444</v>
      </c>
    </row>
    <row r="333" spans="1:8" x14ac:dyDescent="0.25">
      <c r="A333">
        <v>1293</v>
      </c>
      <c r="B333">
        <v>187</v>
      </c>
      <c r="C333" t="s">
        <v>894</v>
      </c>
      <c r="D333" t="s">
        <v>917</v>
      </c>
      <c r="E333" t="s">
        <v>1528</v>
      </c>
      <c r="F333" t="s">
        <v>1529</v>
      </c>
      <c r="G333" t="s">
        <v>919</v>
      </c>
    </row>
    <row r="334" spans="1:8" x14ac:dyDescent="0.25">
      <c r="A334">
        <v>1303</v>
      </c>
      <c r="B334">
        <v>59</v>
      </c>
      <c r="C334" t="s">
        <v>894</v>
      </c>
      <c r="D334" t="s">
        <v>1530</v>
      </c>
      <c r="E334" t="s">
        <v>1531</v>
      </c>
      <c r="F334" t="s">
        <v>1532</v>
      </c>
      <c r="G334" t="s">
        <v>1309</v>
      </c>
      <c r="H334">
        <v>4</v>
      </c>
    </row>
    <row r="335" spans="1:8" x14ac:dyDescent="0.25">
      <c r="A335">
        <v>1314</v>
      </c>
      <c r="B335">
        <v>46</v>
      </c>
      <c r="C335" t="s">
        <v>894</v>
      </c>
      <c r="D335" t="s">
        <v>1533</v>
      </c>
      <c r="E335" t="s">
        <v>1534</v>
      </c>
      <c r="F335" t="s">
        <v>1024</v>
      </c>
      <c r="G335" t="s">
        <v>4447</v>
      </c>
    </row>
    <row r="336" spans="1:8" x14ac:dyDescent="0.25">
      <c r="A336">
        <v>1322</v>
      </c>
      <c r="B336">
        <v>327</v>
      </c>
      <c r="C336" t="s">
        <v>894</v>
      </c>
      <c r="D336" t="s">
        <v>933</v>
      </c>
      <c r="E336" t="s">
        <v>1535</v>
      </c>
      <c r="F336" t="s">
        <v>1536</v>
      </c>
      <c r="G336" t="s">
        <v>4444</v>
      </c>
    </row>
    <row r="337" spans="1:7" x14ac:dyDescent="0.25">
      <c r="A337">
        <v>1323</v>
      </c>
      <c r="B337">
        <v>327</v>
      </c>
      <c r="C337" t="s">
        <v>894</v>
      </c>
      <c r="D337" t="s">
        <v>1505</v>
      </c>
      <c r="E337" t="s">
        <v>1537</v>
      </c>
      <c r="F337" t="s">
        <v>1536</v>
      </c>
      <c r="G337" t="s">
        <v>4442</v>
      </c>
    </row>
    <row r="338" spans="1:7" x14ac:dyDescent="0.25">
      <c r="A338">
        <v>1324</v>
      </c>
      <c r="B338">
        <v>327</v>
      </c>
      <c r="C338" t="s">
        <v>894</v>
      </c>
      <c r="D338" t="s">
        <v>1511</v>
      </c>
      <c r="E338" t="s">
        <v>1538</v>
      </c>
      <c r="F338" t="s">
        <v>1536</v>
      </c>
      <c r="G338" t="s">
        <v>4447</v>
      </c>
    </row>
    <row r="339" spans="1:7" x14ac:dyDescent="0.25">
      <c r="A339">
        <v>1325</v>
      </c>
      <c r="B339">
        <v>327</v>
      </c>
      <c r="C339" t="s">
        <v>894</v>
      </c>
      <c r="D339" t="s">
        <v>963</v>
      </c>
      <c r="E339" t="s">
        <v>1539</v>
      </c>
      <c r="F339" t="s">
        <v>1536</v>
      </c>
      <c r="G339" t="s">
        <v>4447</v>
      </c>
    </row>
    <row r="340" spans="1:7" x14ac:dyDescent="0.25">
      <c r="A340">
        <v>1342</v>
      </c>
      <c r="B340">
        <v>215</v>
      </c>
      <c r="C340" t="s">
        <v>894</v>
      </c>
      <c r="D340" t="s">
        <v>1259</v>
      </c>
      <c r="E340" t="s">
        <v>1540</v>
      </c>
      <c r="F340" t="s">
        <v>1394</v>
      </c>
      <c r="G340" t="s">
        <v>1262</v>
      </c>
    </row>
    <row r="341" spans="1:7" x14ac:dyDescent="0.25">
      <c r="A341">
        <v>1343</v>
      </c>
      <c r="B341">
        <v>151</v>
      </c>
      <c r="C341" t="s">
        <v>894</v>
      </c>
      <c r="D341" t="s">
        <v>933</v>
      </c>
      <c r="F341" t="s">
        <v>1267</v>
      </c>
      <c r="G341" t="s">
        <v>4444</v>
      </c>
    </row>
    <row r="342" spans="1:7" x14ac:dyDescent="0.25">
      <c r="A342">
        <v>1344</v>
      </c>
      <c r="B342">
        <v>151</v>
      </c>
      <c r="C342" t="s">
        <v>894</v>
      </c>
      <c r="D342" t="s">
        <v>939</v>
      </c>
      <c r="F342" t="s">
        <v>1267</v>
      </c>
      <c r="G342" t="s">
        <v>919</v>
      </c>
    </row>
    <row r="343" spans="1:7" x14ac:dyDescent="0.25">
      <c r="A343">
        <v>1345</v>
      </c>
      <c r="B343">
        <v>331</v>
      </c>
      <c r="C343" t="s">
        <v>894</v>
      </c>
      <c r="D343" t="s">
        <v>914</v>
      </c>
      <c r="E343" t="s">
        <v>1541</v>
      </c>
      <c r="F343" t="s">
        <v>1542</v>
      </c>
      <c r="G343" t="s">
        <v>4444</v>
      </c>
    </row>
    <row r="344" spans="1:7" ht="120" x14ac:dyDescent="0.25">
      <c r="A344">
        <v>1346</v>
      </c>
      <c r="B344">
        <v>332</v>
      </c>
      <c r="C344" t="s">
        <v>894</v>
      </c>
      <c r="D344" t="s">
        <v>966</v>
      </c>
      <c r="E344" s="1" t="s">
        <v>1543</v>
      </c>
      <c r="F344" t="s">
        <v>1544</v>
      </c>
      <c r="G344" t="s">
        <v>2758</v>
      </c>
    </row>
    <row r="345" spans="1:7" x14ac:dyDescent="0.25">
      <c r="A345">
        <v>1347</v>
      </c>
      <c r="B345">
        <v>141</v>
      </c>
      <c r="C345" t="s">
        <v>894</v>
      </c>
      <c r="D345" t="s">
        <v>1545</v>
      </c>
      <c r="F345" t="s">
        <v>1261</v>
      </c>
    </row>
    <row r="346" spans="1:7" x14ac:dyDescent="0.25">
      <c r="A346">
        <v>1351</v>
      </c>
      <c r="B346">
        <v>133</v>
      </c>
      <c r="C346" t="s">
        <v>894</v>
      </c>
      <c r="D346" t="s">
        <v>1546</v>
      </c>
      <c r="E346" t="s">
        <v>1547</v>
      </c>
      <c r="F346" t="s">
        <v>1247</v>
      </c>
      <c r="G346" t="s">
        <v>4442</v>
      </c>
    </row>
    <row r="347" spans="1:7" x14ac:dyDescent="0.25">
      <c r="A347">
        <v>1353</v>
      </c>
      <c r="B347">
        <v>55</v>
      </c>
      <c r="C347" t="s">
        <v>894</v>
      </c>
      <c r="D347" t="s">
        <v>1548</v>
      </c>
      <c r="E347" t="s">
        <v>1549</v>
      </c>
      <c r="F347" t="s">
        <v>1550</v>
      </c>
    </row>
    <row r="348" spans="1:7" x14ac:dyDescent="0.25">
      <c r="A348">
        <v>1358</v>
      </c>
      <c r="B348">
        <v>64</v>
      </c>
      <c r="C348" t="s">
        <v>894</v>
      </c>
      <c r="D348" t="s">
        <v>1551</v>
      </c>
      <c r="E348" t="s">
        <v>1552</v>
      </c>
      <c r="F348" t="s">
        <v>1412</v>
      </c>
      <c r="G348" t="s">
        <v>4447</v>
      </c>
    </row>
    <row r="349" spans="1:7" x14ac:dyDescent="0.25">
      <c r="A349">
        <v>1360</v>
      </c>
      <c r="B349">
        <v>64</v>
      </c>
      <c r="C349" t="s">
        <v>894</v>
      </c>
      <c r="D349" t="s">
        <v>939</v>
      </c>
      <c r="E349" t="s">
        <v>1553</v>
      </c>
      <c r="F349" t="s">
        <v>1410</v>
      </c>
      <c r="G349" t="s">
        <v>919</v>
      </c>
    </row>
    <row r="350" spans="1:7" x14ac:dyDescent="0.25">
      <c r="A350">
        <v>1362</v>
      </c>
      <c r="B350">
        <v>334</v>
      </c>
      <c r="C350" t="s">
        <v>894</v>
      </c>
      <c r="D350" t="s">
        <v>939</v>
      </c>
      <c r="E350" t="s">
        <v>1554</v>
      </c>
      <c r="F350" t="s">
        <v>1555</v>
      </c>
      <c r="G350" t="s">
        <v>919</v>
      </c>
    </row>
    <row r="351" spans="1:7" x14ac:dyDescent="0.25">
      <c r="A351">
        <v>1364</v>
      </c>
      <c r="B351">
        <v>194</v>
      </c>
      <c r="C351" t="s">
        <v>894</v>
      </c>
      <c r="D351" t="s">
        <v>1556</v>
      </c>
      <c r="F351" t="s">
        <v>1423</v>
      </c>
      <c r="G351" t="s">
        <v>4442</v>
      </c>
    </row>
    <row r="352" spans="1:7" x14ac:dyDescent="0.25">
      <c r="A352">
        <v>1365</v>
      </c>
      <c r="B352">
        <v>194</v>
      </c>
      <c r="C352" t="s">
        <v>894</v>
      </c>
      <c r="D352" t="s">
        <v>1557</v>
      </c>
      <c r="E352" t="s">
        <v>1558</v>
      </c>
      <c r="F352" t="s">
        <v>1423</v>
      </c>
      <c r="G352" t="s">
        <v>4442</v>
      </c>
    </row>
    <row r="353" spans="1:7" x14ac:dyDescent="0.25">
      <c r="A353">
        <v>1366</v>
      </c>
      <c r="B353">
        <v>194</v>
      </c>
      <c r="C353" t="s">
        <v>894</v>
      </c>
      <c r="D353" t="s">
        <v>1559</v>
      </c>
      <c r="F353" t="s">
        <v>1423</v>
      </c>
      <c r="G353" t="s">
        <v>4447</v>
      </c>
    </row>
    <row r="354" spans="1:7" x14ac:dyDescent="0.25">
      <c r="A354">
        <v>1367</v>
      </c>
      <c r="B354">
        <v>194</v>
      </c>
      <c r="C354" t="s">
        <v>894</v>
      </c>
      <c r="D354" t="s">
        <v>1560</v>
      </c>
      <c r="E354" t="s">
        <v>1561</v>
      </c>
      <c r="F354" t="s">
        <v>1562</v>
      </c>
      <c r="G354" t="s">
        <v>4447</v>
      </c>
    </row>
    <row r="355" spans="1:7" x14ac:dyDescent="0.25">
      <c r="A355">
        <v>1368</v>
      </c>
      <c r="B355">
        <v>194</v>
      </c>
      <c r="C355" t="s">
        <v>894</v>
      </c>
      <c r="D355" t="s">
        <v>1563</v>
      </c>
      <c r="F355" t="s">
        <v>1423</v>
      </c>
      <c r="G355" t="s">
        <v>4447</v>
      </c>
    </row>
    <row r="356" spans="1:7" x14ac:dyDescent="0.25">
      <c r="A356">
        <v>1376</v>
      </c>
      <c r="B356">
        <v>336</v>
      </c>
      <c r="C356" t="s">
        <v>894</v>
      </c>
      <c r="D356" t="s">
        <v>960</v>
      </c>
      <c r="F356" t="s">
        <v>1564</v>
      </c>
      <c r="G356" t="s">
        <v>4447</v>
      </c>
    </row>
    <row r="357" spans="1:7" x14ac:dyDescent="0.25">
      <c r="A357">
        <v>1377</v>
      </c>
      <c r="B357">
        <v>336</v>
      </c>
      <c r="C357" t="s">
        <v>894</v>
      </c>
      <c r="D357" t="s">
        <v>1565</v>
      </c>
      <c r="F357" t="s">
        <v>1564</v>
      </c>
      <c r="G357" t="s">
        <v>4447</v>
      </c>
    </row>
    <row r="358" spans="1:7" x14ac:dyDescent="0.25">
      <c r="A358">
        <v>1380</v>
      </c>
      <c r="B358">
        <v>338</v>
      </c>
      <c r="C358" t="s">
        <v>894</v>
      </c>
      <c r="D358" t="s">
        <v>895</v>
      </c>
      <c r="E358" t="s">
        <v>1566</v>
      </c>
      <c r="F358" t="s">
        <v>1567</v>
      </c>
    </row>
    <row r="359" spans="1:7" x14ac:dyDescent="0.25">
      <c r="A359">
        <v>1384</v>
      </c>
      <c r="B359">
        <v>339</v>
      </c>
      <c r="C359" t="s">
        <v>894</v>
      </c>
      <c r="D359" t="s">
        <v>917</v>
      </c>
      <c r="E359" t="s">
        <v>1568</v>
      </c>
      <c r="F359" t="s">
        <v>1569</v>
      </c>
      <c r="G359" t="s">
        <v>919</v>
      </c>
    </row>
    <row r="360" spans="1:7" x14ac:dyDescent="0.25">
      <c r="A360">
        <v>1385</v>
      </c>
      <c r="B360">
        <v>339</v>
      </c>
      <c r="C360" t="s">
        <v>894</v>
      </c>
      <c r="D360" t="s">
        <v>960</v>
      </c>
      <c r="E360" t="s">
        <v>1570</v>
      </c>
      <c r="F360" t="s">
        <v>1569</v>
      </c>
      <c r="G360" t="s">
        <v>4447</v>
      </c>
    </row>
    <row r="361" spans="1:7" x14ac:dyDescent="0.25">
      <c r="A361">
        <v>1387</v>
      </c>
      <c r="B361">
        <v>340</v>
      </c>
      <c r="C361" t="s">
        <v>894</v>
      </c>
      <c r="D361" t="s">
        <v>914</v>
      </c>
      <c r="E361" t="s">
        <v>1055</v>
      </c>
      <c r="F361" t="s">
        <v>1571</v>
      </c>
      <c r="G361" t="s">
        <v>4444</v>
      </c>
    </row>
    <row r="362" spans="1:7" x14ac:dyDescent="0.25">
      <c r="A362">
        <v>1388</v>
      </c>
      <c r="B362">
        <v>340</v>
      </c>
      <c r="C362" t="s">
        <v>894</v>
      </c>
      <c r="D362" t="s">
        <v>895</v>
      </c>
      <c r="E362" t="s">
        <v>1572</v>
      </c>
      <c r="F362" t="s">
        <v>1571</v>
      </c>
      <c r="G362" t="s">
        <v>4448</v>
      </c>
    </row>
    <row r="363" spans="1:7" x14ac:dyDescent="0.25">
      <c r="A363">
        <v>1389</v>
      </c>
      <c r="B363">
        <v>340</v>
      </c>
      <c r="C363" t="s">
        <v>894</v>
      </c>
      <c r="D363" t="s">
        <v>1422</v>
      </c>
      <c r="E363" t="s">
        <v>1573</v>
      </c>
      <c r="F363" t="s">
        <v>1571</v>
      </c>
      <c r="G363" t="s">
        <v>4442</v>
      </c>
    </row>
    <row r="364" spans="1:7" x14ac:dyDescent="0.25">
      <c r="A364">
        <v>1390</v>
      </c>
      <c r="B364">
        <v>340</v>
      </c>
      <c r="C364" t="s">
        <v>894</v>
      </c>
      <c r="D364" t="s">
        <v>1574</v>
      </c>
      <c r="E364" t="s">
        <v>1575</v>
      </c>
      <c r="F364" t="s">
        <v>1571</v>
      </c>
    </row>
    <row r="365" spans="1:7" x14ac:dyDescent="0.25">
      <c r="A365">
        <v>1395</v>
      </c>
      <c r="B365">
        <v>314</v>
      </c>
      <c r="C365" t="s">
        <v>894</v>
      </c>
      <c r="D365" t="s">
        <v>1576</v>
      </c>
      <c r="E365" t="s">
        <v>1577</v>
      </c>
      <c r="F365" t="s">
        <v>1578</v>
      </c>
      <c r="G365" t="s">
        <v>4442</v>
      </c>
    </row>
    <row r="366" spans="1:7" x14ac:dyDescent="0.25">
      <c r="A366">
        <v>1409</v>
      </c>
      <c r="B366">
        <v>83</v>
      </c>
      <c r="C366" t="s">
        <v>898</v>
      </c>
      <c r="D366" t="s">
        <v>1579</v>
      </c>
      <c r="E366" t="s">
        <v>1580</v>
      </c>
      <c r="F366" t="s">
        <v>1581</v>
      </c>
      <c r="G366" t="s">
        <v>4447</v>
      </c>
    </row>
    <row r="367" spans="1:7" x14ac:dyDescent="0.25">
      <c r="A367">
        <v>1419</v>
      </c>
      <c r="B367">
        <v>557</v>
      </c>
      <c r="C367" t="s">
        <v>898</v>
      </c>
      <c r="D367" t="s">
        <v>1582</v>
      </c>
      <c r="E367" t="s">
        <v>1583</v>
      </c>
      <c r="F367" t="s">
        <v>1158</v>
      </c>
      <c r="G367" t="s">
        <v>4447</v>
      </c>
    </row>
    <row r="368" spans="1:7" x14ac:dyDescent="0.25">
      <c r="A368">
        <v>1420</v>
      </c>
      <c r="B368">
        <v>557</v>
      </c>
      <c r="C368" t="s">
        <v>898</v>
      </c>
      <c r="D368" t="s">
        <v>1584</v>
      </c>
      <c r="E368" t="s">
        <v>1585</v>
      </c>
      <c r="F368" t="s">
        <v>1158</v>
      </c>
      <c r="G368" t="s">
        <v>4447</v>
      </c>
    </row>
    <row r="369" spans="1:7" x14ac:dyDescent="0.25">
      <c r="A369">
        <v>1426</v>
      </c>
      <c r="B369">
        <v>102</v>
      </c>
      <c r="C369" t="s">
        <v>898</v>
      </c>
      <c r="D369" t="s">
        <v>1586</v>
      </c>
      <c r="E369" t="s">
        <v>1587</v>
      </c>
      <c r="F369" t="s">
        <v>1142</v>
      </c>
      <c r="G369" t="s">
        <v>4447</v>
      </c>
    </row>
    <row r="370" spans="1:7" x14ac:dyDescent="0.25">
      <c r="A370">
        <v>1430</v>
      </c>
      <c r="B370">
        <v>210</v>
      </c>
      <c r="C370" t="s">
        <v>894</v>
      </c>
      <c r="D370" t="s">
        <v>1316</v>
      </c>
      <c r="E370" t="s">
        <v>1588</v>
      </c>
      <c r="F370" t="s">
        <v>1589</v>
      </c>
      <c r="G370" t="s">
        <v>4442</v>
      </c>
    </row>
    <row r="371" spans="1:7" x14ac:dyDescent="0.25">
      <c r="A371">
        <v>1431</v>
      </c>
      <c r="B371">
        <v>210</v>
      </c>
      <c r="C371" t="s">
        <v>894</v>
      </c>
      <c r="D371" t="s">
        <v>1574</v>
      </c>
      <c r="E371" t="s">
        <v>1590</v>
      </c>
      <c r="F371" t="s">
        <v>1589</v>
      </c>
    </row>
    <row r="372" spans="1:7" x14ac:dyDescent="0.25">
      <c r="A372">
        <v>1432</v>
      </c>
      <c r="B372">
        <v>210</v>
      </c>
      <c r="C372" t="s">
        <v>894</v>
      </c>
      <c r="D372" t="s">
        <v>1440</v>
      </c>
      <c r="E372" t="s">
        <v>1591</v>
      </c>
      <c r="F372" t="s">
        <v>1589</v>
      </c>
      <c r="G372" t="s">
        <v>4447</v>
      </c>
    </row>
    <row r="373" spans="1:7" x14ac:dyDescent="0.25">
      <c r="A373">
        <v>1433</v>
      </c>
      <c r="B373">
        <v>210</v>
      </c>
      <c r="C373" t="s">
        <v>894</v>
      </c>
      <c r="D373" t="s">
        <v>917</v>
      </c>
      <c r="E373" t="s">
        <v>1592</v>
      </c>
      <c r="F373" t="s">
        <v>1589</v>
      </c>
      <c r="G373" t="s">
        <v>919</v>
      </c>
    </row>
    <row r="374" spans="1:7" x14ac:dyDescent="0.25">
      <c r="A374">
        <v>1434</v>
      </c>
      <c r="B374">
        <v>210</v>
      </c>
      <c r="C374" t="s">
        <v>894</v>
      </c>
      <c r="D374" t="s">
        <v>1593</v>
      </c>
      <c r="E374" t="s">
        <v>1594</v>
      </c>
      <c r="F374" t="s">
        <v>1589</v>
      </c>
      <c r="G374" t="s">
        <v>4447</v>
      </c>
    </row>
    <row r="375" spans="1:7" x14ac:dyDescent="0.25">
      <c r="A375">
        <v>1435</v>
      </c>
      <c r="B375">
        <v>210</v>
      </c>
      <c r="C375" t="s">
        <v>894</v>
      </c>
      <c r="D375" t="s">
        <v>963</v>
      </c>
      <c r="E375" t="s">
        <v>1595</v>
      </c>
      <c r="F375" t="s">
        <v>1589</v>
      </c>
      <c r="G375" t="s">
        <v>4447</v>
      </c>
    </row>
    <row r="376" spans="1:7" x14ac:dyDescent="0.25">
      <c r="A376">
        <v>1436</v>
      </c>
      <c r="B376">
        <v>210</v>
      </c>
      <c r="C376" t="s">
        <v>894</v>
      </c>
      <c r="D376" t="s">
        <v>923</v>
      </c>
      <c r="E376" t="s">
        <v>1596</v>
      </c>
      <c r="F376" t="s">
        <v>1589</v>
      </c>
      <c r="G376" t="s">
        <v>4444</v>
      </c>
    </row>
    <row r="377" spans="1:7" x14ac:dyDescent="0.25">
      <c r="A377">
        <v>1437</v>
      </c>
      <c r="B377">
        <v>210</v>
      </c>
      <c r="C377" t="s">
        <v>894</v>
      </c>
      <c r="D377" t="s">
        <v>1120</v>
      </c>
      <c r="E377" t="s">
        <v>1595</v>
      </c>
      <c r="F377" t="s">
        <v>1589</v>
      </c>
      <c r="G377" t="s">
        <v>4447</v>
      </c>
    </row>
    <row r="378" spans="1:7" x14ac:dyDescent="0.25">
      <c r="A378">
        <v>1441</v>
      </c>
      <c r="B378">
        <v>187</v>
      </c>
      <c r="C378" t="s">
        <v>894</v>
      </c>
      <c r="D378" t="s">
        <v>1597</v>
      </c>
      <c r="E378" t="s">
        <v>1598</v>
      </c>
      <c r="F378" t="s">
        <v>1599</v>
      </c>
      <c r="G378" t="s">
        <v>4448</v>
      </c>
    </row>
    <row r="379" spans="1:7" x14ac:dyDescent="0.25">
      <c r="A379">
        <v>1442</v>
      </c>
      <c r="B379">
        <v>187</v>
      </c>
      <c r="C379" t="s">
        <v>894</v>
      </c>
      <c r="D379" t="s">
        <v>1600</v>
      </c>
      <c r="E379" t="s">
        <v>1601</v>
      </c>
      <c r="F379" t="s">
        <v>1599</v>
      </c>
      <c r="G379" t="s">
        <v>4446</v>
      </c>
    </row>
    <row r="380" spans="1:7" x14ac:dyDescent="0.25">
      <c r="A380">
        <v>1447</v>
      </c>
      <c r="B380">
        <v>133</v>
      </c>
      <c r="C380" t="s">
        <v>894</v>
      </c>
      <c r="D380" t="s">
        <v>1602</v>
      </c>
      <c r="E380" t="s">
        <v>1603</v>
      </c>
      <c r="F380" t="s">
        <v>1247</v>
      </c>
      <c r="G380" t="s">
        <v>4442</v>
      </c>
    </row>
    <row r="381" spans="1:7" x14ac:dyDescent="0.25">
      <c r="A381">
        <v>1460</v>
      </c>
      <c r="B381">
        <v>187</v>
      </c>
      <c r="C381" t="s">
        <v>894</v>
      </c>
      <c r="D381" t="s">
        <v>1469</v>
      </c>
      <c r="E381" t="s">
        <v>1604</v>
      </c>
      <c r="F381" t="s">
        <v>1529</v>
      </c>
      <c r="G381" t="s">
        <v>4447</v>
      </c>
    </row>
    <row r="382" spans="1:7" x14ac:dyDescent="0.25">
      <c r="A382">
        <v>1469</v>
      </c>
      <c r="B382">
        <v>66</v>
      </c>
      <c r="C382" t="s">
        <v>894</v>
      </c>
      <c r="D382" t="s">
        <v>963</v>
      </c>
      <c r="F382" t="s">
        <v>1605</v>
      </c>
      <c r="G382" t="s">
        <v>4447</v>
      </c>
    </row>
    <row r="383" spans="1:7" x14ac:dyDescent="0.25">
      <c r="A383">
        <v>1474</v>
      </c>
      <c r="B383">
        <v>31</v>
      </c>
      <c r="C383" t="s">
        <v>898</v>
      </c>
      <c r="D383" t="s">
        <v>1606</v>
      </c>
      <c r="E383" t="s">
        <v>1607</v>
      </c>
      <c r="F383" t="s">
        <v>977</v>
      </c>
      <c r="G383" t="s">
        <v>4459</v>
      </c>
    </row>
    <row r="384" spans="1:7" x14ac:dyDescent="0.25">
      <c r="A384">
        <v>1475</v>
      </c>
      <c r="B384">
        <v>238</v>
      </c>
      <c r="C384" t="s">
        <v>894</v>
      </c>
      <c r="D384" t="s">
        <v>1608</v>
      </c>
      <c r="E384" t="s">
        <v>1609</v>
      </c>
      <c r="F384" t="s">
        <v>1450</v>
      </c>
      <c r="G384" t="s">
        <v>4448</v>
      </c>
    </row>
    <row r="385" spans="1:8" x14ac:dyDescent="0.25">
      <c r="A385">
        <v>1476</v>
      </c>
      <c r="B385">
        <v>314</v>
      </c>
      <c r="C385" t="s">
        <v>894</v>
      </c>
      <c r="D385" t="s">
        <v>895</v>
      </c>
      <c r="E385" t="s">
        <v>1610</v>
      </c>
      <c r="F385" t="s">
        <v>1611</v>
      </c>
      <c r="G385" t="s">
        <v>4448</v>
      </c>
    </row>
    <row r="386" spans="1:8" x14ac:dyDescent="0.25">
      <c r="A386">
        <v>1481</v>
      </c>
      <c r="B386">
        <v>63</v>
      </c>
      <c r="C386" t="s">
        <v>894</v>
      </c>
      <c r="D386" t="s">
        <v>1612</v>
      </c>
      <c r="E386" t="s">
        <v>1613</v>
      </c>
      <c r="F386" t="s">
        <v>1052</v>
      </c>
      <c r="G386" t="s">
        <v>919</v>
      </c>
    </row>
    <row r="387" spans="1:8" x14ac:dyDescent="0.25">
      <c r="A387">
        <v>1483</v>
      </c>
      <c r="B387">
        <v>63</v>
      </c>
      <c r="C387" t="s">
        <v>894</v>
      </c>
      <c r="D387" t="s">
        <v>1614</v>
      </c>
      <c r="E387" t="s">
        <v>1615</v>
      </c>
      <c r="F387" t="s">
        <v>1052</v>
      </c>
      <c r="G387" t="s">
        <v>4447</v>
      </c>
    </row>
    <row r="388" spans="1:8" x14ac:dyDescent="0.25">
      <c r="A388">
        <v>1486</v>
      </c>
      <c r="B388">
        <v>71</v>
      </c>
      <c r="C388" t="s">
        <v>894</v>
      </c>
      <c r="D388" t="s">
        <v>1616</v>
      </c>
      <c r="E388" t="s">
        <v>1617</v>
      </c>
      <c r="F388" t="s">
        <v>1069</v>
      </c>
      <c r="G388" t="s">
        <v>4447</v>
      </c>
    </row>
    <row r="389" spans="1:8" x14ac:dyDescent="0.25">
      <c r="A389">
        <v>1487</v>
      </c>
      <c r="B389">
        <v>71</v>
      </c>
      <c r="C389" t="s">
        <v>894</v>
      </c>
      <c r="D389" t="s">
        <v>1134</v>
      </c>
      <c r="E389" t="s">
        <v>1618</v>
      </c>
      <c r="F389" t="s">
        <v>1069</v>
      </c>
      <c r="G389" t="s">
        <v>2758</v>
      </c>
      <c r="H389">
        <v>1500</v>
      </c>
    </row>
    <row r="390" spans="1:8" x14ac:dyDescent="0.25">
      <c r="A390">
        <v>1489</v>
      </c>
      <c r="B390">
        <v>10</v>
      </c>
      <c r="C390" t="s">
        <v>894</v>
      </c>
      <c r="D390" t="s">
        <v>1468</v>
      </c>
      <c r="E390" t="s">
        <v>1619</v>
      </c>
      <c r="F390" t="s">
        <v>1620</v>
      </c>
      <c r="G390" t="s">
        <v>1262</v>
      </c>
    </row>
    <row r="391" spans="1:8" x14ac:dyDescent="0.25">
      <c r="A391">
        <v>1492</v>
      </c>
      <c r="B391">
        <v>349</v>
      </c>
      <c r="C391" t="s">
        <v>894</v>
      </c>
      <c r="D391" t="s">
        <v>1621</v>
      </c>
      <c r="E391" t="s">
        <v>1622</v>
      </c>
      <c r="F391" t="s">
        <v>1623</v>
      </c>
      <c r="G391" t="s">
        <v>1309</v>
      </c>
      <c r="H391">
        <v>4</v>
      </c>
    </row>
    <row r="392" spans="1:8" x14ac:dyDescent="0.25">
      <c r="A392">
        <v>1498</v>
      </c>
      <c r="B392">
        <v>24</v>
      </c>
      <c r="C392" t="s">
        <v>894</v>
      </c>
      <c r="D392" t="s">
        <v>1624</v>
      </c>
      <c r="E392" t="s">
        <v>1625</v>
      </c>
      <c r="F392" t="s">
        <v>951</v>
      </c>
    </row>
    <row r="393" spans="1:8" x14ac:dyDescent="0.25">
      <c r="A393">
        <v>1504</v>
      </c>
      <c r="B393">
        <v>59</v>
      </c>
      <c r="C393" t="s">
        <v>894</v>
      </c>
      <c r="D393" t="s">
        <v>1272</v>
      </c>
      <c r="E393" t="s">
        <v>1626</v>
      </c>
      <c r="F393" t="s">
        <v>1627</v>
      </c>
      <c r="G393" t="s">
        <v>4442</v>
      </c>
    </row>
    <row r="394" spans="1:8" x14ac:dyDescent="0.25">
      <c r="A394">
        <v>1517</v>
      </c>
      <c r="B394">
        <v>71</v>
      </c>
      <c r="C394" t="s">
        <v>894</v>
      </c>
      <c r="D394" t="s">
        <v>1628</v>
      </c>
      <c r="E394" t="s">
        <v>1629</v>
      </c>
      <c r="F394" t="s">
        <v>1069</v>
      </c>
      <c r="G394" t="s">
        <v>1309</v>
      </c>
      <c r="H394">
        <v>3</v>
      </c>
    </row>
    <row r="395" spans="1:8" x14ac:dyDescent="0.25">
      <c r="A395">
        <v>1525</v>
      </c>
      <c r="B395">
        <v>352</v>
      </c>
      <c r="C395" t="s">
        <v>898</v>
      </c>
      <c r="D395" t="s">
        <v>1630</v>
      </c>
      <c r="E395" t="s">
        <v>1631</v>
      </c>
      <c r="F395" t="s">
        <v>1632</v>
      </c>
    </row>
    <row r="396" spans="1:8" x14ac:dyDescent="0.25">
      <c r="A396">
        <v>1544</v>
      </c>
      <c r="B396">
        <v>374</v>
      </c>
      <c r="C396" t="s">
        <v>894</v>
      </c>
      <c r="D396" t="s">
        <v>1633</v>
      </c>
      <c r="E396" t="s">
        <v>1634</v>
      </c>
      <c r="F396" t="s">
        <v>1635</v>
      </c>
      <c r="G396" t="s">
        <v>1309</v>
      </c>
    </row>
    <row r="397" spans="1:8" x14ac:dyDescent="0.25">
      <c r="A397">
        <v>1550</v>
      </c>
      <c r="B397">
        <v>40</v>
      </c>
      <c r="C397" t="s">
        <v>894</v>
      </c>
      <c r="D397" t="s">
        <v>1636</v>
      </c>
      <c r="E397" t="s">
        <v>1637</v>
      </c>
      <c r="F397" t="s">
        <v>1638</v>
      </c>
      <c r="G397" t="s">
        <v>1309</v>
      </c>
    </row>
    <row r="398" spans="1:8" x14ac:dyDescent="0.25">
      <c r="A398">
        <v>1555</v>
      </c>
      <c r="B398">
        <v>35</v>
      </c>
      <c r="C398" t="s">
        <v>898</v>
      </c>
      <c r="D398" t="s">
        <v>1639</v>
      </c>
      <c r="E398" t="s">
        <v>1640</v>
      </c>
      <c r="F398" t="s">
        <v>1641</v>
      </c>
      <c r="G398" t="s">
        <v>4444</v>
      </c>
    </row>
    <row r="399" spans="1:8" x14ac:dyDescent="0.25">
      <c r="A399">
        <v>1566</v>
      </c>
      <c r="B399">
        <v>59</v>
      </c>
      <c r="C399" t="s">
        <v>894</v>
      </c>
      <c r="D399" t="s">
        <v>1642</v>
      </c>
      <c r="E399" t="s">
        <v>1643</v>
      </c>
      <c r="F399" t="s">
        <v>1644</v>
      </c>
    </row>
    <row r="400" spans="1:8" x14ac:dyDescent="0.25">
      <c r="A400">
        <v>1567</v>
      </c>
      <c r="B400">
        <v>305</v>
      </c>
      <c r="C400" t="s">
        <v>894</v>
      </c>
      <c r="D400" t="s">
        <v>1645</v>
      </c>
      <c r="F400" t="s">
        <v>1646</v>
      </c>
      <c r="G400" t="s">
        <v>919</v>
      </c>
    </row>
    <row r="401" spans="1:7" x14ac:dyDescent="0.25">
      <c r="A401">
        <v>1574</v>
      </c>
      <c r="B401">
        <v>46</v>
      </c>
      <c r="C401" t="s">
        <v>894</v>
      </c>
      <c r="D401" t="s">
        <v>1647</v>
      </c>
      <c r="F401" t="s">
        <v>1282</v>
      </c>
      <c r="G401" t="s">
        <v>1309</v>
      </c>
    </row>
    <row r="402" spans="1:7" x14ac:dyDescent="0.25">
      <c r="A402">
        <v>1577</v>
      </c>
      <c r="B402">
        <v>46</v>
      </c>
      <c r="C402" t="s">
        <v>894</v>
      </c>
      <c r="D402" t="s">
        <v>1648</v>
      </c>
      <c r="F402" t="s">
        <v>1649</v>
      </c>
      <c r="G402" t="s">
        <v>4453</v>
      </c>
    </row>
    <row r="403" spans="1:7" x14ac:dyDescent="0.25">
      <c r="A403">
        <v>1582</v>
      </c>
      <c r="B403">
        <v>219</v>
      </c>
      <c r="C403" t="s">
        <v>894</v>
      </c>
      <c r="D403" t="s">
        <v>1650</v>
      </c>
      <c r="E403" t="s">
        <v>1651</v>
      </c>
      <c r="F403" t="s">
        <v>1414</v>
      </c>
      <c r="G403" t="s">
        <v>4448</v>
      </c>
    </row>
    <row r="404" spans="1:7" x14ac:dyDescent="0.25">
      <c r="A404">
        <v>1583</v>
      </c>
      <c r="B404">
        <v>219</v>
      </c>
      <c r="C404" t="s">
        <v>894</v>
      </c>
      <c r="D404" t="s">
        <v>1652</v>
      </c>
      <c r="E404" t="s">
        <v>1512</v>
      </c>
      <c r="F404" t="s">
        <v>1414</v>
      </c>
      <c r="G404" t="s">
        <v>4447</v>
      </c>
    </row>
    <row r="405" spans="1:7" x14ac:dyDescent="0.25">
      <c r="A405">
        <v>1584</v>
      </c>
      <c r="B405">
        <v>47</v>
      </c>
      <c r="C405" t="s">
        <v>894</v>
      </c>
      <c r="D405" t="s">
        <v>1653</v>
      </c>
      <c r="E405" t="s">
        <v>1654</v>
      </c>
      <c r="F405" t="s">
        <v>1017</v>
      </c>
      <c r="G405" t="s">
        <v>4447</v>
      </c>
    </row>
    <row r="406" spans="1:7" x14ac:dyDescent="0.25">
      <c r="A406">
        <v>1586</v>
      </c>
      <c r="B406">
        <v>47</v>
      </c>
      <c r="C406" t="s">
        <v>894</v>
      </c>
      <c r="D406" t="s">
        <v>1655</v>
      </c>
      <c r="F406" t="s">
        <v>1017</v>
      </c>
      <c r="G406" t="s">
        <v>4453</v>
      </c>
    </row>
    <row r="407" spans="1:7" x14ac:dyDescent="0.25">
      <c r="A407">
        <v>1587</v>
      </c>
      <c r="B407">
        <v>63</v>
      </c>
      <c r="C407" t="s">
        <v>894</v>
      </c>
      <c r="D407" t="s">
        <v>1656</v>
      </c>
      <c r="E407" t="s">
        <v>1657</v>
      </c>
      <c r="F407" t="s">
        <v>1052</v>
      </c>
    </row>
    <row r="408" spans="1:7" x14ac:dyDescent="0.25">
      <c r="A408">
        <v>1588</v>
      </c>
      <c r="B408">
        <v>146</v>
      </c>
      <c r="C408" t="s">
        <v>894</v>
      </c>
      <c r="D408" t="s">
        <v>895</v>
      </c>
      <c r="E408" t="s">
        <v>1658</v>
      </c>
      <c r="F408" t="s">
        <v>1659</v>
      </c>
      <c r="G408" t="s">
        <v>4448</v>
      </c>
    </row>
    <row r="409" spans="1:7" x14ac:dyDescent="0.25">
      <c r="A409">
        <v>1617</v>
      </c>
      <c r="B409">
        <v>365</v>
      </c>
      <c r="C409" t="s">
        <v>894</v>
      </c>
      <c r="D409" t="s">
        <v>1660</v>
      </c>
      <c r="E409" t="s">
        <v>1661</v>
      </c>
      <c r="F409" t="s">
        <v>1662</v>
      </c>
      <c r="G409" t="s">
        <v>4447</v>
      </c>
    </row>
    <row r="410" spans="1:7" x14ac:dyDescent="0.25">
      <c r="A410">
        <v>1618</v>
      </c>
      <c r="B410">
        <v>365</v>
      </c>
      <c r="C410" t="s">
        <v>894</v>
      </c>
      <c r="D410" t="s">
        <v>914</v>
      </c>
      <c r="E410" t="s">
        <v>1663</v>
      </c>
      <c r="F410" t="s">
        <v>1662</v>
      </c>
      <c r="G410" t="s">
        <v>4444</v>
      </c>
    </row>
    <row r="411" spans="1:7" x14ac:dyDescent="0.25">
      <c r="A411">
        <v>1620</v>
      </c>
      <c r="B411">
        <v>365</v>
      </c>
      <c r="C411" t="s">
        <v>894</v>
      </c>
      <c r="D411" t="s">
        <v>966</v>
      </c>
      <c r="E411" t="s">
        <v>1664</v>
      </c>
      <c r="F411" t="s">
        <v>1662</v>
      </c>
      <c r="G411" t="s">
        <v>2758</v>
      </c>
    </row>
    <row r="412" spans="1:7" x14ac:dyDescent="0.25">
      <c r="A412">
        <v>1623</v>
      </c>
      <c r="B412">
        <v>334</v>
      </c>
      <c r="C412" t="s">
        <v>894</v>
      </c>
      <c r="D412" t="s">
        <v>895</v>
      </c>
      <c r="E412" t="s">
        <v>1665</v>
      </c>
      <c r="F412" t="s">
        <v>1666</v>
      </c>
      <c r="G412" t="s">
        <v>4448</v>
      </c>
    </row>
    <row r="413" spans="1:7" x14ac:dyDescent="0.25">
      <c r="A413">
        <v>1624</v>
      </c>
      <c r="B413">
        <v>78</v>
      </c>
      <c r="C413" t="s">
        <v>894</v>
      </c>
      <c r="D413" t="s">
        <v>1028</v>
      </c>
      <c r="F413" t="s">
        <v>1091</v>
      </c>
      <c r="G413" t="s">
        <v>919</v>
      </c>
    </row>
    <row r="414" spans="1:7" x14ac:dyDescent="0.25">
      <c r="A414">
        <v>1625</v>
      </c>
      <c r="B414">
        <v>197</v>
      </c>
      <c r="C414" t="s">
        <v>894</v>
      </c>
      <c r="D414" t="s">
        <v>1354</v>
      </c>
      <c r="E414" t="s">
        <v>1667</v>
      </c>
      <c r="F414" t="s">
        <v>1315</v>
      </c>
      <c r="G414" t="s">
        <v>4457</v>
      </c>
    </row>
    <row r="415" spans="1:7" x14ac:dyDescent="0.25">
      <c r="A415">
        <v>1626</v>
      </c>
      <c r="B415">
        <v>197</v>
      </c>
      <c r="C415" t="s">
        <v>894</v>
      </c>
      <c r="D415" t="s">
        <v>1668</v>
      </c>
      <c r="E415" t="s">
        <v>1669</v>
      </c>
      <c r="F415" t="s">
        <v>1315</v>
      </c>
      <c r="G415" t="s">
        <v>1670</v>
      </c>
    </row>
    <row r="416" spans="1:7" x14ac:dyDescent="0.25">
      <c r="A416">
        <v>1631</v>
      </c>
      <c r="B416">
        <v>29</v>
      </c>
      <c r="C416" t="s">
        <v>894</v>
      </c>
      <c r="D416" t="s">
        <v>1356</v>
      </c>
      <c r="E416" t="s">
        <v>1671</v>
      </c>
      <c r="F416" t="s">
        <v>1672</v>
      </c>
      <c r="G416" t="s">
        <v>4442</v>
      </c>
    </row>
    <row r="417" spans="1:7" x14ac:dyDescent="0.25">
      <c r="A417">
        <v>1632</v>
      </c>
      <c r="B417">
        <v>29</v>
      </c>
      <c r="C417" t="s">
        <v>894</v>
      </c>
      <c r="D417" t="s">
        <v>1673</v>
      </c>
      <c r="E417" t="s">
        <v>1674</v>
      </c>
      <c r="F417" t="s">
        <v>1675</v>
      </c>
      <c r="G417" t="s">
        <v>4447</v>
      </c>
    </row>
    <row r="418" spans="1:7" x14ac:dyDescent="0.25">
      <c r="A418">
        <v>1635</v>
      </c>
      <c r="B418">
        <v>117</v>
      </c>
      <c r="C418" t="s">
        <v>898</v>
      </c>
      <c r="D418" t="s">
        <v>1676</v>
      </c>
      <c r="F418" t="s">
        <v>1216</v>
      </c>
      <c r="G418" t="s">
        <v>4448</v>
      </c>
    </row>
    <row r="419" spans="1:7" x14ac:dyDescent="0.25">
      <c r="A419">
        <v>1636</v>
      </c>
      <c r="B419">
        <v>117</v>
      </c>
      <c r="C419" t="s">
        <v>898</v>
      </c>
      <c r="D419" t="s">
        <v>1677</v>
      </c>
      <c r="F419" t="s">
        <v>1216</v>
      </c>
      <c r="G419" t="s">
        <v>4453</v>
      </c>
    </row>
    <row r="420" spans="1:7" x14ac:dyDescent="0.25">
      <c r="A420">
        <v>1637</v>
      </c>
      <c r="B420">
        <v>15</v>
      </c>
      <c r="C420" t="s">
        <v>894</v>
      </c>
      <c r="D420" t="s">
        <v>895</v>
      </c>
      <c r="E420" t="s">
        <v>1678</v>
      </c>
      <c r="F420" t="s">
        <v>1679</v>
      </c>
      <c r="G420" t="s">
        <v>4448</v>
      </c>
    </row>
    <row r="421" spans="1:7" x14ac:dyDescent="0.25">
      <c r="A421">
        <v>1638</v>
      </c>
      <c r="B421">
        <v>201</v>
      </c>
      <c r="C421" t="s">
        <v>894</v>
      </c>
      <c r="D421" t="s">
        <v>1680</v>
      </c>
      <c r="F421" t="s">
        <v>1332</v>
      </c>
    </row>
    <row r="422" spans="1:7" x14ac:dyDescent="0.25">
      <c r="A422">
        <v>1639</v>
      </c>
      <c r="B422">
        <v>201</v>
      </c>
      <c r="C422" t="s">
        <v>894</v>
      </c>
      <c r="D422" t="s">
        <v>1681</v>
      </c>
      <c r="F422" t="s">
        <v>1332</v>
      </c>
      <c r="G422" t="s">
        <v>4442</v>
      </c>
    </row>
    <row r="423" spans="1:7" x14ac:dyDescent="0.25">
      <c r="A423">
        <v>1640</v>
      </c>
      <c r="B423">
        <v>201</v>
      </c>
      <c r="C423" t="s">
        <v>894</v>
      </c>
      <c r="D423" t="s">
        <v>1682</v>
      </c>
      <c r="F423" t="s">
        <v>1332</v>
      </c>
      <c r="G423" t="s">
        <v>1262</v>
      </c>
    </row>
    <row r="424" spans="1:7" x14ac:dyDescent="0.25">
      <c r="A424">
        <v>1641</v>
      </c>
      <c r="B424">
        <v>201</v>
      </c>
      <c r="C424" t="s">
        <v>894</v>
      </c>
      <c r="D424" t="s">
        <v>1683</v>
      </c>
      <c r="F424" t="s">
        <v>1332</v>
      </c>
      <c r="G424" t="s">
        <v>4447</v>
      </c>
    </row>
    <row r="425" spans="1:7" x14ac:dyDescent="0.25">
      <c r="A425">
        <v>1643</v>
      </c>
      <c r="B425">
        <v>377</v>
      </c>
      <c r="C425" t="s">
        <v>894</v>
      </c>
      <c r="D425" t="s">
        <v>1684</v>
      </c>
      <c r="E425" t="s">
        <v>1685</v>
      </c>
      <c r="F425" t="s">
        <v>1444</v>
      </c>
      <c r="G425" t="s">
        <v>4442</v>
      </c>
    </row>
    <row r="426" spans="1:7" x14ac:dyDescent="0.25">
      <c r="A426">
        <v>1655</v>
      </c>
      <c r="B426">
        <v>327</v>
      </c>
      <c r="C426" t="s">
        <v>894</v>
      </c>
      <c r="D426" t="s">
        <v>939</v>
      </c>
      <c r="E426" t="s">
        <v>1686</v>
      </c>
      <c r="F426" t="s">
        <v>1536</v>
      </c>
      <c r="G426" t="s">
        <v>919</v>
      </c>
    </row>
    <row r="427" spans="1:7" x14ac:dyDescent="0.25">
      <c r="A427">
        <v>1659</v>
      </c>
      <c r="B427">
        <v>105</v>
      </c>
      <c r="C427" t="s">
        <v>898</v>
      </c>
      <c r="D427" t="s">
        <v>1687</v>
      </c>
      <c r="E427" t="s">
        <v>1688</v>
      </c>
      <c r="F427" t="s">
        <v>1689</v>
      </c>
    </row>
    <row r="428" spans="1:7" x14ac:dyDescent="0.25">
      <c r="A428">
        <v>1665</v>
      </c>
      <c r="B428">
        <v>194</v>
      </c>
      <c r="C428" t="s">
        <v>894</v>
      </c>
      <c r="D428" t="s">
        <v>1354</v>
      </c>
      <c r="E428" t="s">
        <v>1690</v>
      </c>
      <c r="F428" t="s">
        <v>1562</v>
      </c>
      <c r="G428" t="s">
        <v>4457</v>
      </c>
    </row>
    <row r="429" spans="1:7" x14ac:dyDescent="0.25">
      <c r="A429">
        <v>1667</v>
      </c>
      <c r="B429">
        <v>72</v>
      </c>
      <c r="C429" t="s">
        <v>894</v>
      </c>
      <c r="D429" t="s">
        <v>1691</v>
      </c>
      <c r="F429" t="s">
        <v>1086</v>
      </c>
      <c r="G429" t="s">
        <v>4459</v>
      </c>
    </row>
    <row r="430" spans="1:7" x14ac:dyDescent="0.25">
      <c r="A430">
        <v>1681</v>
      </c>
      <c r="B430">
        <v>46</v>
      </c>
      <c r="C430" t="s">
        <v>894</v>
      </c>
      <c r="D430" t="s">
        <v>1277</v>
      </c>
      <c r="E430" t="s">
        <v>1692</v>
      </c>
      <c r="F430" t="s">
        <v>1024</v>
      </c>
      <c r="G430" t="s">
        <v>1262</v>
      </c>
    </row>
    <row r="431" spans="1:7" x14ac:dyDescent="0.25">
      <c r="A431">
        <v>1682</v>
      </c>
      <c r="B431">
        <v>793</v>
      </c>
      <c r="C431" t="s">
        <v>894</v>
      </c>
      <c r="D431" t="s">
        <v>1693</v>
      </c>
      <c r="E431" t="s">
        <v>1694</v>
      </c>
      <c r="F431" t="s">
        <v>1063</v>
      </c>
      <c r="G431" t="s">
        <v>4442</v>
      </c>
    </row>
    <row r="432" spans="1:7" x14ac:dyDescent="0.25">
      <c r="A432">
        <v>1684</v>
      </c>
      <c r="B432">
        <v>28</v>
      </c>
      <c r="C432" t="s">
        <v>894</v>
      </c>
      <c r="D432" t="s">
        <v>1602</v>
      </c>
      <c r="E432" t="s">
        <v>1695</v>
      </c>
      <c r="F432" t="s">
        <v>1696</v>
      </c>
      <c r="G432" t="s">
        <v>4442</v>
      </c>
    </row>
    <row r="433" spans="1:8" x14ac:dyDescent="0.25">
      <c r="A433">
        <v>1687</v>
      </c>
      <c r="B433">
        <v>54</v>
      </c>
      <c r="C433" t="s">
        <v>894</v>
      </c>
      <c r="D433" t="s">
        <v>1697</v>
      </c>
      <c r="E433" t="s">
        <v>1698</v>
      </c>
      <c r="F433" t="s">
        <v>1013</v>
      </c>
      <c r="G433" t="s">
        <v>4447</v>
      </c>
    </row>
    <row r="434" spans="1:8" x14ac:dyDescent="0.25">
      <c r="A434">
        <v>1688</v>
      </c>
      <c r="B434">
        <v>65</v>
      </c>
      <c r="C434" t="s">
        <v>894</v>
      </c>
      <c r="D434" t="s">
        <v>1699</v>
      </c>
      <c r="E434" t="s">
        <v>1700</v>
      </c>
      <c r="F434" t="s">
        <v>1049</v>
      </c>
      <c r="G434" t="s">
        <v>4447</v>
      </c>
    </row>
    <row r="435" spans="1:8" x14ac:dyDescent="0.25">
      <c r="A435">
        <v>1689</v>
      </c>
      <c r="B435">
        <v>65</v>
      </c>
      <c r="C435" t="s">
        <v>894</v>
      </c>
      <c r="D435" t="s">
        <v>1241</v>
      </c>
      <c r="E435" t="s">
        <v>1254</v>
      </c>
      <c r="F435" t="s">
        <v>1049</v>
      </c>
      <c r="G435" t="s">
        <v>4442</v>
      </c>
    </row>
    <row r="436" spans="1:8" x14ac:dyDescent="0.25">
      <c r="A436">
        <v>1699</v>
      </c>
      <c r="B436">
        <v>320</v>
      </c>
      <c r="C436" t="s">
        <v>894</v>
      </c>
      <c r="D436" t="s">
        <v>895</v>
      </c>
      <c r="E436" t="s">
        <v>1701</v>
      </c>
      <c r="F436" t="s">
        <v>1702</v>
      </c>
      <c r="G436" t="s">
        <v>4448</v>
      </c>
    </row>
    <row r="437" spans="1:8" x14ac:dyDescent="0.25">
      <c r="A437">
        <v>1703</v>
      </c>
      <c r="B437">
        <v>340</v>
      </c>
      <c r="C437" t="s">
        <v>894</v>
      </c>
      <c r="D437" t="s">
        <v>939</v>
      </c>
      <c r="E437" t="s">
        <v>1703</v>
      </c>
      <c r="F437" t="s">
        <v>1571</v>
      </c>
      <c r="G437" t="s">
        <v>919</v>
      </c>
    </row>
    <row r="438" spans="1:8" x14ac:dyDescent="0.25">
      <c r="A438">
        <v>1709</v>
      </c>
      <c r="B438">
        <v>96</v>
      </c>
      <c r="C438" t="s">
        <v>894</v>
      </c>
      <c r="D438" t="s">
        <v>1704</v>
      </c>
      <c r="E438" t="s">
        <v>1705</v>
      </c>
      <c r="F438" t="s">
        <v>1119</v>
      </c>
      <c r="G438" t="s">
        <v>4447</v>
      </c>
    </row>
    <row r="439" spans="1:8" x14ac:dyDescent="0.25">
      <c r="A439">
        <v>1711</v>
      </c>
      <c r="B439">
        <v>186</v>
      </c>
      <c r="C439" t="s">
        <v>894</v>
      </c>
      <c r="D439" t="s">
        <v>939</v>
      </c>
      <c r="E439" t="s">
        <v>1706</v>
      </c>
      <c r="F439" t="s">
        <v>1292</v>
      </c>
      <c r="G439" t="s">
        <v>919</v>
      </c>
    </row>
    <row r="440" spans="1:8" x14ac:dyDescent="0.25">
      <c r="A440">
        <v>1713</v>
      </c>
      <c r="B440">
        <v>103</v>
      </c>
      <c r="C440" t="s">
        <v>898</v>
      </c>
      <c r="D440" t="s">
        <v>1707</v>
      </c>
      <c r="E440" t="s">
        <v>1708</v>
      </c>
      <c r="F440" t="s">
        <v>1151</v>
      </c>
      <c r="G440" t="s">
        <v>4447</v>
      </c>
    </row>
    <row r="441" spans="1:8" x14ac:dyDescent="0.25">
      <c r="A441">
        <v>1715</v>
      </c>
      <c r="B441">
        <v>57</v>
      </c>
      <c r="C441" t="s">
        <v>894</v>
      </c>
      <c r="D441" t="s">
        <v>1709</v>
      </c>
      <c r="E441" t="s">
        <v>1710</v>
      </c>
      <c r="F441" t="s">
        <v>1027</v>
      </c>
    </row>
    <row r="442" spans="1:8" x14ac:dyDescent="0.25">
      <c r="A442">
        <v>1718</v>
      </c>
      <c r="B442">
        <v>57</v>
      </c>
      <c r="C442" t="s">
        <v>894</v>
      </c>
      <c r="D442" t="s">
        <v>1320</v>
      </c>
      <c r="E442" t="s">
        <v>1711</v>
      </c>
      <c r="F442" t="s">
        <v>1027</v>
      </c>
      <c r="G442" t="s">
        <v>4447</v>
      </c>
    </row>
    <row r="443" spans="1:8" x14ac:dyDescent="0.25">
      <c r="A443">
        <v>1719</v>
      </c>
      <c r="B443">
        <v>57</v>
      </c>
      <c r="C443" t="s">
        <v>894</v>
      </c>
      <c r="D443" t="s">
        <v>1712</v>
      </c>
      <c r="E443" t="s">
        <v>1713</v>
      </c>
      <c r="F443" t="s">
        <v>1027</v>
      </c>
      <c r="G443" t="s">
        <v>1125</v>
      </c>
    </row>
    <row r="444" spans="1:8" x14ac:dyDescent="0.25">
      <c r="A444">
        <v>1720</v>
      </c>
      <c r="B444">
        <v>57</v>
      </c>
      <c r="C444" t="s">
        <v>894</v>
      </c>
      <c r="D444" t="s">
        <v>1714</v>
      </c>
      <c r="E444" t="s">
        <v>1715</v>
      </c>
      <c r="F444" t="s">
        <v>1027</v>
      </c>
    </row>
    <row r="445" spans="1:8" x14ac:dyDescent="0.25">
      <c r="A445">
        <v>1722</v>
      </c>
      <c r="B445">
        <v>57</v>
      </c>
      <c r="C445" t="s">
        <v>894</v>
      </c>
      <c r="D445" t="s">
        <v>1716</v>
      </c>
      <c r="E445" t="s">
        <v>1717</v>
      </c>
      <c r="F445" t="s">
        <v>1027</v>
      </c>
      <c r="G445" t="s">
        <v>4459</v>
      </c>
    </row>
    <row r="446" spans="1:8" x14ac:dyDescent="0.25">
      <c r="A446">
        <v>1724</v>
      </c>
      <c r="B446">
        <v>557</v>
      </c>
      <c r="C446" t="s">
        <v>898</v>
      </c>
      <c r="D446" t="s">
        <v>1718</v>
      </c>
      <c r="E446" t="s">
        <v>1719</v>
      </c>
      <c r="F446" t="s">
        <v>1720</v>
      </c>
      <c r="G446" t="s">
        <v>4442</v>
      </c>
    </row>
    <row r="447" spans="1:8" x14ac:dyDescent="0.25">
      <c r="A447">
        <v>1727</v>
      </c>
      <c r="B447">
        <v>8</v>
      </c>
      <c r="C447" t="s">
        <v>894</v>
      </c>
      <c r="D447" t="s">
        <v>1721</v>
      </c>
      <c r="E447" t="s">
        <v>1722</v>
      </c>
      <c r="F447" t="s">
        <v>1723</v>
      </c>
      <c r="G447" t="s">
        <v>4448</v>
      </c>
      <c r="H447">
        <v>6250</v>
      </c>
    </row>
    <row r="448" spans="1:8" x14ac:dyDescent="0.25">
      <c r="A448">
        <v>1729</v>
      </c>
      <c r="B448">
        <v>8</v>
      </c>
      <c r="C448" t="s">
        <v>894</v>
      </c>
      <c r="D448" t="s">
        <v>1724</v>
      </c>
      <c r="E448" t="s">
        <v>1725</v>
      </c>
      <c r="F448" t="s">
        <v>1726</v>
      </c>
      <c r="G448" t="s">
        <v>4447</v>
      </c>
    </row>
    <row r="449" spans="1:7" x14ac:dyDescent="0.25">
      <c r="A449">
        <v>1730</v>
      </c>
      <c r="B449">
        <v>643</v>
      </c>
      <c r="C449" t="s">
        <v>1188</v>
      </c>
      <c r="D449" t="s">
        <v>1727</v>
      </c>
      <c r="E449" t="s">
        <v>1728</v>
      </c>
      <c r="F449" t="s">
        <v>1191</v>
      </c>
      <c r="G449" t="s">
        <v>4442</v>
      </c>
    </row>
    <row r="450" spans="1:7" x14ac:dyDescent="0.25">
      <c r="A450">
        <v>1731</v>
      </c>
      <c r="B450">
        <v>643</v>
      </c>
      <c r="C450" t="s">
        <v>1188</v>
      </c>
      <c r="D450" t="s">
        <v>1729</v>
      </c>
      <c r="E450" t="s">
        <v>1730</v>
      </c>
      <c r="F450" t="s">
        <v>1191</v>
      </c>
      <c r="G450" t="s">
        <v>4447</v>
      </c>
    </row>
    <row r="451" spans="1:7" x14ac:dyDescent="0.25">
      <c r="A451">
        <v>1734</v>
      </c>
      <c r="B451">
        <v>111</v>
      </c>
      <c r="C451" t="s">
        <v>898</v>
      </c>
      <c r="D451" t="s">
        <v>1731</v>
      </c>
      <c r="E451" t="s">
        <v>1732</v>
      </c>
      <c r="F451" t="s">
        <v>1733</v>
      </c>
      <c r="G451" t="s">
        <v>1262</v>
      </c>
    </row>
    <row r="452" spans="1:7" x14ac:dyDescent="0.25">
      <c r="A452">
        <v>1737</v>
      </c>
      <c r="B452">
        <v>119</v>
      </c>
      <c r="C452" t="s">
        <v>898</v>
      </c>
      <c r="D452" t="s">
        <v>1734</v>
      </c>
      <c r="E452" t="s">
        <v>1735</v>
      </c>
      <c r="F452" t="s">
        <v>1736</v>
      </c>
      <c r="G452" t="s">
        <v>1262</v>
      </c>
    </row>
    <row r="453" spans="1:7" x14ac:dyDescent="0.25">
      <c r="A453">
        <v>1738</v>
      </c>
      <c r="B453">
        <v>119</v>
      </c>
      <c r="C453" t="s">
        <v>898</v>
      </c>
      <c r="D453" t="s">
        <v>1230</v>
      </c>
      <c r="E453" t="s">
        <v>1737</v>
      </c>
      <c r="F453" t="s">
        <v>1738</v>
      </c>
      <c r="G453" t="s">
        <v>4447</v>
      </c>
    </row>
    <row r="454" spans="1:7" x14ac:dyDescent="0.25">
      <c r="A454">
        <v>1747</v>
      </c>
      <c r="B454">
        <v>63</v>
      </c>
      <c r="C454" t="s">
        <v>894</v>
      </c>
      <c r="D454" t="s">
        <v>1739</v>
      </c>
      <c r="F454" t="s">
        <v>1740</v>
      </c>
      <c r="G454" t="s">
        <v>4447</v>
      </c>
    </row>
    <row r="455" spans="1:7" x14ac:dyDescent="0.25">
      <c r="A455">
        <v>1748</v>
      </c>
      <c r="B455">
        <v>63</v>
      </c>
      <c r="C455" t="s">
        <v>894</v>
      </c>
      <c r="D455" t="s">
        <v>1741</v>
      </c>
      <c r="E455" t="s">
        <v>1742</v>
      </c>
      <c r="F455" t="s">
        <v>1743</v>
      </c>
      <c r="G455" t="s">
        <v>4445</v>
      </c>
    </row>
    <row r="456" spans="1:7" x14ac:dyDescent="0.25">
      <c r="A456">
        <v>1749</v>
      </c>
      <c r="B456">
        <v>63</v>
      </c>
      <c r="C456" t="s">
        <v>894</v>
      </c>
      <c r="D456" t="s">
        <v>1744</v>
      </c>
      <c r="E456" t="s">
        <v>1745</v>
      </c>
      <c r="F456" t="s">
        <v>1743</v>
      </c>
    </row>
    <row r="457" spans="1:7" x14ac:dyDescent="0.25">
      <c r="A457">
        <v>1750</v>
      </c>
      <c r="B457">
        <v>117</v>
      </c>
      <c r="C457" t="s">
        <v>898</v>
      </c>
      <c r="D457" t="s">
        <v>1746</v>
      </c>
      <c r="F457" t="s">
        <v>1216</v>
      </c>
      <c r="G457" t="s">
        <v>4441</v>
      </c>
    </row>
    <row r="458" spans="1:7" x14ac:dyDescent="0.25">
      <c r="A458">
        <v>1751</v>
      </c>
      <c r="B458">
        <v>58</v>
      </c>
      <c r="C458" t="s">
        <v>894</v>
      </c>
      <c r="D458" t="s">
        <v>936</v>
      </c>
      <c r="F458" t="s">
        <v>1029</v>
      </c>
      <c r="G458" t="s">
        <v>4447</v>
      </c>
    </row>
    <row r="459" spans="1:7" x14ac:dyDescent="0.25">
      <c r="A459">
        <v>1759</v>
      </c>
      <c r="B459">
        <v>379</v>
      </c>
      <c r="C459" t="s">
        <v>898</v>
      </c>
      <c r="D459" t="s">
        <v>1747</v>
      </c>
      <c r="E459" t="s">
        <v>1748</v>
      </c>
      <c r="F459" t="s">
        <v>1749</v>
      </c>
    </row>
    <row r="460" spans="1:7" x14ac:dyDescent="0.25">
      <c r="A460">
        <v>1760</v>
      </c>
      <c r="B460">
        <v>62</v>
      </c>
      <c r="C460" t="s">
        <v>894</v>
      </c>
      <c r="D460" t="s">
        <v>1750</v>
      </c>
      <c r="E460" t="s">
        <v>1751</v>
      </c>
      <c r="F460" t="s">
        <v>1057</v>
      </c>
      <c r="G460" t="s">
        <v>4447</v>
      </c>
    </row>
    <row r="461" spans="1:7" x14ac:dyDescent="0.25">
      <c r="A461">
        <v>1761</v>
      </c>
      <c r="B461">
        <v>62</v>
      </c>
      <c r="C461" t="s">
        <v>894</v>
      </c>
      <c r="D461" t="s">
        <v>1752</v>
      </c>
      <c r="E461" t="s">
        <v>1753</v>
      </c>
      <c r="F461" t="s">
        <v>1057</v>
      </c>
      <c r="G461" t="s">
        <v>4447</v>
      </c>
    </row>
    <row r="462" spans="1:7" x14ac:dyDescent="0.25">
      <c r="A462">
        <v>1762</v>
      </c>
      <c r="B462">
        <v>380</v>
      </c>
      <c r="C462" t="s">
        <v>894</v>
      </c>
      <c r="D462" t="s">
        <v>1754</v>
      </c>
      <c r="E462" t="s">
        <v>1755</v>
      </c>
      <c r="F462" t="s">
        <v>1756</v>
      </c>
      <c r="G462" t="s">
        <v>1309</v>
      </c>
    </row>
    <row r="463" spans="1:7" x14ac:dyDescent="0.25">
      <c r="A463">
        <v>1764</v>
      </c>
      <c r="B463">
        <v>381</v>
      </c>
      <c r="C463" t="s">
        <v>894</v>
      </c>
      <c r="D463" t="s">
        <v>914</v>
      </c>
      <c r="E463" t="s">
        <v>1757</v>
      </c>
      <c r="F463" t="s">
        <v>1758</v>
      </c>
      <c r="G463" t="s">
        <v>4444</v>
      </c>
    </row>
    <row r="464" spans="1:7" x14ac:dyDescent="0.25">
      <c r="A464">
        <v>1765</v>
      </c>
      <c r="B464">
        <v>381</v>
      </c>
      <c r="C464" t="s">
        <v>894</v>
      </c>
      <c r="D464" t="s">
        <v>939</v>
      </c>
      <c r="E464" t="s">
        <v>1759</v>
      </c>
      <c r="F464" t="s">
        <v>1758</v>
      </c>
      <c r="G464" t="s">
        <v>919</v>
      </c>
    </row>
    <row r="465" spans="1:8" x14ac:dyDescent="0.25">
      <c r="A465">
        <v>1766</v>
      </c>
      <c r="B465">
        <v>381</v>
      </c>
      <c r="C465" t="s">
        <v>894</v>
      </c>
      <c r="D465" t="s">
        <v>1760</v>
      </c>
      <c r="E465" t="s">
        <v>1761</v>
      </c>
      <c r="F465" t="s">
        <v>1762</v>
      </c>
      <c r="G465" t="s">
        <v>4448</v>
      </c>
    </row>
    <row r="466" spans="1:8" x14ac:dyDescent="0.25">
      <c r="A466">
        <v>1767</v>
      </c>
      <c r="B466">
        <v>381</v>
      </c>
      <c r="C466" t="s">
        <v>894</v>
      </c>
      <c r="D466" t="s">
        <v>1763</v>
      </c>
      <c r="E466" t="s">
        <v>1764</v>
      </c>
      <c r="F466" t="s">
        <v>1765</v>
      </c>
      <c r="G466" t="s">
        <v>1125</v>
      </c>
    </row>
    <row r="467" spans="1:8" x14ac:dyDescent="0.25">
      <c r="A467">
        <v>1775</v>
      </c>
      <c r="B467">
        <v>130</v>
      </c>
      <c r="C467" t="s">
        <v>894</v>
      </c>
      <c r="D467" t="s">
        <v>1766</v>
      </c>
      <c r="E467" t="s">
        <v>1767</v>
      </c>
      <c r="F467" t="s">
        <v>1768</v>
      </c>
      <c r="G467" t="s">
        <v>1084</v>
      </c>
    </row>
    <row r="468" spans="1:8" x14ac:dyDescent="0.25">
      <c r="A468">
        <v>1776</v>
      </c>
      <c r="B468">
        <v>130</v>
      </c>
      <c r="C468" t="s">
        <v>894</v>
      </c>
      <c r="D468" t="s">
        <v>1769</v>
      </c>
      <c r="E468" t="s">
        <v>1770</v>
      </c>
      <c r="F468" t="s">
        <v>1768</v>
      </c>
      <c r="G468" t="s">
        <v>4442</v>
      </c>
    </row>
    <row r="469" spans="1:8" x14ac:dyDescent="0.25">
      <c r="A469">
        <v>1778</v>
      </c>
      <c r="B469">
        <v>325</v>
      </c>
      <c r="C469" t="s">
        <v>898</v>
      </c>
      <c r="D469" t="s">
        <v>1771</v>
      </c>
      <c r="E469" t="s">
        <v>1772</v>
      </c>
      <c r="F469" t="s">
        <v>1773</v>
      </c>
    </row>
    <row r="470" spans="1:8" x14ac:dyDescent="0.25">
      <c r="A470">
        <v>1779</v>
      </c>
      <c r="B470">
        <v>325</v>
      </c>
      <c r="C470" t="s">
        <v>898</v>
      </c>
      <c r="D470" t="s">
        <v>1774</v>
      </c>
      <c r="E470" t="s">
        <v>1775</v>
      </c>
      <c r="F470" t="s">
        <v>1776</v>
      </c>
    </row>
    <row r="471" spans="1:8" x14ac:dyDescent="0.25">
      <c r="A471">
        <v>1789</v>
      </c>
      <c r="B471">
        <v>91</v>
      </c>
      <c r="C471" t="s">
        <v>894</v>
      </c>
      <c r="D471" t="s">
        <v>1448</v>
      </c>
      <c r="F471" t="s">
        <v>1114</v>
      </c>
      <c r="G471" t="s">
        <v>4442</v>
      </c>
    </row>
    <row r="472" spans="1:8" x14ac:dyDescent="0.25">
      <c r="A472">
        <v>1792</v>
      </c>
      <c r="B472">
        <v>29</v>
      </c>
      <c r="C472" t="s">
        <v>894</v>
      </c>
      <c r="D472" t="s">
        <v>1777</v>
      </c>
      <c r="E472" t="s">
        <v>1778</v>
      </c>
      <c r="F472" t="s">
        <v>1083</v>
      </c>
      <c r="G472" t="s">
        <v>4447</v>
      </c>
    </row>
    <row r="473" spans="1:8" x14ac:dyDescent="0.25">
      <c r="A473">
        <v>1804</v>
      </c>
      <c r="B473">
        <v>38</v>
      </c>
      <c r="C473" t="s">
        <v>894</v>
      </c>
      <c r="D473" t="s">
        <v>1779</v>
      </c>
      <c r="E473" t="s">
        <v>1780</v>
      </c>
      <c r="F473" t="s">
        <v>980</v>
      </c>
      <c r="G473" t="s">
        <v>4447</v>
      </c>
    </row>
    <row r="474" spans="1:8" x14ac:dyDescent="0.25">
      <c r="A474">
        <v>1827</v>
      </c>
      <c r="B474">
        <v>385</v>
      </c>
      <c r="C474" t="s">
        <v>894</v>
      </c>
      <c r="D474" t="s">
        <v>1781</v>
      </c>
      <c r="E474" t="s">
        <v>1782</v>
      </c>
      <c r="F474" t="s">
        <v>1783</v>
      </c>
      <c r="G474" t="s">
        <v>1309</v>
      </c>
      <c r="H474">
        <v>1</v>
      </c>
    </row>
    <row r="475" spans="1:8" x14ac:dyDescent="0.25">
      <c r="A475">
        <v>1828</v>
      </c>
      <c r="B475">
        <v>31</v>
      </c>
      <c r="C475" t="s">
        <v>898</v>
      </c>
      <c r="D475" t="s">
        <v>1784</v>
      </c>
      <c r="E475" t="s">
        <v>1785</v>
      </c>
      <c r="F475" t="s">
        <v>1481</v>
      </c>
      <c r="G475" t="s">
        <v>1309</v>
      </c>
      <c r="H475">
        <v>2</v>
      </c>
    </row>
    <row r="476" spans="1:8" x14ac:dyDescent="0.25">
      <c r="A476">
        <v>1829</v>
      </c>
      <c r="B476">
        <v>414</v>
      </c>
      <c r="C476" t="s">
        <v>898</v>
      </c>
      <c r="D476" t="s">
        <v>1786</v>
      </c>
      <c r="E476" t="s">
        <v>1787</v>
      </c>
      <c r="F476" t="s">
        <v>1788</v>
      </c>
    </row>
    <row r="477" spans="1:8" x14ac:dyDescent="0.25">
      <c r="A477">
        <v>1839</v>
      </c>
      <c r="B477">
        <v>386</v>
      </c>
      <c r="C477" t="s">
        <v>1188</v>
      </c>
      <c r="D477" t="s">
        <v>1789</v>
      </c>
      <c r="E477" t="s">
        <v>1790</v>
      </c>
      <c r="F477" t="s">
        <v>1791</v>
      </c>
      <c r="G477" t="s">
        <v>4442</v>
      </c>
    </row>
    <row r="478" spans="1:8" x14ac:dyDescent="0.25">
      <c r="A478">
        <v>1840</v>
      </c>
      <c r="B478">
        <v>386</v>
      </c>
      <c r="C478" t="s">
        <v>1188</v>
      </c>
      <c r="D478" t="s">
        <v>1792</v>
      </c>
      <c r="E478" t="s">
        <v>1790</v>
      </c>
      <c r="F478" t="s">
        <v>1791</v>
      </c>
      <c r="G478" t="s">
        <v>4447</v>
      </c>
    </row>
    <row r="479" spans="1:8" x14ac:dyDescent="0.25">
      <c r="A479">
        <v>1841</v>
      </c>
      <c r="B479">
        <v>386</v>
      </c>
      <c r="C479" t="s">
        <v>1188</v>
      </c>
      <c r="D479" t="s">
        <v>1793</v>
      </c>
      <c r="E479" t="s">
        <v>1790</v>
      </c>
      <c r="F479" t="s">
        <v>1791</v>
      </c>
      <c r="G479" t="s">
        <v>919</v>
      </c>
    </row>
    <row r="480" spans="1:8" x14ac:dyDescent="0.25">
      <c r="A480">
        <v>1842</v>
      </c>
      <c r="B480">
        <v>386</v>
      </c>
      <c r="C480" t="s">
        <v>1188</v>
      </c>
      <c r="D480" t="s">
        <v>1794</v>
      </c>
      <c r="E480" t="s">
        <v>1790</v>
      </c>
      <c r="F480" t="s">
        <v>1791</v>
      </c>
      <c r="G480" t="s">
        <v>2758</v>
      </c>
    </row>
    <row r="481" spans="1:8" x14ac:dyDescent="0.25">
      <c r="A481">
        <v>1843</v>
      </c>
      <c r="B481">
        <v>114</v>
      </c>
      <c r="C481" t="s">
        <v>1188</v>
      </c>
      <c r="D481" t="s">
        <v>1795</v>
      </c>
      <c r="G481" t="s">
        <v>4441</v>
      </c>
    </row>
    <row r="482" spans="1:8" x14ac:dyDescent="0.25">
      <c r="A482">
        <v>1844</v>
      </c>
      <c r="B482">
        <v>386</v>
      </c>
      <c r="C482" t="s">
        <v>1188</v>
      </c>
      <c r="D482" t="s">
        <v>1795</v>
      </c>
      <c r="F482" t="s">
        <v>1796</v>
      </c>
      <c r="G482" t="s">
        <v>4441</v>
      </c>
    </row>
    <row r="483" spans="1:8" x14ac:dyDescent="0.25">
      <c r="A483">
        <v>1845</v>
      </c>
      <c r="B483">
        <v>643</v>
      </c>
      <c r="C483" t="s">
        <v>1188</v>
      </c>
      <c r="D483" t="s">
        <v>1797</v>
      </c>
      <c r="E483" t="s">
        <v>1798</v>
      </c>
      <c r="F483" t="s">
        <v>1191</v>
      </c>
      <c r="G483" t="s">
        <v>1309</v>
      </c>
      <c r="H483">
        <v>4</v>
      </c>
    </row>
    <row r="484" spans="1:8" x14ac:dyDescent="0.25">
      <c r="A484">
        <v>1848</v>
      </c>
      <c r="B484">
        <v>120</v>
      </c>
      <c r="C484" t="s">
        <v>1188</v>
      </c>
      <c r="D484" t="s">
        <v>1799</v>
      </c>
      <c r="F484" t="s">
        <v>1800</v>
      </c>
      <c r="G484" t="s">
        <v>4441</v>
      </c>
    </row>
    <row r="485" spans="1:8" x14ac:dyDescent="0.25">
      <c r="A485">
        <v>1849</v>
      </c>
      <c r="B485">
        <v>119</v>
      </c>
      <c r="C485" t="s">
        <v>898</v>
      </c>
      <c r="D485" t="s">
        <v>1228</v>
      </c>
      <c r="E485" t="s">
        <v>1801</v>
      </c>
      <c r="F485" t="s">
        <v>1738</v>
      </c>
      <c r="G485" t="s">
        <v>4447</v>
      </c>
    </row>
    <row r="486" spans="1:8" x14ac:dyDescent="0.25">
      <c r="A486">
        <v>1850</v>
      </c>
      <c r="B486">
        <v>119</v>
      </c>
      <c r="C486" t="s">
        <v>898</v>
      </c>
      <c r="D486" t="s">
        <v>1802</v>
      </c>
      <c r="E486" t="s">
        <v>1803</v>
      </c>
      <c r="F486" t="s">
        <v>1804</v>
      </c>
      <c r="G486" t="s">
        <v>1125</v>
      </c>
    </row>
    <row r="487" spans="1:8" x14ac:dyDescent="0.25">
      <c r="A487">
        <v>1851</v>
      </c>
      <c r="B487">
        <v>119</v>
      </c>
      <c r="C487" t="s">
        <v>898</v>
      </c>
      <c r="D487" t="s">
        <v>1805</v>
      </c>
      <c r="E487" t="s">
        <v>1806</v>
      </c>
      <c r="F487" t="s">
        <v>1804</v>
      </c>
      <c r="G487" t="s">
        <v>4448</v>
      </c>
    </row>
    <row r="488" spans="1:8" x14ac:dyDescent="0.25">
      <c r="A488">
        <v>1852</v>
      </c>
      <c r="B488">
        <v>119</v>
      </c>
      <c r="C488" t="s">
        <v>898</v>
      </c>
      <c r="D488" t="s">
        <v>1807</v>
      </c>
      <c r="E488" t="s">
        <v>1808</v>
      </c>
      <c r="F488" t="s">
        <v>1809</v>
      </c>
      <c r="G488" t="s">
        <v>4442</v>
      </c>
    </row>
    <row r="489" spans="1:8" x14ac:dyDescent="0.25">
      <c r="A489">
        <v>1853</v>
      </c>
      <c r="B489">
        <v>119</v>
      </c>
      <c r="C489" t="s">
        <v>898</v>
      </c>
      <c r="D489" t="s">
        <v>1810</v>
      </c>
      <c r="E489" t="s">
        <v>1811</v>
      </c>
      <c r="F489" t="s">
        <v>1809</v>
      </c>
      <c r="G489" t="s">
        <v>4442</v>
      </c>
    </row>
    <row r="490" spans="1:8" x14ac:dyDescent="0.25">
      <c r="A490">
        <v>1854</v>
      </c>
      <c r="B490">
        <v>119</v>
      </c>
      <c r="C490" t="s">
        <v>898</v>
      </c>
      <c r="D490" t="s">
        <v>1812</v>
      </c>
      <c r="E490" t="s">
        <v>1813</v>
      </c>
      <c r="F490" t="s">
        <v>1814</v>
      </c>
      <c r="G490" t="s">
        <v>1457</v>
      </c>
    </row>
    <row r="491" spans="1:8" x14ac:dyDescent="0.25">
      <c r="A491">
        <v>1855</v>
      </c>
      <c r="B491">
        <v>119</v>
      </c>
      <c r="C491" t="s">
        <v>898</v>
      </c>
      <c r="D491" t="s">
        <v>1815</v>
      </c>
      <c r="E491" t="s">
        <v>1816</v>
      </c>
      <c r="F491" t="s">
        <v>1817</v>
      </c>
      <c r="G491" t="s">
        <v>4441</v>
      </c>
    </row>
    <row r="492" spans="1:8" x14ac:dyDescent="0.25">
      <c r="A492">
        <v>1856</v>
      </c>
      <c r="B492">
        <v>119</v>
      </c>
      <c r="C492" t="s">
        <v>898</v>
      </c>
      <c r="D492" t="s">
        <v>1818</v>
      </c>
      <c r="E492" t="s">
        <v>1819</v>
      </c>
      <c r="F492" t="s">
        <v>1817</v>
      </c>
    </row>
    <row r="493" spans="1:8" x14ac:dyDescent="0.25">
      <c r="A493">
        <v>1857</v>
      </c>
      <c r="B493">
        <v>119</v>
      </c>
      <c r="C493" t="s">
        <v>898</v>
      </c>
      <c r="D493" t="s">
        <v>1820</v>
      </c>
      <c r="E493" t="s">
        <v>1821</v>
      </c>
      <c r="F493" t="s">
        <v>1817</v>
      </c>
      <c r="G493" t="s">
        <v>4450</v>
      </c>
    </row>
    <row r="494" spans="1:8" x14ac:dyDescent="0.25">
      <c r="A494">
        <v>1860</v>
      </c>
      <c r="B494">
        <v>106</v>
      </c>
      <c r="C494" t="s">
        <v>898</v>
      </c>
      <c r="D494" t="s">
        <v>1822</v>
      </c>
      <c r="E494" t="s">
        <v>1823</v>
      </c>
      <c r="F494" t="s">
        <v>1824</v>
      </c>
    </row>
    <row r="495" spans="1:8" x14ac:dyDescent="0.25">
      <c r="A495">
        <v>1861</v>
      </c>
      <c r="B495">
        <v>106</v>
      </c>
      <c r="C495" t="s">
        <v>898</v>
      </c>
      <c r="D495" t="s">
        <v>1825</v>
      </c>
      <c r="E495" t="s">
        <v>1826</v>
      </c>
      <c r="F495" t="s">
        <v>1827</v>
      </c>
      <c r="G495" t="s">
        <v>4442</v>
      </c>
    </row>
    <row r="496" spans="1:8" x14ac:dyDescent="0.25">
      <c r="A496">
        <v>1862</v>
      </c>
      <c r="B496">
        <v>106</v>
      </c>
      <c r="C496" t="s">
        <v>898</v>
      </c>
      <c r="D496" t="s">
        <v>1828</v>
      </c>
      <c r="E496" t="s">
        <v>1829</v>
      </c>
      <c r="F496" t="s">
        <v>1830</v>
      </c>
      <c r="G496" t="s">
        <v>4442</v>
      </c>
    </row>
    <row r="497" spans="1:8" x14ac:dyDescent="0.25">
      <c r="A497">
        <v>1864</v>
      </c>
      <c r="B497">
        <v>102</v>
      </c>
      <c r="C497" t="s">
        <v>898</v>
      </c>
      <c r="D497" t="s">
        <v>1831</v>
      </c>
      <c r="E497" t="s">
        <v>1832</v>
      </c>
      <c r="F497" t="s">
        <v>1142</v>
      </c>
      <c r="G497" t="s">
        <v>4447</v>
      </c>
    </row>
    <row r="498" spans="1:8" x14ac:dyDescent="0.25">
      <c r="A498">
        <v>1865</v>
      </c>
      <c r="B498">
        <v>557</v>
      </c>
      <c r="C498" t="s">
        <v>898</v>
      </c>
      <c r="D498" t="s">
        <v>1833</v>
      </c>
      <c r="E498" t="s">
        <v>1834</v>
      </c>
      <c r="F498" t="s">
        <v>1158</v>
      </c>
      <c r="G498" t="s">
        <v>4442</v>
      </c>
    </row>
    <row r="499" spans="1:8" x14ac:dyDescent="0.25">
      <c r="A499">
        <v>1866</v>
      </c>
      <c r="B499">
        <v>105</v>
      </c>
      <c r="C499" t="s">
        <v>898</v>
      </c>
      <c r="D499" t="s">
        <v>1835</v>
      </c>
      <c r="E499" t="s">
        <v>1836</v>
      </c>
      <c r="F499" t="s">
        <v>1837</v>
      </c>
      <c r="G499" t="s">
        <v>2758</v>
      </c>
      <c r="H499">
        <v>1250</v>
      </c>
    </row>
    <row r="500" spans="1:8" x14ac:dyDescent="0.25">
      <c r="A500">
        <v>1867</v>
      </c>
      <c r="B500">
        <v>105</v>
      </c>
      <c r="C500" t="s">
        <v>898</v>
      </c>
      <c r="D500" t="s">
        <v>1838</v>
      </c>
      <c r="E500" t="s">
        <v>1839</v>
      </c>
      <c r="F500" t="s">
        <v>1840</v>
      </c>
      <c r="G500" t="s">
        <v>4447</v>
      </c>
    </row>
    <row r="501" spans="1:8" x14ac:dyDescent="0.25">
      <c r="A501">
        <v>1868</v>
      </c>
      <c r="B501">
        <v>105</v>
      </c>
      <c r="C501" t="s">
        <v>898</v>
      </c>
      <c r="D501" t="s">
        <v>1841</v>
      </c>
      <c r="E501" t="s">
        <v>1842</v>
      </c>
      <c r="F501" t="s">
        <v>1843</v>
      </c>
      <c r="G501" t="s">
        <v>4448</v>
      </c>
      <c r="H501">
        <v>2000</v>
      </c>
    </row>
    <row r="502" spans="1:8" x14ac:dyDescent="0.25">
      <c r="A502">
        <v>1870</v>
      </c>
      <c r="B502">
        <v>83</v>
      </c>
      <c r="C502" t="s">
        <v>898</v>
      </c>
      <c r="D502" t="s">
        <v>1844</v>
      </c>
      <c r="E502" t="s">
        <v>1845</v>
      </c>
      <c r="F502" t="s">
        <v>1846</v>
      </c>
      <c r="G502" t="s">
        <v>4447</v>
      </c>
    </row>
    <row r="503" spans="1:8" x14ac:dyDescent="0.25">
      <c r="A503">
        <v>1875</v>
      </c>
      <c r="B503">
        <v>117</v>
      </c>
      <c r="C503" t="s">
        <v>898</v>
      </c>
      <c r="D503" t="s">
        <v>1847</v>
      </c>
      <c r="F503" t="s">
        <v>1216</v>
      </c>
      <c r="G503" t="s">
        <v>1309</v>
      </c>
    </row>
    <row r="504" spans="1:8" x14ac:dyDescent="0.25">
      <c r="A504">
        <v>1878</v>
      </c>
      <c r="B504">
        <v>117</v>
      </c>
      <c r="C504" t="s">
        <v>898</v>
      </c>
      <c r="D504" t="s">
        <v>1848</v>
      </c>
      <c r="F504" t="s">
        <v>1216</v>
      </c>
    </row>
    <row r="505" spans="1:8" x14ac:dyDescent="0.25">
      <c r="A505">
        <v>1884</v>
      </c>
      <c r="B505">
        <v>112</v>
      </c>
      <c r="C505" t="s">
        <v>898</v>
      </c>
      <c r="D505" t="s">
        <v>1479</v>
      </c>
      <c r="E505" t="s">
        <v>1849</v>
      </c>
      <c r="F505" t="s">
        <v>1850</v>
      </c>
      <c r="G505" t="s">
        <v>2758</v>
      </c>
    </row>
    <row r="506" spans="1:8" x14ac:dyDescent="0.25">
      <c r="A506">
        <v>1885</v>
      </c>
      <c r="B506">
        <v>112</v>
      </c>
      <c r="C506" t="s">
        <v>898</v>
      </c>
      <c r="D506" t="s">
        <v>1851</v>
      </c>
      <c r="E506" t="s">
        <v>1852</v>
      </c>
      <c r="F506" t="s">
        <v>1853</v>
      </c>
      <c r="G506" t="s">
        <v>4441</v>
      </c>
    </row>
    <row r="507" spans="1:8" x14ac:dyDescent="0.25">
      <c r="A507">
        <v>1886</v>
      </c>
      <c r="B507">
        <v>111</v>
      </c>
      <c r="C507" t="s">
        <v>898</v>
      </c>
      <c r="D507" t="s">
        <v>1854</v>
      </c>
      <c r="F507" t="s">
        <v>1855</v>
      </c>
      <c r="G507" t="s">
        <v>4453</v>
      </c>
    </row>
    <row r="508" spans="1:8" x14ac:dyDescent="0.25">
      <c r="A508">
        <v>1887</v>
      </c>
      <c r="B508">
        <v>111</v>
      </c>
      <c r="C508" t="s">
        <v>898</v>
      </c>
      <c r="D508" t="s">
        <v>1856</v>
      </c>
      <c r="F508" t="s">
        <v>1855</v>
      </c>
      <c r="G508" t="s">
        <v>4441</v>
      </c>
    </row>
    <row r="509" spans="1:8" x14ac:dyDescent="0.25">
      <c r="A509">
        <v>1889</v>
      </c>
      <c r="B509">
        <v>111</v>
      </c>
      <c r="C509" t="s">
        <v>898</v>
      </c>
      <c r="D509" t="s">
        <v>1857</v>
      </c>
      <c r="E509" t="s">
        <v>1858</v>
      </c>
      <c r="F509" t="s">
        <v>1859</v>
      </c>
      <c r="G509" t="s">
        <v>919</v>
      </c>
    </row>
    <row r="510" spans="1:8" x14ac:dyDescent="0.25">
      <c r="A510">
        <v>1890</v>
      </c>
      <c r="B510">
        <v>111</v>
      </c>
      <c r="C510" t="s">
        <v>898</v>
      </c>
      <c r="D510" t="s">
        <v>1860</v>
      </c>
      <c r="E510" t="s">
        <v>1861</v>
      </c>
      <c r="F510" t="s">
        <v>1862</v>
      </c>
      <c r="G510" t="s">
        <v>4447</v>
      </c>
    </row>
    <row r="511" spans="1:8" x14ac:dyDescent="0.25">
      <c r="A511">
        <v>1895</v>
      </c>
      <c r="B511">
        <v>388</v>
      </c>
      <c r="C511" t="s">
        <v>1188</v>
      </c>
      <c r="D511" t="s">
        <v>1863</v>
      </c>
      <c r="E511" t="s">
        <v>1864</v>
      </c>
      <c r="F511" t="s">
        <v>1865</v>
      </c>
      <c r="G511" t="s">
        <v>4444</v>
      </c>
    </row>
    <row r="512" spans="1:8" x14ac:dyDescent="0.25">
      <c r="A512">
        <v>1896</v>
      </c>
      <c r="B512">
        <v>388</v>
      </c>
      <c r="C512" t="s">
        <v>1188</v>
      </c>
      <c r="D512" t="s">
        <v>1866</v>
      </c>
      <c r="E512" t="s">
        <v>1867</v>
      </c>
      <c r="F512" t="s">
        <v>1865</v>
      </c>
      <c r="G512" t="s">
        <v>4447</v>
      </c>
    </row>
    <row r="513" spans="1:7" x14ac:dyDescent="0.25">
      <c r="A513">
        <v>1897</v>
      </c>
      <c r="B513">
        <v>388</v>
      </c>
      <c r="C513" t="s">
        <v>1188</v>
      </c>
      <c r="D513" t="s">
        <v>1868</v>
      </c>
      <c r="F513" t="s">
        <v>1865</v>
      </c>
      <c r="G513" t="s">
        <v>4447</v>
      </c>
    </row>
    <row r="514" spans="1:7" x14ac:dyDescent="0.25">
      <c r="A514">
        <v>1898</v>
      </c>
      <c r="B514">
        <v>388</v>
      </c>
      <c r="C514" t="s">
        <v>1188</v>
      </c>
      <c r="D514" t="s">
        <v>1869</v>
      </c>
      <c r="F514" t="s">
        <v>1865</v>
      </c>
      <c r="G514" t="s">
        <v>4442</v>
      </c>
    </row>
    <row r="515" spans="1:7" x14ac:dyDescent="0.25">
      <c r="A515">
        <v>1899</v>
      </c>
      <c r="B515">
        <v>388</v>
      </c>
      <c r="C515" t="s">
        <v>1188</v>
      </c>
      <c r="D515" t="s">
        <v>1870</v>
      </c>
      <c r="F515" t="s">
        <v>1865</v>
      </c>
      <c r="G515" t="s">
        <v>919</v>
      </c>
    </row>
    <row r="516" spans="1:7" x14ac:dyDescent="0.25">
      <c r="A516">
        <v>1900</v>
      </c>
      <c r="B516">
        <v>388</v>
      </c>
      <c r="C516" t="s">
        <v>1188</v>
      </c>
      <c r="D516" t="s">
        <v>1871</v>
      </c>
      <c r="E516" t="s">
        <v>1872</v>
      </c>
      <c r="F516" t="s">
        <v>1865</v>
      </c>
      <c r="G516" t="s">
        <v>919</v>
      </c>
    </row>
    <row r="517" spans="1:7" x14ac:dyDescent="0.25">
      <c r="A517">
        <v>1901</v>
      </c>
      <c r="B517">
        <v>388</v>
      </c>
      <c r="C517" t="s">
        <v>1188</v>
      </c>
      <c r="D517" t="s">
        <v>1873</v>
      </c>
      <c r="F517" t="s">
        <v>1874</v>
      </c>
    </row>
    <row r="518" spans="1:7" x14ac:dyDescent="0.25">
      <c r="A518">
        <v>1902</v>
      </c>
      <c r="B518">
        <v>388</v>
      </c>
      <c r="C518" t="s">
        <v>1188</v>
      </c>
      <c r="D518" t="s">
        <v>1795</v>
      </c>
      <c r="E518" t="s">
        <v>1875</v>
      </c>
      <c r="F518" t="s">
        <v>1874</v>
      </c>
      <c r="G518" t="s">
        <v>4441</v>
      </c>
    </row>
    <row r="519" spans="1:7" x14ac:dyDescent="0.25">
      <c r="A519">
        <v>1903</v>
      </c>
      <c r="B519">
        <v>389</v>
      </c>
      <c r="C519" t="s">
        <v>1188</v>
      </c>
      <c r="D519" t="s">
        <v>1876</v>
      </c>
      <c r="E519" t="s">
        <v>1877</v>
      </c>
      <c r="F519" t="s">
        <v>1878</v>
      </c>
      <c r="G519" t="s">
        <v>4445</v>
      </c>
    </row>
    <row r="520" spans="1:7" x14ac:dyDescent="0.25">
      <c r="A520">
        <v>1905</v>
      </c>
      <c r="B520">
        <v>391</v>
      </c>
      <c r="C520" t="s">
        <v>1188</v>
      </c>
      <c r="D520" t="s">
        <v>1879</v>
      </c>
      <c r="E520" t="s">
        <v>1880</v>
      </c>
      <c r="F520" t="s">
        <v>1881</v>
      </c>
      <c r="G520" t="s">
        <v>4444</v>
      </c>
    </row>
    <row r="521" spans="1:7" x14ac:dyDescent="0.25">
      <c r="A521">
        <v>1906</v>
      </c>
      <c r="B521">
        <v>391</v>
      </c>
      <c r="C521" t="s">
        <v>1188</v>
      </c>
      <c r="D521" t="s">
        <v>1882</v>
      </c>
      <c r="F521" t="s">
        <v>1881</v>
      </c>
      <c r="G521" t="s">
        <v>4440</v>
      </c>
    </row>
    <row r="522" spans="1:7" x14ac:dyDescent="0.25">
      <c r="A522">
        <v>1907</v>
      </c>
      <c r="B522">
        <v>391</v>
      </c>
      <c r="C522" t="s">
        <v>1188</v>
      </c>
      <c r="D522" t="s">
        <v>1883</v>
      </c>
      <c r="F522" t="s">
        <v>1881</v>
      </c>
    </row>
    <row r="523" spans="1:7" x14ac:dyDescent="0.25">
      <c r="A523">
        <v>1908</v>
      </c>
      <c r="B523">
        <v>391</v>
      </c>
      <c r="C523" t="s">
        <v>1188</v>
      </c>
      <c r="D523" t="s">
        <v>1884</v>
      </c>
      <c r="E523" t="s">
        <v>1885</v>
      </c>
      <c r="F523" t="s">
        <v>1886</v>
      </c>
      <c r="G523" t="s">
        <v>2758</v>
      </c>
    </row>
    <row r="524" spans="1:7" x14ac:dyDescent="0.25">
      <c r="A524">
        <v>1909</v>
      </c>
      <c r="B524">
        <v>391</v>
      </c>
      <c r="C524" t="s">
        <v>1188</v>
      </c>
      <c r="D524" t="s">
        <v>1887</v>
      </c>
      <c r="F524" t="s">
        <v>1881</v>
      </c>
      <c r="G524" t="s">
        <v>4442</v>
      </c>
    </row>
    <row r="525" spans="1:7" x14ac:dyDescent="0.25">
      <c r="A525">
        <v>1910</v>
      </c>
      <c r="B525">
        <v>391</v>
      </c>
      <c r="C525" t="s">
        <v>1188</v>
      </c>
      <c r="D525" t="s">
        <v>1888</v>
      </c>
      <c r="E525" t="s">
        <v>1889</v>
      </c>
      <c r="F525" t="s">
        <v>1881</v>
      </c>
      <c r="G525" t="s">
        <v>919</v>
      </c>
    </row>
    <row r="526" spans="1:7" x14ac:dyDescent="0.25">
      <c r="A526">
        <v>1911</v>
      </c>
      <c r="B526">
        <v>391</v>
      </c>
      <c r="C526" t="s">
        <v>1188</v>
      </c>
      <c r="D526" t="s">
        <v>1205</v>
      </c>
      <c r="F526" t="s">
        <v>1881</v>
      </c>
      <c r="G526" t="s">
        <v>4441</v>
      </c>
    </row>
    <row r="527" spans="1:7" x14ac:dyDescent="0.25">
      <c r="A527">
        <v>1931</v>
      </c>
      <c r="B527">
        <v>394</v>
      </c>
      <c r="C527" t="s">
        <v>898</v>
      </c>
      <c r="D527" t="s">
        <v>1230</v>
      </c>
      <c r="E527" t="s">
        <v>1890</v>
      </c>
      <c r="F527" t="s">
        <v>1891</v>
      </c>
      <c r="G527" t="s">
        <v>4443</v>
      </c>
    </row>
    <row r="528" spans="1:7" x14ac:dyDescent="0.25">
      <c r="A528">
        <v>1932</v>
      </c>
      <c r="B528">
        <v>394</v>
      </c>
      <c r="C528" t="s">
        <v>898</v>
      </c>
      <c r="D528" t="s">
        <v>1892</v>
      </c>
      <c r="F528" t="s">
        <v>1891</v>
      </c>
      <c r="G528" t="s">
        <v>4444</v>
      </c>
    </row>
    <row r="529" spans="1:7" x14ac:dyDescent="0.25">
      <c r="A529">
        <v>1933</v>
      </c>
      <c r="B529">
        <v>394</v>
      </c>
      <c r="C529" t="s">
        <v>898</v>
      </c>
      <c r="D529" t="s">
        <v>1893</v>
      </c>
      <c r="F529" t="s">
        <v>1891</v>
      </c>
      <c r="G529" t="s">
        <v>4442</v>
      </c>
    </row>
    <row r="530" spans="1:7" x14ac:dyDescent="0.25">
      <c r="A530">
        <v>1934</v>
      </c>
      <c r="B530">
        <v>394</v>
      </c>
      <c r="C530" t="s">
        <v>898</v>
      </c>
      <c r="D530" t="s">
        <v>1084</v>
      </c>
      <c r="F530" t="s">
        <v>1891</v>
      </c>
      <c r="G530" t="s">
        <v>4442</v>
      </c>
    </row>
    <row r="531" spans="1:7" x14ac:dyDescent="0.25">
      <c r="A531">
        <v>1935</v>
      </c>
      <c r="B531">
        <v>394</v>
      </c>
      <c r="C531" t="s">
        <v>898</v>
      </c>
      <c r="D531" t="s">
        <v>1894</v>
      </c>
      <c r="F531" t="s">
        <v>1891</v>
      </c>
      <c r="G531" t="s">
        <v>4448</v>
      </c>
    </row>
    <row r="532" spans="1:7" x14ac:dyDescent="0.25">
      <c r="A532">
        <v>1936</v>
      </c>
      <c r="B532">
        <v>110</v>
      </c>
      <c r="C532" t="s">
        <v>1188</v>
      </c>
      <c r="D532" t="s">
        <v>1895</v>
      </c>
      <c r="F532" t="s">
        <v>1206</v>
      </c>
      <c r="G532" t="s">
        <v>4442</v>
      </c>
    </row>
    <row r="533" spans="1:7" x14ac:dyDescent="0.25">
      <c r="A533">
        <v>1937</v>
      </c>
      <c r="B533">
        <v>394</v>
      </c>
      <c r="C533" t="s">
        <v>898</v>
      </c>
      <c r="D533" t="s">
        <v>1228</v>
      </c>
      <c r="F533" t="s">
        <v>1891</v>
      </c>
      <c r="G533" t="s">
        <v>4447</v>
      </c>
    </row>
    <row r="534" spans="1:7" x14ac:dyDescent="0.25">
      <c r="A534">
        <v>1939</v>
      </c>
      <c r="B534">
        <v>110</v>
      </c>
      <c r="C534" t="s">
        <v>1188</v>
      </c>
      <c r="D534" t="s">
        <v>1896</v>
      </c>
      <c r="F534" t="s">
        <v>1206</v>
      </c>
      <c r="G534" t="s">
        <v>4447</v>
      </c>
    </row>
    <row r="535" spans="1:7" x14ac:dyDescent="0.25">
      <c r="A535">
        <v>1940</v>
      </c>
      <c r="B535">
        <v>110</v>
      </c>
      <c r="C535" t="s">
        <v>1188</v>
      </c>
      <c r="D535" t="s">
        <v>1897</v>
      </c>
      <c r="E535" t="s">
        <v>1898</v>
      </c>
      <c r="F535" t="s">
        <v>1206</v>
      </c>
      <c r="G535" t="s">
        <v>2758</v>
      </c>
    </row>
    <row r="536" spans="1:7" x14ac:dyDescent="0.25">
      <c r="A536">
        <v>1948</v>
      </c>
      <c r="B536">
        <v>109</v>
      </c>
      <c r="C536" t="s">
        <v>1188</v>
      </c>
      <c r="D536" t="s">
        <v>1899</v>
      </c>
      <c r="F536" t="s">
        <v>1198</v>
      </c>
      <c r="G536" t="s">
        <v>4442</v>
      </c>
    </row>
    <row r="537" spans="1:7" x14ac:dyDescent="0.25">
      <c r="A537">
        <v>1949</v>
      </c>
      <c r="B537">
        <v>109</v>
      </c>
      <c r="C537" t="s">
        <v>1188</v>
      </c>
      <c r="D537" t="s">
        <v>1900</v>
      </c>
      <c r="F537" t="s">
        <v>1198</v>
      </c>
      <c r="G537" t="s">
        <v>2758</v>
      </c>
    </row>
    <row r="538" spans="1:7" x14ac:dyDescent="0.25">
      <c r="A538">
        <v>1950</v>
      </c>
      <c r="B538">
        <v>109</v>
      </c>
      <c r="C538" t="s">
        <v>1188</v>
      </c>
      <c r="D538" t="s">
        <v>1901</v>
      </c>
      <c r="F538" t="s">
        <v>1198</v>
      </c>
      <c r="G538" t="s">
        <v>4447</v>
      </c>
    </row>
    <row r="539" spans="1:7" x14ac:dyDescent="0.25">
      <c r="A539">
        <v>1951</v>
      </c>
      <c r="B539">
        <v>109</v>
      </c>
      <c r="C539" t="s">
        <v>1188</v>
      </c>
      <c r="D539" t="s">
        <v>1902</v>
      </c>
      <c r="F539" t="s">
        <v>1198</v>
      </c>
      <c r="G539" t="s">
        <v>919</v>
      </c>
    </row>
    <row r="540" spans="1:7" x14ac:dyDescent="0.25">
      <c r="A540">
        <v>1953</v>
      </c>
      <c r="B540">
        <v>396</v>
      </c>
      <c r="C540" t="s">
        <v>1188</v>
      </c>
      <c r="D540" t="s">
        <v>1903</v>
      </c>
      <c r="F540" t="s">
        <v>1904</v>
      </c>
      <c r="G540" t="s">
        <v>919</v>
      </c>
    </row>
    <row r="541" spans="1:7" x14ac:dyDescent="0.25">
      <c r="A541">
        <v>1954</v>
      </c>
      <c r="B541">
        <v>396</v>
      </c>
      <c r="C541" t="s">
        <v>1188</v>
      </c>
      <c r="D541" t="s">
        <v>1905</v>
      </c>
      <c r="F541" t="s">
        <v>1906</v>
      </c>
      <c r="G541" t="s">
        <v>4464</v>
      </c>
    </row>
    <row r="542" spans="1:7" x14ac:dyDescent="0.25">
      <c r="A542">
        <v>1955</v>
      </c>
      <c r="B542">
        <v>396</v>
      </c>
      <c r="C542" t="s">
        <v>1188</v>
      </c>
      <c r="D542" t="s">
        <v>1907</v>
      </c>
      <c r="F542" t="s">
        <v>1906</v>
      </c>
      <c r="G542" t="s">
        <v>4442</v>
      </c>
    </row>
    <row r="543" spans="1:7" x14ac:dyDescent="0.25">
      <c r="A543">
        <v>1958</v>
      </c>
      <c r="B543">
        <v>396</v>
      </c>
      <c r="C543" t="s">
        <v>1188</v>
      </c>
      <c r="D543" t="s">
        <v>1908</v>
      </c>
      <c r="E543" t="s">
        <v>1909</v>
      </c>
      <c r="F543" t="s">
        <v>1904</v>
      </c>
      <c r="G543" t="s">
        <v>2758</v>
      </c>
    </row>
    <row r="544" spans="1:7" x14ac:dyDescent="0.25">
      <c r="A544">
        <v>1963</v>
      </c>
      <c r="B544">
        <v>398</v>
      </c>
      <c r="C544" t="s">
        <v>1188</v>
      </c>
      <c r="D544" t="s">
        <v>1910</v>
      </c>
      <c r="F544" t="s">
        <v>1911</v>
      </c>
      <c r="G544" t="s">
        <v>2758</v>
      </c>
    </row>
    <row r="545" spans="1:7" x14ac:dyDescent="0.25">
      <c r="A545">
        <v>1964</v>
      </c>
      <c r="B545">
        <v>400</v>
      </c>
      <c r="C545" t="s">
        <v>1188</v>
      </c>
      <c r="D545" t="s">
        <v>1912</v>
      </c>
      <c r="E545" t="s">
        <v>1913</v>
      </c>
      <c r="F545" t="s">
        <v>1904</v>
      </c>
    </row>
    <row r="546" spans="1:7" x14ac:dyDescent="0.25">
      <c r="A546">
        <v>1965</v>
      </c>
      <c r="B546">
        <v>400</v>
      </c>
      <c r="C546" t="s">
        <v>1188</v>
      </c>
      <c r="D546" t="s">
        <v>1907</v>
      </c>
      <c r="F546" t="s">
        <v>1904</v>
      </c>
      <c r="G546" t="s">
        <v>4442</v>
      </c>
    </row>
    <row r="547" spans="1:7" x14ac:dyDescent="0.25">
      <c r="A547">
        <v>1966</v>
      </c>
      <c r="B547">
        <v>400</v>
      </c>
      <c r="C547" t="s">
        <v>1188</v>
      </c>
      <c r="D547" t="s">
        <v>1914</v>
      </c>
      <c r="F547" t="s">
        <v>1904</v>
      </c>
      <c r="G547" t="s">
        <v>919</v>
      </c>
    </row>
    <row r="548" spans="1:7" x14ac:dyDescent="0.25">
      <c r="A548">
        <v>1967</v>
      </c>
      <c r="B548">
        <v>400</v>
      </c>
      <c r="C548" t="s">
        <v>1188</v>
      </c>
      <c r="D548" t="s">
        <v>1896</v>
      </c>
      <c r="F548" t="s">
        <v>1904</v>
      </c>
      <c r="G548" t="s">
        <v>4447</v>
      </c>
    </row>
    <row r="549" spans="1:7" x14ac:dyDescent="0.25">
      <c r="A549">
        <v>1968</v>
      </c>
      <c r="B549">
        <v>400</v>
      </c>
      <c r="C549" t="s">
        <v>1188</v>
      </c>
      <c r="D549" t="s">
        <v>1915</v>
      </c>
      <c r="F549" t="s">
        <v>1904</v>
      </c>
      <c r="G549" t="s">
        <v>2758</v>
      </c>
    </row>
    <row r="550" spans="1:7" x14ac:dyDescent="0.25">
      <c r="A550">
        <v>1969</v>
      </c>
      <c r="B550">
        <v>399</v>
      </c>
      <c r="C550" t="s">
        <v>1188</v>
      </c>
      <c r="D550" t="s">
        <v>1907</v>
      </c>
      <c r="F550" t="s">
        <v>1916</v>
      </c>
      <c r="G550" t="s">
        <v>4442</v>
      </c>
    </row>
    <row r="551" spans="1:7" x14ac:dyDescent="0.25">
      <c r="A551">
        <v>1970</v>
      </c>
      <c r="B551">
        <v>399</v>
      </c>
      <c r="C551" t="s">
        <v>1188</v>
      </c>
      <c r="D551" t="s">
        <v>1912</v>
      </c>
      <c r="E551" t="s">
        <v>1913</v>
      </c>
      <c r="F551" t="s">
        <v>1916</v>
      </c>
    </row>
    <row r="552" spans="1:7" x14ac:dyDescent="0.25">
      <c r="A552">
        <v>1971</v>
      </c>
      <c r="B552">
        <v>399</v>
      </c>
      <c r="C552" t="s">
        <v>1188</v>
      </c>
      <c r="D552" t="s">
        <v>1917</v>
      </c>
      <c r="E552" t="s">
        <v>1918</v>
      </c>
      <c r="F552" t="s">
        <v>1919</v>
      </c>
      <c r="G552" t="s">
        <v>4440</v>
      </c>
    </row>
    <row r="553" spans="1:7" x14ac:dyDescent="0.25">
      <c r="A553">
        <v>1972</v>
      </c>
      <c r="B553">
        <v>399</v>
      </c>
      <c r="C553" t="s">
        <v>1188</v>
      </c>
      <c r="D553" t="s">
        <v>1920</v>
      </c>
      <c r="E553" t="s">
        <v>1909</v>
      </c>
      <c r="F553" t="s">
        <v>1916</v>
      </c>
      <c r="G553" t="s">
        <v>2758</v>
      </c>
    </row>
    <row r="554" spans="1:7" x14ac:dyDescent="0.25">
      <c r="A554">
        <v>1973</v>
      </c>
      <c r="B554">
        <v>399</v>
      </c>
      <c r="C554" t="s">
        <v>1188</v>
      </c>
      <c r="D554" t="s">
        <v>1921</v>
      </c>
      <c r="F554" t="s">
        <v>1916</v>
      </c>
      <c r="G554" t="s">
        <v>919</v>
      </c>
    </row>
    <row r="555" spans="1:7" x14ac:dyDescent="0.25">
      <c r="A555">
        <v>1975</v>
      </c>
      <c r="B555">
        <v>125</v>
      </c>
      <c r="C555" t="s">
        <v>898</v>
      </c>
      <c r="D555" t="s">
        <v>1922</v>
      </c>
      <c r="E555" t="s">
        <v>1923</v>
      </c>
      <c r="F555" t="s">
        <v>1226</v>
      </c>
      <c r="G555" t="s">
        <v>4462</v>
      </c>
    </row>
    <row r="556" spans="1:7" x14ac:dyDescent="0.25">
      <c r="A556">
        <v>1976</v>
      </c>
      <c r="B556">
        <v>125</v>
      </c>
      <c r="C556" t="s">
        <v>898</v>
      </c>
      <c r="D556" t="s">
        <v>1924</v>
      </c>
      <c r="F556" t="s">
        <v>1226</v>
      </c>
      <c r="G556" t="s">
        <v>4453</v>
      </c>
    </row>
    <row r="557" spans="1:7" x14ac:dyDescent="0.25">
      <c r="A557">
        <v>1979</v>
      </c>
      <c r="B557">
        <v>401</v>
      </c>
      <c r="C557" t="s">
        <v>898</v>
      </c>
      <c r="D557" t="s">
        <v>1925</v>
      </c>
      <c r="E557" t="s">
        <v>1926</v>
      </c>
      <c r="F557" t="s">
        <v>1927</v>
      </c>
      <c r="G557" t="s">
        <v>4442</v>
      </c>
    </row>
    <row r="558" spans="1:7" x14ac:dyDescent="0.25">
      <c r="A558">
        <v>1981</v>
      </c>
      <c r="B558">
        <v>401</v>
      </c>
      <c r="C558" t="s">
        <v>898</v>
      </c>
      <c r="D558" t="s">
        <v>1928</v>
      </c>
      <c r="E558" t="s">
        <v>1929</v>
      </c>
      <c r="F558" t="s">
        <v>1927</v>
      </c>
      <c r="G558" t="s">
        <v>4441</v>
      </c>
    </row>
    <row r="559" spans="1:7" x14ac:dyDescent="0.25">
      <c r="A559">
        <v>1982</v>
      </c>
      <c r="B559">
        <v>402</v>
      </c>
      <c r="C559" t="s">
        <v>898</v>
      </c>
      <c r="D559" t="s">
        <v>1930</v>
      </c>
      <c r="F559" t="s">
        <v>1931</v>
      </c>
      <c r="G559" t="s">
        <v>4442</v>
      </c>
    </row>
    <row r="560" spans="1:7" x14ac:dyDescent="0.25">
      <c r="A560">
        <v>1983</v>
      </c>
      <c r="B560">
        <v>402</v>
      </c>
      <c r="C560" t="s">
        <v>898</v>
      </c>
      <c r="D560" t="s">
        <v>1932</v>
      </c>
      <c r="F560" t="s">
        <v>1931</v>
      </c>
      <c r="G560" t="s">
        <v>4442</v>
      </c>
    </row>
    <row r="561" spans="1:7" x14ac:dyDescent="0.25">
      <c r="A561">
        <v>1986</v>
      </c>
      <c r="B561">
        <v>402</v>
      </c>
      <c r="C561" t="s">
        <v>898</v>
      </c>
      <c r="D561" t="s">
        <v>1137</v>
      </c>
      <c r="F561" t="s">
        <v>1931</v>
      </c>
      <c r="G561" t="s">
        <v>4444</v>
      </c>
    </row>
    <row r="562" spans="1:7" x14ac:dyDescent="0.25">
      <c r="A562">
        <v>1987</v>
      </c>
      <c r="B562">
        <v>402</v>
      </c>
      <c r="C562" t="s">
        <v>898</v>
      </c>
      <c r="D562" t="s">
        <v>1219</v>
      </c>
      <c r="E562" t="s">
        <v>1933</v>
      </c>
      <c r="F562" t="s">
        <v>1931</v>
      </c>
      <c r="G562" t="s">
        <v>919</v>
      </c>
    </row>
    <row r="563" spans="1:7" x14ac:dyDescent="0.25">
      <c r="A563">
        <v>1988</v>
      </c>
      <c r="B563">
        <v>402</v>
      </c>
      <c r="C563" t="s">
        <v>898</v>
      </c>
      <c r="D563" t="s">
        <v>1934</v>
      </c>
      <c r="F563" t="s">
        <v>1931</v>
      </c>
      <c r="G563" t="s">
        <v>4447</v>
      </c>
    </row>
    <row r="564" spans="1:7" x14ac:dyDescent="0.25">
      <c r="A564">
        <v>1989</v>
      </c>
      <c r="B564">
        <v>402</v>
      </c>
      <c r="C564" t="s">
        <v>898</v>
      </c>
      <c r="D564" t="s">
        <v>1935</v>
      </c>
      <c r="F564" t="s">
        <v>1931</v>
      </c>
      <c r="G564" t="s">
        <v>4443</v>
      </c>
    </row>
    <row r="565" spans="1:7" x14ac:dyDescent="0.25">
      <c r="A565">
        <v>1990</v>
      </c>
      <c r="B565">
        <v>402</v>
      </c>
      <c r="C565" t="s">
        <v>898</v>
      </c>
      <c r="D565" t="s">
        <v>1936</v>
      </c>
      <c r="E565" t="s">
        <v>1937</v>
      </c>
      <c r="F565" t="s">
        <v>1931</v>
      </c>
      <c r="G565" t="s">
        <v>4447</v>
      </c>
    </row>
    <row r="566" spans="1:7" x14ac:dyDescent="0.25">
      <c r="A566">
        <v>1991</v>
      </c>
      <c r="B566">
        <v>402</v>
      </c>
      <c r="C566" t="s">
        <v>898</v>
      </c>
      <c r="D566" t="s">
        <v>1938</v>
      </c>
      <c r="E566" t="s">
        <v>1939</v>
      </c>
      <c r="F566" t="s">
        <v>1931</v>
      </c>
      <c r="G566" t="s">
        <v>4462</v>
      </c>
    </row>
    <row r="567" spans="1:7" x14ac:dyDescent="0.25">
      <c r="A567">
        <v>1995</v>
      </c>
      <c r="B567">
        <v>402</v>
      </c>
      <c r="C567" t="s">
        <v>898</v>
      </c>
      <c r="D567" t="s">
        <v>1940</v>
      </c>
      <c r="E567" t="s">
        <v>1941</v>
      </c>
      <c r="F567" t="s">
        <v>1931</v>
      </c>
      <c r="G567" t="s">
        <v>4451</v>
      </c>
    </row>
    <row r="568" spans="1:7" x14ac:dyDescent="0.25">
      <c r="A568">
        <v>1996</v>
      </c>
      <c r="B568">
        <v>402</v>
      </c>
      <c r="C568" t="s">
        <v>898</v>
      </c>
      <c r="D568" t="s">
        <v>1942</v>
      </c>
      <c r="F568" t="s">
        <v>1931</v>
      </c>
      <c r="G568" t="s">
        <v>4447</v>
      </c>
    </row>
    <row r="569" spans="1:7" x14ac:dyDescent="0.25">
      <c r="A569">
        <v>1998</v>
      </c>
      <c r="B569">
        <v>403</v>
      </c>
      <c r="C569" t="s">
        <v>898</v>
      </c>
      <c r="D569" t="s">
        <v>1137</v>
      </c>
      <c r="E569" t="s">
        <v>1943</v>
      </c>
      <c r="F569" t="s">
        <v>1944</v>
      </c>
      <c r="G569" t="s">
        <v>4444</v>
      </c>
    </row>
    <row r="570" spans="1:7" x14ac:dyDescent="0.25">
      <c r="A570">
        <v>1999</v>
      </c>
      <c r="B570">
        <v>403</v>
      </c>
      <c r="C570" t="s">
        <v>898</v>
      </c>
      <c r="D570" t="s">
        <v>1219</v>
      </c>
      <c r="E570" t="s">
        <v>1945</v>
      </c>
      <c r="F570" t="s">
        <v>1946</v>
      </c>
      <c r="G570" t="s">
        <v>919</v>
      </c>
    </row>
    <row r="571" spans="1:7" x14ac:dyDescent="0.25">
      <c r="A571">
        <v>2000</v>
      </c>
      <c r="B571">
        <v>403</v>
      </c>
      <c r="C571" t="s">
        <v>898</v>
      </c>
      <c r="D571" t="s">
        <v>1947</v>
      </c>
      <c r="E571" t="s">
        <v>1948</v>
      </c>
      <c r="F571" t="s">
        <v>1949</v>
      </c>
      <c r="G571" t="s">
        <v>4442</v>
      </c>
    </row>
    <row r="572" spans="1:7" x14ac:dyDescent="0.25">
      <c r="A572">
        <v>2003</v>
      </c>
      <c r="B572">
        <v>403</v>
      </c>
      <c r="C572" t="s">
        <v>898</v>
      </c>
      <c r="D572" t="s">
        <v>1950</v>
      </c>
      <c r="F572" t="s">
        <v>1951</v>
      </c>
      <c r="G572" t="s">
        <v>4447</v>
      </c>
    </row>
    <row r="573" spans="1:7" x14ac:dyDescent="0.25">
      <c r="A573">
        <v>2004</v>
      </c>
      <c r="B573">
        <v>403</v>
      </c>
      <c r="C573" t="s">
        <v>898</v>
      </c>
      <c r="D573" t="s">
        <v>1952</v>
      </c>
      <c r="E573" t="s">
        <v>1953</v>
      </c>
      <c r="F573" t="s">
        <v>1954</v>
      </c>
      <c r="G573" t="s">
        <v>4448</v>
      </c>
    </row>
    <row r="574" spans="1:7" x14ac:dyDescent="0.25">
      <c r="A574">
        <v>2005</v>
      </c>
      <c r="B574">
        <v>403</v>
      </c>
      <c r="C574" t="s">
        <v>898</v>
      </c>
      <c r="D574" t="s">
        <v>1955</v>
      </c>
      <c r="E574" t="s">
        <v>1956</v>
      </c>
      <c r="F574" t="s">
        <v>1957</v>
      </c>
      <c r="G574" t="s">
        <v>4446</v>
      </c>
    </row>
    <row r="575" spans="1:7" x14ac:dyDescent="0.25">
      <c r="A575">
        <v>2006</v>
      </c>
      <c r="B575">
        <v>403</v>
      </c>
      <c r="C575" t="s">
        <v>898</v>
      </c>
      <c r="D575" t="s">
        <v>1958</v>
      </c>
      <c r="E575" t="s">
        <v>1959</v>
      </c>
      <c r="F575" t="s">
        <v>1960</v>
      </c>
    </row>
    <row r="576" spans="1:7" x14ac:dyDescent="0.25">
      <c r="A576">
        <v>2007</v>
      </c>
      <c r="B576">
        <v>403</v>
      </c>
      <c r="C576" t="s">
        <v>898</v>
      </c>
      <c r="D576" t="s">
        <v>1961</v>
      </c>
      <c r="E576" t="s">
        <v>1962</v>
      </c>
      <c r="F576" t="s">
        <v>1963</v>
      </c>
      <c r="G576" t="s">
        <v>1262</v>
      </c>
    </row>
    <row r="577" spans="1:7" x14ac:dyDescent="0.25">
      <c r="A577">
        <v>2008</v>
      </c>
      <c r="B577">
        <v>403</v>
      </c>
      <c r="C577" t="s">
        <v>898</v>
      </c>
      <c r="D577" t="s">
        <v>1964</v>
      </c>
      <c r="E577" t="s">
        <v>1965</v>
      </c>
      <c r="F577" t="s">
        <v>1966</v>
      </c>
    </row>
    <row r="578" spans="1:7" x14ac:dyDescent="0.25">
      <c r="A578">
        <v>2009</v>
      </c>
      <c r="B578">
        <v>403</v>
      </c>
      <c r="C578" t="s">
        <v>898</v>
      </c>
      <c r="D578" t="s">
        <v>1924</v>
      </c>
      <c r="E578" t="s">
        <v>1967</v>
      </c>
      <c r="F578" t="s">
        <v>1968</v>
      </c>
      <c r="G578" t="s">
        <v>4453</v>
      </c>
    </row>
    <row r="579" spans="1:7" x14ac:dyDescent="0.25">
      <c r="A579">
        <v>2010</v>
      </c>
      <c r="B579">
        <v>404</v>
      </c>
      <c r="C579" t="s">
        <v>898</v>
      </c>
      <c r="D579" t="s">
        <v>1969</v>
      </c>
      <c r="E579" t="s">
        <v>1970</v>
      </c>
      <c r="F579" t="s">
        <v>1971</v>
      </c>
      <c r="G579" t="s">
        <v>4447</v>
      </c>
    </row>
    <row r="580" spans="1:7" x14ac:dyDescent="0.25">
      <c r="A580">
        <v>2011</v>
      </c>
      <c r="B580">
        <v>404</v>
      </c>
      <c r="C580" t="s">
        <v>898</v>
      </c>
      <c r="D580" t="s">
        <v>1972</v>
      </c>
      <c r="E580" t="s">
        <v>1970</v>
      </c>
      <c r="F580" t="s">
        <v>1971</v>
      </c>
      <c r="G580" t="s">
        <v>4447</v>
      </c>
    </row>
    <row r="581" spans="1:7" x14ac:dyDescent="0.25">
      <c r="A581">
        <v>2013</v>
      </c>
      <c r="B581">
        <v>404</v>
      </c>
      <c r="C581" t="s">
        <v>898</v>
      </c>
      <c r="D581" t="s">
        <v>1973</v>
      </c>
      <c r="F581" t="s">
        <v>1971</v>
      </c>
      <c r="G581" t="s">
        <v>919</v>
      </c>
    </row>
    <row r="582" spans="1:7" x14ac:dyDescent="0.25">
      <c r="A582">
        <v>2014</v>
      </c>
      <c r="B582">
        <v>404</v>
      </c>
      <c r="C582" t="s">
        <v>898</v>
      </c>
      <c r="D582" t="s">
        <v>1221</v>
      </c>
      <c r="F582" t="s">
        <v>1971</v>
      </c>
      <c r="G582" t="s">
        <v>4444</v>
      </c>
    </row>
    <row r="583" spans="1:7" x14ac:dyDescent="0.25">
      <c r="A583">
        <v>2017</v>
      </c>
      <c r="B583">
        <v>406</v>
      </c>
      <c r="C583" t="s">
        <v>898</v>
      </c>
      <c r="D583" t="s">
        <v>1228</v>
      </c>
      <c r="E583" t="s">
        <v>1974</v>
      </c>
      <c r="F583" t="s">
        <v>1975</v>
      </c>
      <c r="G583" t="s">
        <v>4447</v>
      </c>
    </row>
    <row r="584" spans="1:7" x14ac:dyDescent="0.25">
      <c r="A584">
        <v>2018</v>
      </c>
      <c r="B584">
        <v>406</v>
      </c>
      <c r="C584" t="s">
        <v>898</v>
      </c>
      <c r="D584" t="s">
        <v>1230</v>
      </c>
      <c r="E584" t="s">
        <v>1976</v>
      </c>
      <c r="F584" t="s">
        <v>1975</v>
      </c>
      <c r="G584" t="s">
        <v>4447</v>
      </c>
    </row>
    <row r="585" spans="1:7" x14ac:dyDescent="0.25">
      <c r="A585">
        <v>2020</v>
      </c>
      <c r="B585">
        <v>406</v>
      </c>
      <c r="C585" t="s">
        <v>898</v>
      </c>
      <c r="D585" t="s">
        <v>1977</v>
      </c>
      <c r="E585" t="s">
        <v>1978</v>
      </c>
      <c r="F585" t="s">
        <v>1975</v>
      </c>
      <c r="G585" t="s">
        <v>4442</v>
      </c>
    </row>
    <row r="586" spans="1:7" x14ac:dyDescent="0.25">
      <c r="A586">
        <v>2021</v>
      </c>
      <c r="B586">
        <v>406</v>
      </c>
      <c r="C586" t="s">
        <v>898</v>
      </c>
      <c r="D586" t="s">
        <v>1979</v>
      </c>
      <c r="F586" t="s">
        <v>1975</v>
      </c>
      <c r="G586" t="s">
        <v>4442</v>
      </c>
    </row>
    <row r="587" spans="1:7" x14ac:dyDescent="0.25">
      <c r="A587">
        <v>2022</v>
      </c>
      <c r="B587">
        <v>406</v>
      </c>
      <c r="C587" t="s">
        <v>898</v>
      </c>
      <c r="D587" t="s">
        <v>1980</v>
      </c>
      <c r="F587" t="s">
        <v>1975</v>
      </c>
      <c r="G587" t="s">
        <v>4441</v>
      </c>
    </row>
    <row r="588" spans="1:7" x14ac:dyDescent="0.25">
      <c r="A588">
        <v>2023</v>
      </c>
      <c r="B588">
        <v>406</v>
      </c>
      <c r="C588" t="s">
        <v>898</v>
      </c>
      <c r="D588" t="s">
        <v>1981</v>
      </c>
      <c r="E588" t="s">
        <v>1982</v>
      </c>
      <c r="F588" t="s">
        <v>1975</v>
      </c>
    </row>
    <row r="589" spans="1:7" x14ac:dyDescent="0.25">
      <c r="A589">
        <v>2024</v>
      </c>
      <c r="B589">
        <v>406</v>
      </c>
      <c r="C589" t="s">
        <v>898</v>
      </c>
      <c r="D589" t="s">
        <v>1137</v>
      </c>
      <c r="E589" t="s">
        <v>1983</v>
      </c>
      <c r="F589" t="s">
        <v>1975</v>
      </c>
      <c r="G589" t="s">
        <v>4444</v>
      </c>
    </row>
    <row r="590" spans="1:7" x14ac:dyDescent="0.25">
      <c r="A590">
        <v>2026</v>
      </c>
      <c r="B590">
        <v>88</v>
      </c>
      <c r="C590" t="s">
        <v>894</v>
      </c>
      <c r="D590" t="s">
        <v>1984</v>
      </c>
      <c r="E590" t="s">
        <v>1985</v>
      </c>
      <c r="F590" t="s">
        <v>1986</v>
      </c>
      <c r="G590" t="s">
        <v>4455</v>
      </c>
    </row>
    <row r="591" spans="1:7" x14ac:dyDescent="0.25">
      <c r="A591">
        <v>2027</v>
      </c>
      <c r="B591">
        <v>88</v>
      </c>
      <c r="C591" t="s">
        <v>894</v>
      </c>
      <c r="D591" t="s">
        <v>895</v>
      </c>
      <c r="E591" t="s">
        <v>1987</v>
      </c>
      <c r="F591" t="s">
        <v>1988</v>
      </c>
      <c r="G591" t="s">
        <v>4448</v>
      </c>
    </row>
    <row r="592" spans="1:7" x14ac:dyDescent="0.25">
      <c r="A592">
        <v>2028</v>
      </c>
      <c r="B592">
        <v>88</v>
      </c>
      <c r="C592" t="s">
        <v>894</v>
      </c>
      <c r="D592" t="s">
        <v>917</v>
      </c>
      <c r="E592" t="s">
        <v>1989</v>
      </c>
      <c r="F592" t="s">
        <v>1111</v>
      </c>
      <c r="G592" t="s">
        <v>919</v>
      </c>
    </row>
    <row r="593" spans="1:7" x14ac:dyDescent="0.25">
      <c r="A593">
        <v>2035</v>
      </c>
      <c r="B593">
        <v>220</v>
      </c>
      <c r="C593" t="s">
        <v>894</v>
      </c>
      <c r="D593" t="s">
        <v>917</v>
      </c>
      <c r="E593" t="s">
        <v>1990</v>
      </c>
      <c r="F593" t="s">
        <v>1420</v>
      </c>
      <c r="G593" t="s">
        <v>919</v>
      </c>
    </row>
    <row r="594" spans="1:7" x14ac:dyDescent="0.25">
      <c r="A594">
        <v>2036</v>
      </c>
      <c r="B594">
        <v>408</v>
      </c>
      <c r="C594" t="s">
        <v>894</v>
      </c>
      <c r="D594" t="s">
        <v>1991</v>
      </c>
      <c r="E594" t="s">
        <v>1992</v>
      </c>
      <c r="F594" t="s">
        <v>1993</v>
      </c>
      <c r="G594" t="s">
        <v>4455</v>
      </c>
    </row>
    <row r="595" spans="1:7" x14ac:dyDescent="0.25">
      <c r="A595">
        <v>2039</v>
      </c>
      <c r="B595">
        <v>408</v>
      </c>
      <c r="C595" t="s">
        <v>894</v>
      </c>
      <c r="D595" t="s">
        <v>1994</v>
      </c>
      <c r="E595" t="s">
        <v>1995</v>
      </c>
      <c r="F595" t="s">
        <v>1993</v>
      </c>
      <c r="G595" t="s">
        <v>2758</v>
      </c>
    </row>
    <row r="596" spans="1:7" x14ac:dyDescent="0.25">
      <c r="A596">
        <v>2040</v>
      </c>
      <c r="B596">
        <v>408</v>
      </c>
      <c r="C596" t="s">
        <v>894</v>
      </c>
      <c r="D596" t="s">
        <v>966</v>
      </c>
      <c r="E596" t="s">
        <v>1996</v>
      </c>
      <c r="F596" t="s">
        <v>1993</v>
      </c>
      <c r="G596" t="s">
        <v>2758</v>
      </c>
    </row>
    <row r="597" spans="1:7" x14ac:dyDescent="0.25">
      <c r="A597">
        <v>2041</v>
      </c>
      <c r="B597">
        <v>25</v>
      </c>
      <c r="C597" t="s">
        <v>894</v>
      </c>
      <c r="D597" t="s">
        <v>923</v>
      </c>
      <c r="E597" t="s">
        <v>1997</v>
      </c>
      <c r="F597" t="s">
        <v>1998</v>
      </c>
      <c r="G597" t="s">
        <v>4444</v>
      </c>
    </row>
    <row r="598" spans="1:7" x14ac:dyDescent="0.25">
      <c r="A598">
        <v>2042</v>
      </c>
      <c r="B598">
        <v>72</v>
      </c>
      <c r="C598" t="s">
        <v>894</v>
      </c>
      <c r="D598" t="s">
        <v>963</v>
      </c>
      <c r="E598" t="s">
        <v>1085</v>
      </c>
      <c r="F598" t="s">
        <v>1086</v>
      </c>
      <c r="G598" t="s">
        <v>4447</v>
      </c>
    </row>
    <row r="599" spans="1:7" x14ac:dyDescent="0.25">
      <c r="A599">
        <v>2044</v>
      </c>
      <c r="B599">
        <v>228</v>
      </c>
      <c r="C599" t="s">
        <v>894</v>
      </c>
      <c r="D599" t="s">
        <v>1999</v>
      </c>
      <c r="E599" t="s">
        <v>2000</v>
      </c>
      <c r="F599" t="s">
        <v>1426</v>
      </c>
    </row>
    <row r="600" spans="1:7" x14ac:dyDescent="0.25">
      <c r="A600">
        <v>2049</v>
      </c>
      <c r="B600">
        <v>8</v>
      </c>
      <c r="C600" t="s">
        <v>894</v>
      </c>
      <c r="D600" t="s">
        <v>2001</v>
      </c>
      <c r="E600" t="s">
        <v>2002</v>
      </c>
      <c r="F600" t="s">
        <v>2003</v>
      </c>
      <c r="G600" t="s">
        <v>4459</v>
      </c>
    </row>
    <row r="601" spans="1:7" x14ac:dyDescent="0.25">
      <c r="A601">
        <v>2057</v>
      </c>
      <c r="B601">
        <v>188</v>
      </c>
      <c r="C601" t="s">
        <v>894</v>
      </c>
      <c r="D601" t="s">
        <v>2004</v>
      </c>
      <c r="E601" t="s">
        <v>2005</v>
      </c>
      <c r="F601" t="s">
        <v>1298</v>
      </c>
    </row>
    <row r="602" spans="1:7" x14ac:dyDescent="0.25">
      <c r="A602">
        <v>2059</v>
      </c>
      <c r="B602">
        <v>186</v>
      </c>
      <c r="C602" t="s">
        <v>894</v>
      </c>
      <c r="D602" t="s">
        <v>2006</v>
      </c>
      <c r="E602" t="s">
        <v>2007</v>
      </c>
      <c r="F602" t="s">
        <v>1292</v>
      </c>
      <c r="G602" t="s">
        <v>2758</v>
      </c>
    </row>
    <row r="603" spans="1:7" x14ac:dyDescent="0.25">
      <c r="A603">
        <v>2060</v>
      </c>
      <c r="B603">
        <v>186</v>
      </c>
      <c r="C603" t="s">
        <v>894</v>
      </c>
      <c r="D603" t="s">
        <v>2008</v>
      </c>
      <c r="E603" t="s">
        <v>2009</v>
      </c>
      <c r="F603" t="s">
        <v>1292</v>
      </c>
      <c r="G603" t="s">
        <v>4447</v>
      </c>
    </row>
    <row r="604" spans="1:7" x14ac:dyDescent="0.25">
      <c r="A604">
        <v>2063</v>
      </c>
      <c r="B604">
        <v>84</v>
      </c>
      <c r="C604" t="s">
        <v>894</v>
      </c>
      <c r="D604" t="s">
        <v>2010</v>
      </c>
      <c r="E604" t="s">
        <v>2011</v>
      </c>
      <c r="F604" t="s">
        <v>1101</v>
      </c>
      <c r="G604" t="s">
        <v>1262</v>
      </c>
    </row>
    <row r="605" spans="1:7" x14ac:dyDescent="0.25">
      <c r="A605">
        <v>2064</v>
      </c>
      <c r="B605">
        <v>84</v>
      </c>
      <c r="C605" t="s">
        <v>894</v>
      </c>
      <c r="D605" t="s">
        <v>2012</v>
      </c>
      <c r="F605" t="s">
        <v>1101</v>
      </c>
      <c r="G605" t="s">
        <v>1457</v>
      </c>
    </row>
    <row r="606" spans="1:7" x14ac:dyDescent="0.25">
      <c r="A606">
        <v>2071</v>
      </c>
      <c r="B606">
        <v>31</v>
      </c>
      <c r="C606" t="s">
        <v>898</v>
      </c>
      <c r="D606" t="s">
        <v>2013</v>
      </c>
      <c r="E606" t="s">
        <v>2014</v>
      </c>
      <c r="F606" t="s">
        <v>1481</v>
      </c>
    </row>
    <row r="607" spans="1:7" x14ac:dyDescent="0.25">
      <c r="A607">
        <v>2072</v>
      </c>
      <c r="B607">
        <v>412</v>
      </c>
      <c r="C607" t="s">
        <v>894</v>
      </c>
      <c r="D607" t="s">
        <v>966</v>
      </c>
      <c r="F607" t="s">
        <v>2015</v>
      </c>
      <c r="G607" t="s">
        <v>2758</v>
      </c>
    </row>
    <row r="608" spans="1:7" x14ac:dyDescent="0.25">
      <c r="A608">
        <v>2074</v>
      </c>
      <c r="B608">
        <v>412</v>
      </c>
      <c r="C608" t="s">
        <v>894</v>
      </c>
      <c r="D608" t="s">
        <v>933</v>
      </c>
      <c r="E608" t="s">
        <v>2016</v>
      </c>
      <c r="F608" t="s">
        <v>2015</v>
      </c>
      <c r="G608" t="s">
        <v>4444</v>
      </c>
    </row>
    <row r="609" spans="1:8" x14ac:dyDescent="0.25">
      <c r="A609">
        <v>2075</v>
      </c>
      <c r="B609">
        <v>412</v>
      </c>
      <c r="C609" t="s">
        <v>894</v>
      </c>
      <c r="D609" t="s">
        <v>2017</v>
      </c>
      <c r="E609" t="s">
        <v>2018</v>
      </c>
      <c r="F609" t="s">
        <v>2015</v>
      </c>
      <c r="G609" t="s">
        <v>4447</v>
      </c>
    </row>
    <row r="610" spans="1:8" x14ac:dyDescent="0.25">
      <c r="A610">
        <v>2076</v>
      </c>
      <c r="B610">
        <v>412</v>
      </c>
      <c r="C610" t="s">
        <v>894</v>
      </c>
      <c r="D610" t="s">
        <v>2019</v>
      </c>
      <c r="E610" t="s">
        <v>2020</v>
      </c>
      <c r="F610" t="s">
        <v>2015</v>
      </c>
      <c r="G610" t="s">
        <v>4442</v>
      </c>
    </row>
    <row r="611" spans="1:8" x14ac:dyDescent="0.25">
      <c r="A611">
        <v>2079</v>
      </c>
      <c r="B611">
        <v>31</v>
      </c>
      <c r="C611" t="s">
        <v>898</v>
      </c>
      <c r="D611" t="s">
        <v>2021</v>
      </c>
      <c r="E611" t="s">
        <v>2022</v>
      </c>
      <c r="F611" t="s">
        <v>2023</v>
      </c>
    </row>
    <row r="612" spans="1:8" x14ac:dyDescent="0.25">
      <c r="A612">
        <v>2080</v>
      </c>
      <c r="B612">
        <v>776</v>
      </c>
      <c r="C612" t="s">
        <v>894</v>
      </c>
      <c r="D612" t="s">
        <v>1304</v>
      </c>
      <c r="E612" t="s">
        <v>2024</v>
      </c>
      <c r="F612" t="s">
        <v>2025</v>
      </c>
      <c r="G612" t="s">
        <v>4448</v>
      </c>
    </row>
    <row r="613" spans="1:8" x14ac:dyDescent="0.25">
      <c r="A613">
        <v>2083</v>
      </c>
      <c r="B613">
        <v>71</v>
      </c>
      <c r="C613" t="s">
        <v>894</v>
      </c>
      <c r="D613" t="s">
        <v>2026</v>
      </c>
      <c r="E613" t="s">
        <v>2027</v>
      </c>
      <c r="F613" t="s">
        <v>1069</v>
      </c>
      <c r="G613" t="s">
        <v>919</v>
      </c>
      <c r="H613">
        <v>1</v>
      </c>
    </row>
    <row r="614" spans="1:8" x14ac:dyDescent="0.25">
      <c r="A614">
        <v>2084</v>
      </c>
      <c r="B614">
        <v>71</v>
      </c>
      <c r="C614" t="s">
        <v>894</v>
      </c>
      <c r="D614" t="s">
        <v>2028</v>
      </c>
      <c r="E614" t="s">
        <v>2029</v>
      </c>
      <c r="F614" t="s">
        <v>1069</v>
      </c>
      <c r="G614" t="s">
        <v>1309</v>
      </c>
      <c r="H614">
        <v>5</v>
      </c>
    </row>
    <row r="615" spans="1:8" x14ac:dyDescent="0.25">
      <c r="A615">
        <v>2085</v>
      </c>
      <c r="B615">
        <v>71</v>
      </c>
      <c r="C615" t="s">
        <v>894</v>
      </c>
      <c r="D615" t="s">
        <v>2030</v>
      </c>
      <c r="E615" t="s">
        <v>2031</v>
      </c>
      <c r="F615" t="s">
        <v>1069</v>
      </c>
      <c r="G615" t="s">
        <v>4447</v>
      </c>
    </row>
    <row r="616" spans="1:8" x14ac:dyDescent="0.25">
      <c r="A616">
        <v>2086</v>
      </c>
      <c r="B616">
        <v>126</v>
      </c>
      <c r="C616" t="s">
        <v>898</v>
      </c>
      <c r="D616" t="s">
        <v>2032</v>
      </c>
      <c r="E616" t="s">
        <v>2033</v>
      </c>
      <c r="F616" t="s">
        <v>2034</v>
      </c>
      <c r="G616" t="s">
        <v>4444</v>
      </c>
    </row>
    <row r="617" spans="1:8" x14ac:dyDescent="0.25">
      <c r="A617">
        <v>2087</v>
      </c>
      <c r="B617">
        <v>126</v>
      </c>
      <c r="C617" t="s">
        <v>898</v>
      </c>
      <c r="D617" t="s">
        <v>2035</v>
      </c>
      <c r="E617" t="s">
        <v>2036</v>
      </c>
      <c r="F617" t="s">
        <v>2037</v>
      </c>
      <c r="G617" t="s">
        <v>4441</v>
      </c>
    </row>
    <row r="618" spans="1:8" x14ac:dyDescent="0.25">
      <c r="A618">
        <v>2088</v>
      </c>
      <c r="B618">
        <v>126</v>
      </c>
      <c r="C618" t="s">
        <v>898</v>
      </c>
      <c r="D618" t="s">
        <v>2038</v>
      </c>
      <c r="F618" t="s">
        <v>2039</v>
      </c>
    </row>
    <row r="619" spans="1:8" x14ac:dyDescent="0.25">
      <c r="A619">
        <v>2090</v>
      </c>
      <c r="B619">
        <v>40</v>
      </c>
      <c r="C619" t="s">
        <v>894</v>
      </c>
      <c r="D619" t="s">
        <v>2040</v>
      </c>
      <c r="E619" t="s">
        <v>2041</v>
      </c>
      <c r="F619" t="s">
        <v>2042</v>
      </c>
      <c r="G619" t="s">
        <v>1309</v>
      </c>
    </row>
    <row r="620" spans="1:8" x14ac:dyDescent="0.25">
      <c r="A620">
        <v>2093</v>
      </c>
      <c r="B620">
        <v>40</v>
      </c>
      <c r="C620" t="s">
        <v>894</v>
      </c>
      <c r="D620" t="s">
        <v>966</v>
      </c>
      <c r="E620" t="s">
        <v>2043</v>
      </c>
      <c r="F620" t="s">
        <v>2044</v>
      </c>
      <c r="G620" t="s">
        <v>2758</v>
      </c>
    </row>
    <row r="621" spans="1:8" x14ac:dyDescent="0.25">
      <c r="A621">
        <v>2094</v>
      </c>
      <c r="B621">
        <v>40</v>
      </c>
      <c r="C621" t="s">
        <v>894</v>
      </c>
      <c r="D621" t="s">
        <v>2045</v>
      </c>
      <c r="E621" t="s">
        <v>2046</v>
      </c>
      <c r="F621" t="s">
        <v>2047</v>
      </c>
      <c r="G621" t="s">
        <v>4448</v>
      </c>
    </row>
    <row r="622" spans="1:8" x14ac:dyDescent="0.25">
      <c r="A622">
        <v>2096</v>
      </c>
      <c r="B622">
        <v>8</v>
      </c>
      <c r="C622" t="s">
        <v>894</v>
      </c>
      <c r="D622" t="s">
        <v>1254</v>
      </c>
      <c r="E622" t="s">
        <v>2048</v>
      </c>
      <c r="F622" t="s">
        <v>2049</v>
      </c>
      <c r="G622" t="s">
        <v>4442</v>
      </c>
    </row>
    <row r="623" spans="1:8" x14ac:dyDescent="0.25">
      <c r="A623">
        <v>2097</v>
      </c>
      <c r="B623">
        <v>8</v>
      </c>
      <c r="C623" t="s">
        <v>894</v>
      </c>
      <c r="D623" t="s">
        <v>2050</v>
      </c>
      <c r="E623" t="s">
        <v>2051</v>
      </c>
      <c r="F623" t="s">
        <v>2052</v>
      </c>
      <c r="G623" t="s">
        <v>4442</v>
      </c>
    </row>
    <row r="624" spans="1:8" x14ac:dyDescent="0.25">
      <c r="A624">
        <v>2098</v>
      </c>
      <c r="B624">
        <v>8</v>
      </c>
      <c r="C624" t="s">
        <v>894</v>
      </c>
      <c r="D624" t="s">
        <v>2053</v>
      </c>
      <c r="E624" t="s">
        <v>2054</v>
      </c>
      <c r="F624" t="s">
        <v>2055</v>
      </c>
      <c r="G624" t="s">
        <v>4447</v>
      </c>
    </row>
    <row r="625" spans="1:7" x14ac:dyDescent="0.25">
      <c r="A625">
        <v>2099</v>
      </c>
      <c r="B625">
        <v>414</v>
      </c>
      <c r="C625" t="s">
        <v>898</v>
      </c>
      <c r="D625" t="s">
        <v>2056</v>
      </c>
      <c r="E625" t="s">
        <v>2057</v>
      </c>
      <c r="F625" t="s">
        <v>2058</v>
      </c>
    </row>
    <row r="626" spans="1:7" x14ac:dyDescent="0.25">
      <c r="A626">
        <v>2103</v>
      </c>
      <c r="B626">
        <v>859</v>
      </c>
      <c r="C626" t="s">
        <v>898</v>
      </c>
      <c r="D626" t="s">
        <v>2059</v>
      </c>
      <c r="E626" t="s">
        <v>2060</v>
      </c>
      <c r="F626" t="s">
        <v>2061</v>
      </c>
    </row>
    <row r="627" spans="1:7" x14ac:dyDescent="0.25">
      <c r="A627">
        <v>2111</v>
      </c>
      <c r="B627">
        <v>103</v>
      </c>
      <c r="C627" t="s">
        <v>898</v>
      </c>
      <c r="D627" t="s">
        <v>1828</v>
      </c>
      <c r="E627" t="s">
        <v>2062</v>
      </c>
      <c r="F627" t="s">
        <v>1151</v>
      </c>
      <c r="G627" t="s">
        <v>4442</v>
      </c>
    </row>
    <row r="628" spans="1:7" x14ac:dyDescent="0.25">
      <c r="A628">
        <v>2115</v>
      </c>
      <c r="B628">
        <v>488</v>
      </c>
      <c r="C628" t="s">
        <v>894</v>
      </c>
      <c r="D628" t="s">
        <v>895</v>
      </c>
      <c r="E628" t="s">
        <v>2063</v>
      </c>
      <c r="F628" t="s">
        <v>2064</v>
      </c>
      <c r="G628" t="s">
        <v>4448</v>
      </c>
    </row>
    <row r="629" spans="1:7" x14ac:dyDescent="0.25">
      <c r="A629">
        <v>2119</v>
      </c>
      <c r="B629">
        <v>487</v>
      </c>
      <c r="C629" t="s">
        <v>898</v>
      </c>
      <c r="D629" t="s">
        <v>2065</v>
      </c>
      <c r="F629" t="s">
        <v>2066</v>
      </c>
      <c r="G629" t="s">
        <v>4442</v>
      </c>
    </row>
    <row r="630" spans="1:7" x14ac:dyDescent="0.25">
      <c r="A630">
        <v>2120</v>
      </c>
      <c r="B630">
        <v>487</v>
      </c>
      <c r="C630" t="s">
        <v>898</v>
      </c>
      <c r="D630" t="s">
        <v>2032</v>
      </c>
      <c r="F630" t="s">
        <v>2066</v>
      </c>
      <c r="G630" t="s">
        <v>4444</v>
      </c>
    </row>
    <row r="631" spans="1:7" x14ac:dyDescent="0.25">
      <c r="A631">
        <v>2121</v>
      </c>
      <c r="B631">
        <v>487</v>
      </c>
      <c r="C631" t="s">
        <v>894</v>
      </c>
      <c r="D631" t="s">
        <v>2067</v>
      </c>
      <c r="E631" t="s">
        <v>2068</v>
      </c>
      <c r="F631" t="s">
        <v>2066</v>
      </c>
      <c r="G631" t="s">
        <v>919</v>
      </c>
    </row>
    <row r="632" spans="1:7" x14ac:dyDescent="0.25">
      <c r="A632">
        <v>2122</v>
      </c>
      <c r="B632">
        <v>487</v>
      </c>
      <c r="C632" t="s">
        <v>898</v>
      </c>
      <c r="D632" t="s">
        <v>1378</v>
      </c>
      <c r="F632" t="s">
        <v>2066</v>
      </c>
      <c r="G632" t="s">
        <v>4442</v>
      </c>
    </row>
    <row r="633" spans="1:7" x14ac:dyDescent="0.25">
      <c r="A633">
        <v>2123</v>
      </c>
      <c r="B633">
        <v>487</v>
      </c>
      <c r="C633" t="s">
        <v>898</v>
      </c>
      <c r="D633" t="s">
        <v>2069</v>
      </c>
      <c r="F633" t="s">
        <v>2066</v>
      </c>
      <c r="G633" t="s">
        <v>4447</v>
      </c>
    </row>
    <row r="634" spans="1:7" x14ac:dyDescent="0.25">
      <c r="A634">
        <v>2124</v>
      </c>
      <c r="B634">
        <v>487</v>
      </c>
      <c r="C634" t="s">
        <v>898</v>
      </c>
      <c r="D634" t="s">
        <v>1479</v>
      </c>
      <c r="F634" t="s">
        <v>2066</v>
      </c>
      <c r="G634" t="s">
        <v>2758</v>
      </c>
    </row>
    <row r="635" spans="1:7" x14ac:dyDescent="0.25">
      <c r="A635">
        <v>2125</v>
      </c>
      <c r="B635">
        <v>487</v>
      </c>
      <c r="C635" t="s">
        <v>898</v>
      </c>
      <c r="D635" t="s">
        <v>2070</v>
      </c>
      <c r="E635" t="s">
        <v>2071</v>
      </c>
      <c r="F635" t="s">
        <v>2066</v>
      </c>
      <c r="G635" t="s">
        <v>4447</v>
      </c>
    </row>
    <row r="636" spans="1:7" x14ac:dyDescent="0.25">
      <c r="A636">
        <v>2126</v>
      </c>
      <c r="B636">
        <v>487</v>
      </c>
      <c r="C636" t="s">
        <v>898</v>
      </c>
      <c r="D636" t="s">
        <v>2072</v>
      </c>
      <c r="F636" t="s">
        <v>2066</v>
      </c>
      <c r="G636" t="s">
        <v>4442</v>
      </c>
    </row>
    <row r="637" spans="1:7" x14ac:dyDescent="0.25">
      <c r="A637">
        <v>2127</v>
      </c>
      <c r="B637">
        <v>487</v>
      </c>
      <c r="C637" t="s">
        <v>898</v>
      </c>
      <c r="D637" t="s">
        <v>2073</v>
      </c>
      <c r="F637" t="s">
        <v>2066</v>
      </c>
      <c r="G637" t="s">
        <v>4442</v>
      </c>
    </row>
    <row r="638" spans="1:7" x14ac:dyDescent="0.25">
      <c r="A638">
        <v>2128</v>
      </c>
      <c r="B638">
        <v>487</v>
      </c>
      <c r="C638" t="s">
        <v>898</v>
      </c>
      <c r="D638" t="s">
        <v>2074</v>
      </c>
      <c r="F638" t="s">
        <v>2066</v>
      </c>
      <c r="G638" t="s">
        <v>4447</v>
      </c>
    </row>
    <row r="639" spans="1:7" x14ac:dyDescent="0.25">
      <c r="A639">
        <v>2129</v>
      </c>
      <c r="B639">
        <v>487</v>
      </c>
      <c r="C639" t="s">
        <v>898</v>
      </c>
      <c r="D639" t="s">
        <v>2075</v>
      </c>
      <c r="F639" t="s">
        <v>2066</v>
      </c>
      <c r="G639" t="s">
        <v>4441</v>
      </c>
    </row>
    <row r="640" spans="1:7" x14ac:dyDescent="0.25">
      <c r="A640">
        <v>2130</v>
      </c>
      <c r="B640">
        <v>487</v>
      </c>
      <c r="C640" t="s">
        <v>898</v>
      </c>
      <c r="D640" t="s">
        <v>2076</v>
      </c>
      <c r="F640" t="s">
        <v>2066</v>
      </c>
      <c r="G640" t="s">
        <v>4441</v>
      </c>
    </row>
    <row r="641" spans="1:8" x14ac:dyDescent="0.25">
      <c r="A641">
        <v>2131</v>
      </c>
      <c r="B641">
        <v>487</v>
      </c>
      <c r="C641" t="s">
        <v>898</v>
      </c>
      <c r="D641" t="s">
        <v>2077</v>
      </c>
      <c r="F641" t="s">
        <v>2066</v>
      </c>
    </row>
    <row r="642" spans="1:8" x14ac:dyDescent="0.25">
      <c r="A642">
        <v>2133</v>
      </c>
      <c r="B642">
        <v>487</v>
      </c>
      <c r="C642" t="s">
        <v>898</v>
      </c>
      <c r="D642" t="s">
        <v>2078</v>
      </c>
      <c r="F642" t="s">
        <v>2066</v>
      </c>
      <c r="G642" t="s">
        <v>4445</v>
      </c>
    </row>
    <row r="643" spans="1:8" x14ac:dyDescent="0.25">
      <c r="A643">
        <v>2134</v>
      </c>
      <c r="B643">
        <v>487</v>
      </c>
      <c r="C643" t="s">
        <v>898</v>
      </c>
      <c r="D643" t="s">
        <v>2079</v>
      </c>
      <c r="F643" t="s">
        <v>2066</v>
      </c>
      <c r="G643" t="s">
        <v>1457</v>
      </c>
    </row>
    <row r="644" spans="1:8" x14ac:dyDescent="0.25">
      <c r="A644">
        <v>2135</v>
      </c>
      <c r="B644">
        <v>487</v>
      </c>
      <c r="C644" t="s">
        <v>898</v>
      </c>
      <c r="D644" t="s">
        <v>2080</v>
      </c>
      <c r="E644" t="s">
        <v>2081</v>
      </c>
      <c r="F644" t="s">
        <v>2066</v>
      </c>
      <c r="G644" t="s">
        <v>1262</v>
      </c>
    </row>
    <row r="645" spans="1:8" x14ac:dyDescent="0.25">
      <c r="A645">
        <v>2137</v>
      </c>
      <c r="B645">
        <v>487</v>
      </c>
      <c r="C645" t="s">
        <v>898</v>
      </c>
      <c r="D645" t="s">
        <v>2082</v>
      </c>
      <c r="E645" t="s">
        <v>2083</v>
      </c>
      <c r="F645" t="s">
        <v>2066</v>
      </c>
      <c r="G645" t="s">
        <v>1125</v>
      </c>
    </row>
    <row r="646" spans="1:8" x14ac:dyDescent="0.25">
      <c r="A646">
        <v>2138</v>
      </c>
      <c r="B646">
        <v>487</v>
      </c>
      <c r="C646" t="s">
        <v>898</v>
      </c>
      <c r="D646" t="s">
        <v>2084</v>
      </c>
      <c r="F646" t="s">
        <v>2066</v>
      </c>
      <c r="G646" t="s">
        <v>4449</v>
      </c>
    </row>
    <row r="647" spans="1:8" x14ac:dyDescent="0.25">
      <c r="A647">
        <v>2139</v>
      </c>
      <c r="B647">
        <v>487</v>
      </c>
      <c r="C647" t="s">
        <v>898</v>
      </c>
      <c r="D647" t="s">
        <v>2085</v>
      </c>
      <c r="F647" t="s">
        <v>2066</v>
      </c>
      <c r="G647" t="s">
        <v>4449</v>
      </c>
    </row>
    <row r="648" spans="1:8" x14ac:dyDescent="0.25">
      <c r="A648">
        <v>2140</v>
      </c>
      <c r="B648">
        <v>487</v>
      </c>
      <c r="C648" t="s">
        <v>898</v>
      </c>
      <c r="D648" t="s">
        <v>2086</v>
      </c>
      <c r="F648" t="s">
        <v>2066</v>
      </c>
      <c r="G648" t="s">
        <v>4460</v>
      </c>
    </row>
    <row r="649" spans="1:8" x14ac:dyDescent="0.25">
      <c r="A649">
        <v>2141</v>
      </c>
      <c r="B649">
        <v>487</v>
      </c>
      <c r="C649" t="s">
        <v>898</v>
      </c>
      <c r="D649" t="s">
        <v>2087</v>
      </c>
      <c r="F649" t="s">
        <v>2088</v>
      </c>
    </row>
    <row r="650" spans="1:8" x14ac:dyDescent="0.25">
      <c r="A650">
        <v>2142</v>
      </c>
      <c r="B650">
        <v>487</v>
      </c>
      <c r="C650" t="s">
        <v>898</v>
      </c>
      <c r="D650" t="s">
        <v>2089</v>
      </c>
      <c r="F650" t="s">
        <v>2066</v>
      </c>
    </row>
    <row r="651" spans="1:8" x14ac:dyDescent="0.25">
      <c r="A651">
        <v>2155</v>
      </c>
      <c r="B651">
        <v>38</v>
      </c>
      <c r="C651" t="s">
        <v>894</v>
      </c>
      <c r="D651" t="s">
        <v>2090</v>
      </c>
      <c r="E651" t="s">
        <v>2091</v>
      </c>
      <c r="F651" t="s">
        <v>980</v>
      </c>
      <c r="G651" t="s">
        <v>4447</v>
      </c>
    </row>
    <row r="652" spans="1:8" x14ac:dyDescent="0.25">
      <c r="A652">
        <v>2156</v>
      </c>
      <c r="B652">
        <v>38</v>
      </c>
      <c r="C652" t="s">
        <v>894</v>
      </c>
      <c r="D652" t="s">
        <v>895</v>
      </c>
      <c r="E652" t="s">
        <v>2092</v>
      </c>
      <c r="F652" t="s">
        <v>2093</v>
      </c>
      <c r="G652" t="s">
        <v>4448</v>
      </c>
      <c r="H652">
        <v>250</v>
      </c>
    </row>
    <row r="653" spans="1:8" x14ac:dyDescent="0.25">
      <c r="A653">
        <v>2158</v>
      </c>
      <c r="B653">
        <v>38</v>
      </c>
      <c r="C653" t="s">
        <v>894</v>
      </c>
      <c r="D653" t="s">
        <v>966</v>
      </c>
      <c r="E653" t="s">
        <v>2094</v>
      </c>
      <c r="F653" t="s">
        <v>980</v>
      </c>
      <c r="G653" t="s">
        <v>2758</v>
      </c>
      <c r="H653">
        <v>1250</v>
      </c>
    </row>
    <row r="654" spans="1:8" x14ac:dyDescent="0.25">
      <c r="A654">
        <v>2163</v>
      </c>
      <c r="B654">
        <v>497</v>
      </c>
      <c r="C654" t="s">
        <v>894</v>
      </c>
      <c r="D654" t="s">
        <v>923</v>
      </c>
      <c r="E654" t="s">
        <v>2095</v>
      </c>
      <c r="F654" t="s">
        <v>2096</v>
      </c>
      <c r="G654" t="s">
        <v>4444</v>
      </c>
    </row>
    <row r="655" spans="1:8" x14ac:dyDescent="0.25">
      <c r="A655">
        <v>2164</v>
      </c>
      <c r="B655">
        <v>497</v>
      </c>
      <c r="C655" t="s">
        <v>894</v>
      </c>
      <c r="D655" t="s">
        <v>917</v>
      </c>
      <c r="E655" t="s">
        <v>2097</v>
      </c>
      <c r="F655" t="s">
        <v>2096</v>
      </c>
      <c r="G655" t="s">
        <v>919</v>
      </c>
    </row>
    <row r="656" spans="1:8" x14ac:dyDescent="0.25">
      <c r="A656">
        <v>2165</v>
      </c>
      <c r="B656">
        <v>497</v>
      </c>
      <c r="C656" t="s">
        <v>894</v>
      </c>
      <c r="D656" t="s">
        <v>1354</v>
      </c>
      <c r="E656" t="s">
        <v>2098</v>
      </c>
      <c r="F656" t="s">
        <v>2096</v>
      </c>
      <c r="G656" t="s">
        <v>4457</v>
      </c>
    </row>
    <row r="657" spans="1:8" x14ac:dyDescent="0.25">
      <c r="A657">
        <v>2166</v>
      </c>
      <c r="B657">
        <v>497</v>
      </c>
      <c r="C657" t="s">
        <v>894</v>
      </c>
      <c r="D657" t="s">
        <v>2099</v>
      </c>
      <c r="E657" t="s">
        <v>2100</v>
      </c>
      <c r="F657" t="s">
        <v>2096</v>
      </c>
      <c r="G657" t="s">
        <v>4458</v>
      </c>
    </row>
    <row r="658" spans="1:8" x14ac:dyDescent="0.25">
      <c r="A658">
        <v>2167</v>
      </c>
      <c r="B658">
        <v>497</v>
      </c>
      <c r="C658" t="s">
        <v>894</v>
      </c>
      <c r="D658" t="s">
        <v>1115</v>
      </c>
      <c r="E658" t="s">
        <v>2101</v>
      </c>
      <c r="F658" t="s">
        <v>2096</v>
      </c>
    </row>
    <row r="659" spans="1:8" x14ac:dyDescent="0.25">
      <c r="A659">
        <v>2173</v>
      </c>
      <c r="B659">
        <v>2</v>
      </c>
      <c r="C659" t="s">
        <v>894</v>
      </c>
      <c r="D659" t="s">
        <v>2102</v>
      </c>
      <c r="E659" t="s">
        <v>2103</v>
      </c>
      <c r="F659" t="s">
        <v>910</v>
      </c>
      <c r="G659" t="s">
        <v>4442</v>
      </c>
    </row>
    <row r="660" spans="1:8" x14ac:dyDescent="0.25">
      <c r="A660">
        <v>2175</v>
      </c>
      <c r="B660">
        <v>2</v>
      </c>
      <c r="C660" t="s">
        <v>894</v>
      </c>
      <c r="D660" t="s">
        <v>966</v>
      </c>
      <c r="E660" t="s">
        <v>2104</v>
      </c>
      <c r="F660" t="s">
        <v>2105</v>
      </c>
      <c r="G660" t="s">
        <v>2758</v>
      </c>
      <c r="H660">
        <v>1250</v>
      </c>
    </row>
    <row r="661" spans="1:8" x14ac:dyDescent="0.25">
      <c r="A661">
        <v>2183</v>
      </c>
      <c r="B661">
        <v>38</v>
      </c>
      <c r="C661" t="s">
        <v>894</v>
      </c>
      <c r="D661" t="s">
        <v>1272</v>
      </c>
      <c r="E661" t="s">
        <v>2106</v>
      </c>
      <c r="F661" t="s">
        <v>980</v>
      </c>
      <c r="G661" t="s">
        <v>4442</v>
      </c>
    </row>
    <row r="662" spans="1:8" x14ac:dyDescent="0.25">
      <c r="A662">
        <v>2186</v>
      </c>
      <c r="B662">
        <v>327</v>
      </c>
      <c r="C662" t="s">
        <v>894</v>
      </c>
      <c r="D662" t="s">
        <v>1320</v>
      </c>
      <c r="E662" t="s">
        <v>2107</v>
      </c>
      <c r="F662" t="s">
        <v>1536</v>
      </c>
      <c r="G662" t="s">
        <v>4447</v>
      </c>
    </row>
    <row r="663" spans="1:8" x14ac:dyDescent="0.25">
      <c r="A663">
        <v>2192</v>
      </c>
      <c r="B663">
        <v>140</v>
      </c>
      <c r="C663" t="s">
        <v>894</v>
      </c>
      <c r="D663" t="s">
        <v>2108</v>
      </c>
      <c r="E663" t="s">
        <v>2109</v>
      </c>
      <c r="F663" t="s">
        <v>1258</v>
      </c>
      <c r="G663" t="s">
        <v>4445</v>
      </c>
    </row>
    <row r="664" spans="1:8" x14ac:dyDescent="0.25">
      <c r="A664">
        <v>2193</v>
      </c>
      <c r="B664">
        <v>340</v>
      </c>
      <c r="C664" t="s">
        <v>894</v>
      </c>
      <c r="D664" t="s">
        <v>960</v>
      </c>
      <c r="E664" t="s">
        <v>2110</v>
      </c>
      <c r="F664" t="s">
        <v>1571</v>
      </c>
      <c r="G664" t="s">
        <v>4447</v>
      </c>
    </row>
    <row r="665" spans="1:8" x14ac:dyDescent="0.25">
      <c r="A665">
        <v>2194</v>
      </c>
      <c r="B665">
        <v>340</v>
      </c>
      <c r="C665" t="s">
        <v>894</v>
      </c>
      <c r="D665" t="s">
        <v>936</v>
      </c>
      <c r="E665" t="s">
        <v>2111</v>
      </c>
      <c r="F665" t="s">
        <v>1571</v>
      </c>
      <c r="G665" t="s">
        <v>4447</v>
      </c>
    </row>
    <row r="666" spans="1:8" x14ac:dyDescent="0.25">
      <c r="A666">
        <v>2196</v>
      </c>
      <c r="B666">
        <v>197</v>
      </c>
      <c r="C666" t="s">
        <v>894</v>
      </c>
      <c r="D666" t="s">
        <v>2112</v>
      </c>
      <c r="E666" t="s">
        <v>2113</v>
      </c>
      <c r="F666" t="s">
        <v>1315</v>
      </c>
      <c r="G666" t="s">
        <v>4447</v>
      </c>
    </row>
    <row r="667" spans="1:8" x14ac:dyDescent="0.25">
      <c r="A667">
        <v>2197</v>
      </c>
      <c r="B667">
        <v>10</v>
      </c>
      <c r="C667" t="s">
        <v>894</v>
      </c>
      <c r="D667" t="s">
        <v>1311</v>
      </c>
      <c r="E667" t="s">
        <v>2114</v>
      </c>
      <c r="F667" t="s">
        <v>2115</v>
      </c>
      <c r="G667" t="s">
        <v>4448</v>
      </c>
      <c r="H667">
        <v>250</v>
      </c>
    </row>
    <row r="668" spans="1:8" x14ac:dyDescent="0.25">
      <c r="A668">
        <v>2200</v>
      </c>
      <c r="B668">
        <v>402</v>
      </c>
      <c r="C668" t="s">
        <v>898</v>
      </c>
      <c r="D668" t="s">
        <v>2116</v>
      </c>
      <c r="E668" t="s">
        <v>2117</v>
      </c>
      <c r="F668" t="s">
        <v>1931</v>
      </c>
      <c r="G668" t="s">
        <v>1262</v>
      </c>
    </row>
    <row r="669" spans="1:8" x14ac:dyDescent="0.25">
      <c r="A669">
        <v>2202</v>
      </c>
      <c r="B669">
        <v>402</v>
      </c>
      <c r="C669" t="s">
        <v>898</v>
      </c>
      <c r="D669" t="s">
        <v>1376</v>
      </c>
      <c r="F669" t="s">
        <v>1931</v>
      </c>
      <c r="G669" t="s">
        <v>4447</v>
      </c>
    </row>
    <row r="670" spans="1:8" x14ac:dyDescent="0.25">
      <c r="A670">
        <v>2210</v>
      </c>
      <c r="B670">
        <v>71</v>
      </c>
      <c r="C670" t="s">
        <v>894</v>
      </c>
      <c r="D670" t="s">
        <v>2118</v>
      </c>
      <c r="E670" t="s">
        <v>2119</v>
      </c>
      <c r="F670" t="s">
        <v>1069</v>
      </c>
      <c r="G670" t="s">
        <v>919</v>
      </c>
    </row>
    <row r="671" spans="1:8" x14ac:dyDescent="0.25">
      <c r="A671">
        <v>2212</v>
      </c>
      <c r="B671">
        <v>71</v>
      </c>
      <c r="C671" t="s">
        <v>894</v>
      </c>
      <c r="D671" t="s">
        <v>2120</v>
      </c>
      <c r="E671" t="s">
        <v>2121</v>
      </c>
      <c r="F671" t="s">
        <v>1069</v>
      </c>
      <c r="G671" t="s">
        <v>4442</v>
      </c>
    </row>
    <row r="672" spans="1:8" x14ac:dyDescent="0.25">
      <c r="A672">
        <v>2215</v>
      </c>
      <c r="B672">
        <v>54</v>
      </c>
      <c r="C672" t="s">
        <v>894</v>
      </c>
      <c r="D672" t="s">
        <v>1241</v>
      </c>
      <c r="E672" t="s">
        <v>2122</v>
      </c>
      <c r="F672" t="s">
        <v>1013</v>
      </c>
      <c r="G672" t="s">
        <v>4442</v>
      </c>
    </row>
    <row r="673" spans="1:8" x14ac:dyDescent="0.25">
      <c r="A673">
        <v>2216</v>
      </c>
      <c r="B673">
        <v>40</v>
      </c>
      <c r="C673" t="s">
        <v>894</v>
      </c>
      <c r="D673" t="s">
        <v>1320</v>
      </c>
      <c r="E673" t="s">
        <v>2123</v>
      </c>
      <c r="F673" t="s">
        <v>2124</v>
      </c>
      <c r="G673" t="s">
        <v>4447</v>
      </c>
    </row>
    <row r="674" spans="1:8" x14ac:dyDescent="0.25">
      <c r="A674">
        <v>2217</v>
      </c>
      <c r="B674">
        <v>40</v>
      </c>
      <c r="C674" t="s">
        <v>894</v>
      </c>
      <c r="D674" t="s">
        <v>2125</v>
      </c>
      <c r="E674" t="s">
        <v>2126</v>
      </c>
      <c r="F674" t="s">
        <v>2127</v>
      </c>
    </row>
    <row r="675" spans="1:8" x14ac:dyDescent="0.25">
      <c r="A675">
        <v>2218</v>
      </c>
      <c r="B675">
        <v>25</v>
      </c>
      <c r="C675" t="s">
        <v>894</v>
      </c>
      <c r="D675" t="s">
        <v>917</v>
      </c>
      <c r="E675" t="s">
        <v>2128</v>
      </c>
      <c r="F675" t="s">
        <v>1998</v>
      </c>
      <c r="G675" t="s">
        <v>919</v>
      </c>
    </row>
    <row r="676" spans="1:8" x14ac:dyDescent="0.25">
      <c r="A676">
        <v>2220</v>
      </c>
      <c r="B676">
        <v>25</v>
      </c>
      <c r="C676" t="s">
        <v>894</v>
      </c>
      <c r="D676" t="s">
        <v>2129</v>
      </c>
      <c r="E676" t="s">
        <v>2130</v>
      </c>
      <c r="F676" t="s">
        <v>2131</v>
      </c>
      <c r="G676" t="s">
        <v>1309</v>
      </c>
    </row>
    <row r="677" spans="1:8" x14ac:dyDescent="0.25">
      <c r="A677">
        <v>2221</v>
      </c>
      <c r="B677">
        <v>25</v>
      </c>
      <c r="C677" t="s">
        <v>894</v>
      </c>
      <c r="D677" t="s">
        <v>2132</v>
      </c>
      <c r="E677" t="s">
        <v>2133</v>
      </c>
      <c r="F677" t="s">
        <v>2131</v>
      </c>
      <c r="G677" t="s">
        <v>4442</v>
      </c>
    </row>
    <row r="678" spans="1:8" x14ac:dyDescent="0.25">
      <c r="A678">
        <v>2223</v>
      </c>
      <c r="B678">
        <v>42</v>
      </c>
      <c r="C678" t="s">
        <v>894</v>
      </c>
      <c r="D678" t="s">
        <v>1072</v>
      </c>
      <c r="E678" t="s">
        <v>2134</v>
      </c>
      <c r="F678" t="s">
        <v>1136</v>
      </c>
      <c r="G678" t="s">
        <v>4447</v>
      </c>
    </row>
    <row r="679" spans="1:8" x14ac:dyDescent="0.25">
      <c r="A679">
        <v>2225</v>
      </c>
      <c r="B679">
        <v>42</v>
      </c>
      <c r="C679" t="s">
        <v>894</v>
      </c>
      <c r="D679" t="s">
        <v>2030</v>
      </c>
      <c r="E679" t="s">
        <v>2135</v>
      </c>
      <c r="F679" t="s">
        <v>1136</v>
      </c>
      <c r="G679" t="s">
        <v>4447</v>
      </c>
    </row>
    <row r="680" spans="1:8" x14ac:dyDescent="0.25">
      <c r="A680">
        <v>2226</v>
      </c>
      <c r="B680">
        <v>42</v>
      </c>
      <c r="C680" t="s">
        <v>894</v>
      </c>
      <c r="D680" t="s">
        <v>1132</v>
      </c>
      <c r="E680" t="s">
        <v>2136</v>
      </c>
      <c r="F680" t="s">
        <v>1136</v>
      </c>
      <c r="G680" t="s">
        <v>4447</v>
      </c>
    </row>
    <row r="681" spans="1:8" x14ac:dyDescent="0.25">
      <c r="A681">
        <v>2227</v>
      </c>
      <c r="B681">
        <v>42</v>
      </c>
      <c r="C681" t="s">
        <v>894</v>
      </c>
      <c r="D681" t="s">
        <v>1067</v>
      </c>
      <c r="E681" t="s">
        <v>2137</v>
      </c>
      <c r="F681" t="s">
        <v>1136</v>
      </c>
    </row>
    <row r="682" spans="1:8" x14ac:dyDescent="0.25">
      <c r="A682">
        <v>2228</v>
      </c>
      <c r="B682">
        <v>42</v>
      </c>
      <c r="C682" t="s">
        <v>894</v>
      </c>
      <c r="D682" t="s">
        <v>1628</v>
      </c>
      <c r="E682" t="s">
        <v>2138</v>
      </c>
      <c r="F682" t="s">
        <v>1136</v>
      </c>
      <c r="G682" t="s">
        <v>1309</v>
      </c>
      <c r="H682">
        <v>3</v>
      </c>
    </row>
    <row r="683" spans="1:8" x14ac:dyDescent="0.25">
      <c r="A683">
        <v>2229</v>
      </c>
      <c r="B683">
        <v>42</v>
      </c>
      <c r="C683" t="s">
        <v>894</v>
      </c>
      <c r="D683" t="s">
        <v>2028</v>
      </c>
      <c r="E683" t="s">
        <v>2139</v>
      </c>
      <c r="F683" t="s">
        <v>1136</v>
      </c>
      <c r="G683" t="s">
        <v>1309</v>
      </c>
      <c r="H683">
        <v>3</v>
      </c>
    </row>
    <row r="684" spans="1:8" x14ac:dyDescent="0.25">
      <c r="A684">
        <v>2231</v>
      </c>
      <c r="B684">
        <v>42</v>
      </c>
      <c r="C684" t="s">
        <v>894</v>
      </c>
      <c r="D684" t="s">
        <v>1307</v>
      </c>
      <c r="E684" t="s">
        <v>2140</v>
      </c>
      <c r="F684" t="s">
        <v>1136</v>
      </c>
      <c r="G684" t="s">
        <v>1309</v>
      </c>
      <c r="H684">
        <v>4</v>
      </c>
    </row>
    <row r="685" spans="1:8" x14ac:dyDescent="0.25">
      <c r="A685">
        <v>2232</v>
      </c>
      <c r="B685">
        <v>42</v>
      </c>
      <c r="C685" t="s">
        <v>894</v>
      </c>
      <c r="D685" t="s">
        <v>1070</v>
      </c>
      <c r="E685" t="s">
        <v>2141</v>
      </c>
      <c r="F685" t="s">
        <v>1136</v>
      </c>
      <c r="G685" t="s">
        <v>4442</v>
      </c>
    </row>
    <row r="686" spans="1:8" x14ac:dyDescent="0.25">
      <c r="A686">
        <v>2233</v>
      </c>
      <c r="B686">
        <v>42</v>
      </c>
      <c r="C686" t="s">
        <v>894</v>
      </c>
      <c r="D686" t="s">
        <v>1556</v>
      </c>
      <c r="E686" t="s">
        <v>2142</v>
      </c>
      <c r="F686" t="s">
        <v>1136</v>
      </c>
      <c r="G686" t="s">
        <v>4442</v>
      </c>
    </row>
    <row r="687" spans="1:8" x14ac:dyDescent="0.25">
      <c r="A687">
        <v>2234</v>
      </c>
      <c r="B687">
        <v>42</v>
      </c>
      <c r="C687" t="s">
        <v>894</v>
      </c>
      <c r="D687" t="s">
        <v>2143</v>
      </c>
      <c r="E687" t="s">
        <v>2144</v>
      </c>
      <c r="F687" t="s">
        <v>1136</v>
      </c>
      <c r="G687" t="s">
        <v>4442</v>
      </c>
    </row>
    <row r="688" spans="1:8" x14ac:dyDescent="0.25">
      <c r="A688">
        <v>2238</v>
      </c>
      <c r="B688">
        <v>501</v>
      </c>
      <c r="C688" t="s">
        <v>894</v>
      </c>
      <c r="D688" t="s">
        <v>2145</v>
      </c>
      <c r="E688" t="s">
        <v>2146</v>
      </c>
      <c r="F688" t="s">
        <v>2147</v>
      </c>
      <c r="G688" t="s">
        <v>4448</v>
      </c>
    </row>
    <row r="689" spans="1:7" x14ac:dyDescent="0.25">
      <c r="A689">
        <v>2242</v>
      </c>
      <c r="B689">
        <v>31</v>
      </c>
      <c r="C689" t="s">
        <v>898</v>
      </c>
      <c r="D689" t="s">
        <v>2148</v>
      </c>
      <c r="E689" t="s">
        <v>2149</v>
      </c>
      <c r="F689" t="s">
        <v>977</v>
      </c>
      <c r="G689" t="s">
        <v>4447</v>
      </c>
    </row>
    <row r="690" spans="1:7" x14ac:dyDescent="0.25">
      <c r="A690">
        <v>2252</v>
      </c>
      <c r="B690">
        <v>509</v>
      </c>
      <c r="C690" t="s">
        <v>898</v>
      </c>
      <c r="D690" t="s">
        <v>2150</v>
      </c>
      <c r="E690" t="s">
        <v>2151</v>
      </c>
      <c r="F690" t="s">
        <v>2152</v>
      </c>
      <c r="G690" t="s">
        <v>4448</v>
      </c>
    </row>
    <row r="691" spans="1:7" x14ac:dyDescent="0.25">
      <c r="A691">
        <v>2254</v>
      </c>
      <c r="B691">
        <v>509</v>
      </c>
      <c r="C691" t="s">
        <v>898</v>
      </c>
      <c r="D691" t="s">
        <v>2153</v>
      </c>
      <c r="E691" t="s">
        <v>2154</v>
      </c>
      <c r="F691" t="s">
        <v>2155</v>
      </c>
      <c r="G691" t="s">
        <v>1262</v>
      </c>
    </row>
    <row r="692" spans="1:7" x14ac:dyDescent="0.25">
      <c r="A692">
        <v>2255</v>
      </c>
      <c r="B692">
        <v>508</v>
      </c>
      <c r="C692" t="s">
        <v>898</v>
      </c>
      <c r="D692" t="s">
        <v>2156</v>
      </c>
      <c r="E692" t="s">
        <v>2157</v>
      </c>
      <c r="F692" t="s">
        <v>2158</v>
      </c>
    </row>
    <row r="693" spans="1:7" x14ac:dyDescent="0.25">
      <c r="A693">
        <v>2256</v>
      </c>
      <c r="B693">
        <v>509</v>
      </c>
      <c r="C693" t="s">
        <v>898</v>
      </c>
      <c r="D693" t="s">
        <v>2159</v>
      </c>
      <c r="E693" t="s">
        <v>2160</v>
      </c>
      <c r="F693" t="s">
        <v>2161</v>
      </c>
      <c r="G693" t="s">
        <v>1125</v>
      </c>
    </row>
    <row r="694" spans="1:7" x14ac:dyDescent="0.25">
      <c r="A694">
        <v>2257</v>
      </c>
      <c r="B694">
        <v>509</v>
      </c>
      <c r="C694" t="s">
        <v>898</v>
      </c>
      <c r="D694" t="s">
        <v>2162</v>
      </c>
      <c r="E694" t="s">
        <v>2163</v>
      </c>
      <c r="F694" t="s">
        <v>2161</v>
      </c>
      <c r="G694" t="s">
        <v>1309</v>
      </c>
    </row>
    <row r="695" spans="1:7" x14ac:dyDescent="0.25">
      <c r="A695">
        <v>2260</v>
      </c>
      <c r="B695">
        <v>510</v>
      </c>
      <c r="C695" t="s">
        <v>898</v>
      </c>
      <c r="D695" t="s">
        <v>2164</v>
      </c>
      <c r="E695" t="s">
        <v>2165</v>
      </c>
      <c r="F695" t="s">
        <v>2166</v>
      </c>
    </row>
    <row r="696" spans="1:7" x14ac:dyDescent="0.25">
      <c r="A696">
        <v>2263</v>
      </c>
      <c r="B696">
        <v>513</v>
      </c>
      <c r="C696" t="s">
        <v>898</v>
      </c>
      <c r="D696" t="s">
        <v>2167</v>
      </c>
      <c r="E696" t="s">
        <v>2168</v>
      </c>
      <c r="F696" t="s">
        <v>2169</v>
      </c>
    </row>
    <row r="697" spans="1:7" x14ac:dyDescent="0.25">
      <c r="A697">
        <v>2264</v>
      </c>
      <c r="B697">
        <v>514</v>
      </c>
      <c r="C697" t="s">
        <v>898</v>
      </c>
      <c r="D697" t="s">
        <v>2170</v>
      </c>
      <c r="F697" t="s">
        <v>2171</v>
      </c>
      <c r="G697" t="s">
        <v>4442</v>
      </c>
    </row>
    <row r="698" spans="1:7" x14ac:dyDescent="0.25">
      <c r="A698">
        <v>2265</v>
      </c>
      <c r="B698">
        <v>514</v>
      </c>
      <c r="C698" t="s">
        <v>898</v>
      </c>
      <c r="D698" t="s">
        <v>2172</v>
      </c>
      <c r="E698" t="s">
        <v>2173</v>
      </c>
      <c r="F698" t="s">
        <v>2171</v>
      </c>
      <c r="G698" t="s">
        <v>4447</v>
      </c>
    </row>
    <row r="699" spans="1:7" x14ac:dyDescent="0.25">
      <c r="A699">
        <v>2266</v>
      </c>
      <c r="B699">
        <v>514</v>
      </c>
      <c r="C699" t="s">
        <v>898</v>
      </c>
      <c r="D699" t="s">
        <v>1137</v>
      </c>
      <c r="F699" t="s">
        <v>2171</v>
      </c>
      <c r="G699" t="s">
        <v>4444</v>
      </c>
    </row>
    <row r="700" spans="1:7" x14ac:dyDescent="0.25">
      <c r="A700">
        <v>2274</v>
      </c>
      <c r="B700">
        <v>515</v>
      </c>
      <c r="C700" t="s">
        <v>894</v>
      </c>
      <c r="D700" t="s">
        <v>2174</v>
      </c>
      <c r="E700" t="s">
        <v>2175</v>
      </c>
      <c r="F700" t="s">
        <v>2176</v>
      </c>
      <c r="G700" t="s">
        <v>4442</v>
      </c>
    </row>
    <row r="701" spans="1:7" x14ac:dyDescent="0.25">
      <c r="A701">
        <v>2276</v>
      </c>
      <c r="B701">
        <v>515</v>
      </c>
      <c r="C701" t="s">
        <v>894</v>
      </c>
      <c r="D701" t="s">
        <v>917</v>
      </c>
      <c r="E701" t="s">
        <v>2177</v>
      </c>
      <c r="F701" t="s">
        <v>2176</v>
      </c>
      <c r="G701" t="s">
        <v>919</v>
      </c>
    </row>
    <row r="702" spans="1:7" x14ac:dyDescent="0.25">
      <c r="A702">
        <v>2277</v>
      </c>
      <c r="B702">
        <v>516</v>
      </c>
      <c r="C702" t="s">
        <v>894</v>
      </c>
      <c r="D702" t="s">
        <v>1525</v>
      </c>
      <c r="F702" t="s">
        <v>2178</v>
      </c>
      <c r="G702" t="s">
        <v>4442</v>
      </c>
    </row>
    <row r="703" spans="1:7" x14ac:dyDescent="0.25">
      <c r="A703">
        <v>2279</v>
      </c>
      <c r="B703">
        <v>516</v>
      </c>
      <c r="C703" t="s">
        <v>894</v>
      </c>
      <c r="D703" t="s">
        <v>963</v>
      </c>
      <c r="E703" t="s">
        <v>2179</v>
      </c>
      <c r="F703" t="s">
        <v>2178</v>
      </c>
      <c r="G703" t="s">
        <v>4447</v>
      </c>
    </row>
    <row r="704" spans="1:7" x14ac:dyDescent="0.25">
      <c r="A704">
        <v>2280</v>
      </c>
      <c r="B704">
        <v>516</v>
      </c>
      <c r="C704" t="s">
        <v>894</v>
      </c>
      <c r="D704" t="s">
        <v>1047</v>
      </c>
      <c r="F704" t="s">
        <v>2178</v>
      </c>
      <c r="G704" t="s">
        <v>4447</v>
      </c>
    </row>
    <row r="705" spans="1:8" x14ac:dyDescent="0.25">
      <c r="A705">
        <v>2281</v>
      </c>
      <c r="B705">
        <v>516</v>
      </c>
      <c r="C705" t="s">
        <v>894</v>
      </c>
      <c r="D705" t="s">
        <v>2180</v>
      </c>
      <c r="E705" t="s">
        <v>2181</v>
      </c>
      <c r="F705" t="s">
        <v>2178</v>
      </c>
      <c r="G705" t="s">
        <v>4442</v>
      </c>
    </row>
    <row r="706" spans="1:8" x14ac:dyDescent="0.25">
      <c r="A706">
        <v>2283</v>
      </c>
      <c r="B706">
        <v>516</v>
      </c>
      <c r="C706" t="s">
        <v>894</v>
      </c>
      <c r="D706" t="s">
        <v>917</v>
      </c>
      <c r="E706" t="s">
        <v>2182</v>
      </c>
      <c r="F706" t="s">
        <v>2178</v>
      </c>
      <c r="G706" t="s">
        <v>919</v>
      </c>
    </row>
    <row r="707" spans="1:8" x14ac:dyDescent="0.25">
      <c r="A707">
        <v>2284</v>
      </c>
      <c r="B707">
        <v>518</v>
      </c>
      <c r="C707" t="s">
        <v>894</v>
      </c>
      <c r="D707" t="s">
        <v>1525</v>
      </c>
      <c r="E707" t="s">
        <v>2183</v>
      </c>
      <c r="F707" t="s">
        <v>2184</v>
      </c>
      <c r="G707" t="s">
        <v>4442</v>
      </c>
    </row>
    <row r="708" spans="1:8" x14ac:dyDescent="0.25">
      <c r="A708">
        <v>2285</v>
      </c>
      <c r="B708">
        <v>518</v>
      </c>
      <c r="C708" t="s">
        <v>894</v>
      </c>
      <c r="D708" t="s">
        <v>2185</v>
      </c>
      <c r="F708" t="s">
        <v>2184</v>
      </c>
    </row>
    <row r="709" spans="1:8" x14ac:dyDescent="0.25">
      <c r="A709">
        <v>2286</v>
      </c>
      <c r="B709">
        <v>518</v>
      </c>
      <c r="C709" t="s">
        <v>894</v>
      </c>
      <c r="D709" t="s">
        <v>963</v>
      </c>
      <c r="E709" t="s">
        <v>2186</v>
      </c>
      <c r="F709" t="s">
        <v>2184</v>
      </c>
      <c r="G709" t="s">
        <v>4447</v>
      </c>
    </row>
    <row r="710" spans="1:8" x14ac:dyDescent="0.25">
      <c r="A710">
        <v>2287</v>
      </c>
      <c r="B710">
        <v>518</v>
      </c>
      <c r="C710" t="s">
        <v>894</v>
      </c>
      <c r="D710" t="s">
        <v>1047</v>
      </c>
      <c r="E710" t="s">
        <v>2187</v>
      </c>
      <c r="F710" t="s">
        <v>2184</v>
      </c>
      <c r="G710" t="s">
        <v>4447</v>
      </c>
    </row>
    <row r="711" spans="1:8" x14ac:dyDescent="0.25">
      <c r="A711">
        <v>2288</v>
      </c>
      <c r="B711">
        <v>518</v>
      </c>
      <c r="C711" t="s">
        <v>894</v>
      </c>
      <c r="D711" t="s">
        <v>2188</v>
      </c>
      <c r="E711" t="s">
        <v>2189</v>
      </c>
      <c r="F711" t="s">
        <v>2184</v>
      </c>
      <c r="G711" t="s">
        <v>4447</v>
      </c>
    </row>
    <row r="712" spans="1:8" x14ac:dyDescent="0.25">
      <c r="A712">
        <v>2289</v>
      </c>
      <c r="B712">
        <v>518</v>
      </c>
      <c r="C712" t="s">
        <v>894</v>
      </c>
      <c r="D712" t="s">
        <v>923</v>
      </c>
      <c r="F712" t="s">
        <v>2184</v>
      </c>
      <c r="G712" t="s">
        <v>4444</v>
      </c>
    </row>
    <row r="713" spans="1:8" x14ac:dyDescent="0.25">
      <c r="A713">
        <v>2290</v>
      </c>
      <c r="B713">
        <v>518</v>
      </c>
      <c r="C713" t="s">
        <v>894</v>
      </c>
      <c r="D713" t="s">
        <v>917</v>
      </c>
      <c r="E713" t="s">
        <v>2190</v>
      </c>
      <c r="F713" t="s">
        <v>2184</v>
      </c>
      <c r="G713" t="s">
        <v>919</v>
      </c>
    </row>
    <row r="714" spans="1:8" x14ac:dyDescent="0.25">
      <c r="A714">
        <v>2298</v>
      </c>
      <c r="B714">
        <v>98</v>
      </c>
      <c r="C714" t="s">
        <v>894</v>
      </c>
      <c r="D714" t="s">
        <v>2191</v>
      </c>
      <c r="E714" t="s">
        <v>2192</v>
      </c>
      <c r="F714" t="s">
        <v>2193</v>
      </c>
      <c r="G714" t="s">
        <v>4455</v>
      </c>
    </row>
    <row r="715" spans="1:8" x14ac:dyDescent="0.25">
      <c r="A715">
        <v>2299</v>
      </c>
      <c r="B715">
        <v>98</v>
      </c>
      <c r="C715" t="s">
        <v>894</v>
      </c>
      <c r="D715" t="s">
        <v>966</v>
      </c>
      <c r="E715" t="s">
        <v>2194</v>
      </c>
      <c r="F715" t="s">
        <v>2195</v>
      </c>
      <c r="G715" t="s">
        <v>2758</v>
      </c>
    </row>
    <row r="716" spans="1:8" x14ac:dyDescent="0.25">
      <c r="A716">
        <v>2306</v>
      </c>
      <c r="B716">
        <v>399</v>
      </c>
      <c r="C716" t="s">
        <v>1188</v>
      </c>
      <c r="D716" t="s">
        <v>1189</v>
      </c>
      <c r="F716" t="s">
        <v>1916</v>
      </c>
      <c r="G716" t="s">
        <v>4444</v>
      </c>
    </row>
    <row r="717" spans="1:8" x14ac:dyDescent="0.25">
      <c r="A717">
        <v>2307</v>
      </c>
      <c r="B717">
        <v>400</v>
      </c>
      <c r="C717" t="s">
        <v>1188</v>
      </c>
      <c r="D717" t="s">
        <v>1189</v>
      </c>
      <c r="F717" t="s">
        <v>1904</v>
      </c>
      <c r="G717" t="s">
        <v>4444</v>
      </c>
    </row>
    <row r="718" spans="1:8" x14ac:dyDescent="0.25">
      <c r="A718">
        <v>2309</v>
      </c>
      <c r="B718">
        <v>400</v>
      </c>
      <c r="C718" t="s">
        <v>1188</v>
      </c>
      <c r="D718" t="s">
        <v>2196</v>
      </c>
      <c r="F718" t="s">
        <v>1904</v>
      </c>
      <c r="G718" t="s">
        <v>1670</v>
      </c>
    </row>
    <row r="719" spans="1:8" x14ac:dyDescent="0.25">
      <c r="A719">
        <v>2311</v>
      </c>
      <c r="B719">
        <v>47</v>
      </c>
      <c r="C719" t="s">
        <v>894</v>
      </c>
      <c r="D719" t="s">
        <v>923</v>
      </c>
      <c r="E719" t="s">
        <v>2197</v>
      </c>
      <c r="F719" t="s">
        <v>1017</v>
      </c>
      <c r="G719" t="s">
        <v>4444</v>
      </c>
    </row>
    <row r="720" spans="1:8" x14ac:dyDescent="0.25">
      <c r="A720">
        <v>2316</v>
      </c>
      <c r="B720">
        <v>55</v>
      </c>
      <c r="C720" t="s">
        <v>894</v>
      </c>
      <c r="D720" t="s">
        <v>895</v>
      </c>
      <c r="E720" t="s">
        <v>2198</v>
      </c>
      <c r="F720" t="s">
        <v>2199</v>
      </c>
      <c r="G720" t="s">
        <v>4448</v>
      </c>
      <c r="H720">
        <v>250</v>
      </c>
    </row>
    <row r="721" spans="1:8" x14ac:dyDescent="0.25">
      <c r="A721">
        <v>2317</v>
      </c>
      <c r="B721">
        <v>234</v>
      </c>
      <c r="C721" t="s">
        <v>894</v>
      </c>
      <c r="D721" t="s">
        <v>1525</v>
      </c>
      <c r="E721" t="s">
        <v>2200</v>
      </c>
      <c r="F721" t="s">
        <v>1438</v>
      </c>
      <c r="G721" t="s">
        <v>4442</v>
      </c>
    </row>
    <row r="722" spans="1:8" x14ac:dyDescent="0.25">
      <c r="A722">
        <v>2318</v>
      </c>
      <c r="B722">
        <v>234</v>
      </c>
      <c r="C722" t="s">
        <v>894</v>
      </c>
      <c r="D722" t="s">
        <v>2201</v>
      </c>
      <c r="E722" t="s">
        <v>2202</v>
      </c>
      <c r="F722" t="s">
        <v>1438</v>
      </c>
      <c r="G722" t="s">
        <v>4447</v>
      </c>
    </row>
    <row r="723" spans="1:8" x14ac:dyDescent="0.25">
      <c r="A723">
        <v>2320</v>
      </c>
      <c r="B723">
        <v>519</v>
      </c>
      <c r="C723" t="s">
        <v>894</v>
      </c>
      <c r="D723" t="s">
        <v>2203</v>
      </c>
      <c r="E723" t="s">
        <v>2204</v>
      </c>
      <c r="F723" t="s">
        <v>2205</v>
      </c>
      <c r="G723" t="s">
        <v>4448</v>
      </c>
    </row>
    <row r="724" spans="1:8" x14ac:dyDescent="0.25">
      <c r="A724">
        <v>2321</v>
      </c>
      <c r="B724">
        <v>62</v>
      </c>
      <c r="C724" t="s">
        <v>894</v>
      </c>
      <c r="D724" t="s">
        <v>895</v>
      </c>
      <c r="E724" t="s">
        <v>2206</v>
      </c>
      <c r="F724" t="s">
        <v>2207</v>
      </c>
      <c r="G724" t="s">
        <v>4448</v>
      </c>
      <c r="H724">
        <v>250</v>
      </c>
    </row>
    <row r="725" spans="1:8" x14ac:dyDescent="0.25">
      <c r="A725">
        <v>2322</v>
      </c>
      <c r="B725">
        <v>62</v>
      </c>
      <c r="C725" t="s">
        <v>894</v>
      </c>
      <c r="D725" t="s">
        <v>2208</v>
      </c>
      <c r="E725" t="s">
        <v>2209</v>
      </c>
      <c r="F725" t="s">
        <v>1057</v>
      </c>
    </row>
    <row r="726" spans="1:8" x14ac:dyDescent="0.25">
      <c r="A726">
        <v>2323</v>
      </c>
      <c r="B726">
        <v>62</v>
      </c>
      <c r="C726" t="s">
        <v>894</v>
      </c>
      <c r="D726" t="s">
        <v>2210</v>
      </c>
      <c r="E726" t="s">
        <v>2211</v>
      </c>
      <c r="F726" t="s">
        <v>1057</v>
      </c>
      <c r="G726" t="s">
        <v>4442</v>
      </c>
    </row>
    <row r="727" spans="1:8" x14ac:dyDescent="0.25">
      <c r="A727">
        <v>2324</v>
      </c>
      <c r="B727">
        <v>62</v>
      </c>
      <c r="C727" t="s">
        <v>894</v>
      </c>
      <c r="D727" t="s">
        <v>2212</v>
      </c>
      <c r="E727" t="s">
        <v>2213</v>
      </c>
      <c r="F727" t="s">
        <v>1057</v>
      </c>
      <c r="G727" t="s">
        <v>4442</v>
      </c>
    </row>
    <row r="728" spans="1:8" x14ac:dyDescent="0.25">
      <c r="A728">
        <v>2325</v>
      </c>
      <c r="B728">
        <v>62</v>
      </c>
      <c r="C728" t="s">
        <v>894</v>
      </c>
      <c r="D728" t="s">
        <v>2214</v>
      </c>
      <c r="E728" t="s">
        <v>2215</v>
      </c>
      <c r="F728" t="s">
        <v>1057</v>
      </c>
      <c r="G728" t="s">
        <v>4442</v>
      </c>
    </row>
    <row r="729" spans="1:8" x14ac:dyDescent="0.25">
      <c r="A729">
        <v>2327</v>
      </c>
      <c r="B729">
        <v>62</v>
      </c>
      <c r="C729" t="s">
        <v>894</v>
      </c>
      <c r="D729" t="s">
        <v>1356</v>
      </c>
      <c r="E729" t="s">
        <v>2216</v>
      </c>
      <c r="F729" t="s">
        <v>1057</v>
      </c>
      <c r="G729" t="s">
        <v>4442</v>
      </c>
    </row>
    <row r="730" spans="1:8" x14ac:dyDescent="0.25">
      <c r="A730">
        <v>2328</v>
      </c>
      <c r="B730">
        <v>61</v>
      </c>
      <c r="C730" t="s">
        <v>894</v>
      </c>
      <c r="D730" t="s">
        <v>2174</v>
      </c>
      <c r="E730" t="s">
        <v>2217</v>
      </c>
      <c r="F730" t="s">
        <v>1063</v>
      </c>
      <c r="G730" t="s">
        <v>4442</v>
      </c>
    </row>
    <row r="731" spans="1:8" ht="315" x14ac:dyDescent="0.25">
      <c r="A731">
        <v>2329</v>
      </c>
      <c r="B731">
        <v>39</v>
      </c>
      <c r="C731" t="s">
        <v>894</v>
      </c>
      <c r="D731" t="s">
        <v>963</v>
      </c>
      <c r="E731" s="1" t="s">
        <v>2218</v>
      </c>
      <c r="F731" t="s">
        <v>2219</v>
      </c>
      <c r="G731" t="s">
        <v>4447</v>
      </c>
    </row>
    <row r="732" spans="1:8" x14ac:dyDescent="0.25">
      <c r="A732">
        <v>2330</v>
      </c>
      <c r="B732">
        <v>39</v>
      </c>
      <c r="C732" t="s">
        <v>894</v>
      </c>
      <c r="D732" t="s">
        <v>2220</v>
      </c>
      <c r="E732" t="s">
        <v>2221</v>
      </c>
      <c r="F732" t="s">
        <v>2219</v>
      </c>
      <c r="G732" t="s">
        <v>4460</v>
      </c>
    </row>
    <row r="733" spans="1:8" x14ac:dyDescent="0.25">
      <c r="A733">
        <v>2333</v>
      </c>
      <c r="B733">
        <v>57</v>
      </c>
      <c r="C733" t="s">
        <v>894</v>
      </c>
      <c r="D733" t="s">
        <v>1272</v>
      </c>
      <c r="E733" t="s">
        <v>2222</v>
      </c>
      <c r="F733" t="s">
        <v>1027</v>
      </c>
      <c r="G733" t="s">
        <v>4442</v>
      </c>
    </row>
    <row r="734" spans="1:8" x14ac:dyDescent="0.25">
      <c r="A734">
        <v>2337</v>
      </c>
      <c r="B734">
        <v>181</v>
      </c>
      <c r="C734" t="s">
        <v>894</v>
      </c>
      <c r="D734" t="s">
        <v>2223</v>
      </c>
      <c r="E734" t="s">
        <v>2224</v>
      </c>
      <c r="F734" t="s">
        <v>1276</v>
      </c>
      <c r="G734" t="s">
        <v>4447</v>
      </c>
    </row>
    <row r="735" spans="1:8" x14ac:dyDescent="0.25">
      <c r="A735">
        <v>2338</v>
      </c>
      <c r="B735">
        <v>181</v>
      </c>
      <c r="C735" t="s">
        <v>894</v>
      </c>
      <c r="D735" t="s">
        <v>1241</v>
      </c>
      <c r="E735" t="s">
        <v>2225</v>
      </c>
      <c r="F735" t="s">
        <v>1276</v>
      </c>
      <c r="G735" t="s">
        <v>4442</v>
      </c>
    </row>
    <row r="736" spans="1:8" x14ac:dyDescent="0.25">
      <c r="A736">
        <v>2339</v>
      </c>
      <c r="B736">
        <v>181</v>
      </c>
      <c r="C736" t="s">
        <v>894</v>
      </c>
      <c r="D736" t="s">
        <v>2226</v>
      </c>
      <c r="E736" t="s">
        <v>2227</v>
      </c>
      <c r="F736" t="s">
        <v>1276</v>
      </c>
      <c r="G736" t="s">
        <v>4444</v>
      </c>
      <c r="H736">
        <v>12400</v>
      </c>
    </row>
    <row r="737" spans="1:8" x14ac:dyDescent="0.25">
      <c r="A737">
        <v>2340</v>
      </c>
      <c r="B737">
        <v>181</v>
      </c>
      <c r="C737" t="s">
        <v>894</v>
      </c>
      <c r="D737" t="s">
        <v>2228</v>
      </c>
      <c r="E737" t="s">
        <v>2229</v>
      </c>
      <c r="F737" t="s">
        <v>1276</v>
      </c>
      <c r="G737" t="s">
        <v>4447</v>
      </c>
    </row>
    <row r="738" spans="1:8" x14ac:dyDescent="0.25">
      <c r="A738">
        <v>2341</v>
      </c>
      <c r="B738">
        <v>181</v>
      </c>
      <c r="C738" t="s">
        <v>894</v>
      </c>
      <c r="D738" t="s">
        <v>2230</v>
      </c>
      <c r="E738" t="s">
        <v>2231</v>
      </c>
      <c r="F738" t="s">
        <v>1276</v>
      </c>
      <c r="G738" t="s">
        <v>4447</v>
      </c>
    </row>
    <row r="739" spans="1:8" x14ac:dyDescent="0.25">
      <c r="A739">
        <v>2342</v>
      </c>
      <c r="B739">
        <v>181</v>
      </c>
      <c r="C739" t="s">
        <v>894</v>
      </c>
      <c r="D739" t="s">
        <v>2232</v>
      </c>
      <c r="E739" t="s">
        <v>2233</v>
      </c>
      <c r="F739" t="s">
        <v>1276</v>
      </c>
      <c r="G739" t="s">
        <v>4442</v>
      </c>
    </row>
    <row r="740" spans="1:8" x14ac:dyDescent="0.25">
      <c r="A740">
        <v>2343</v>
      </c>
      <c r="B740">
        <v>8</v>
      </c>
      <c r="C740" t="s">
        <v>894</v>
      </c>
      <c r="D740" t="s">
        <v>2234</v>
      </c>
      <c r="E740" t="s">
        <v>2235</v>
      </c>
      <c r="F740" t="s">
        <v>2236</v>
      </c>
      <c r="G740" t="s">
        <v>4447</v>
      </c>
    </row>
    <row r="741" spans="1:8" x14ac:dyDescent="0.25">
      <c r="A741">
        <v>2345</v>
      </c>
      <c r="B741">
        <v>71</v>
      </c>
      <c r="C741" t="s">
        <v>894</v>
      </c>
      <c r="D741" t="s">
        <v>2237</v>
      </c>
      <c r="E741" t="s">
        <v>2238</v>
      </c>
      <c r="F741" t="s">
        <v>1069</v>
      </c>
    </row>
    <row r="742" spans="1:8" x14ac:dyDescent="0.25">
      <c r="A742">
        <v>2347</v>
      </c>
      <c r="B742">
        <v>71</v>
      </c>
      <c r="C742" t="s">
        <v>894</v>
      </c>
      <c r="D742" t="s">
        <v>2239</v>
      </c>
      <c r="E742" t="s">
        <v>2240</v>
      </c>
      <c r="F742" t="s">
        <v>1069</v>
      </c>
      <c r="G742" t="s">
        <v>4445</v>
      </c>
      <c r="H742">
        <v>510</v>
      </c>
    </row>
    <row r="743" spans="1:8" x14ac:dyDescent="0.25">
      <c r="A743">
        <v>2349</v>
      </c>
      <c r="B743">
        <v>52</v>
      </c>
      <c r="C743" t="s">
        <v>894</v>
      </c>
      <c r="D743" t="s">
        <v>1047</v>
      </c>
      <c r="E743" t="s">
        <v>2241</v>
      </c>
      <c r="F743" t="s">
        <v>995</v>
      </c>
      <c r="G743" t="s">
        <v>4447</v>
      </c>
    </row>
    <row r="744" spans="1:8" x14ac:dyDescent="0.25">
      <c r="A744">
        <v>2353</v>
      </c>
      <c r="B744">
        <v>105</v>
      </c>
      <c r="C744" t="s">
        <v>898</v>
      </c>
      <c r="D744" t="s">
        <v>2242</v>
      </c>
      <c r="E744" t="s">
        <v>2243</v>
      </c>
      <c r="F744" t="s">
        <v>2244</v>
      </c>
      <c r="G744" t="s">
        <v>4460</v>
      </c>
    </row>
    <row r="745" spans="1:8" x14ac:dyDescent="0.25">
      <c r="A745">
        <v>2354</v>
      </c>
      <c r="B745">
        <v>105</v>
      </c>
      <c r="C745" t="s">
        <v>898</v>
      </c>
      <c r="D745" t="s">
        <v>2245</v>
      </c>
      <c r="E745" t="s">
        <v>2246</v>
      </c>
      <c r="F745" t="s">
        <v>2247</v>
      </c>
      <c r="G745" t="s">
        <v>4442</v>
      </c>
    </row>
    <row r="746" spans="1:8" ht="315" x14ac:dyDescent="0.25">
      <c r="A746">
        <v>2356</v>
      </c>
      <c r="B746">
        <v>105</v>
      </c>
      <c r="C746" t="s">
        <v>898</v>
      </c>
      <c r="D746" t="s">
        <v>2248</v>
      </c>
      <c r="E746" s="1" t="s">
        <v>2249</v>
      </c>
      <c r="F746" t="s">
        <v>2250</v>
      </c>
      <c r="G746" t="s">
        <v>4442</v>
      </c>
    </row>
    <row r="747" spans="1:8" x14ac:dyDescent="0.25">
      <c r="A747">
        <v>2357</v>
      </c>
      <c r="B747">
        <v>105</v>
      </c>
      <c r="C747" t="s">
        <v>898</v>
      </c>
      <c r="D747" t="s">
        <v>2251</v>
      </c>
      <c r="E747" t="s">
        <v>2252</v>
      </c>
      <c r="F747" t="s">
        <v>2253</v>
      </c>
      <c r="G747" t="s">
        <v>4447</v>
      </c>
    </row>
    <row r="748" spans="1:8" x14ac:dyDescent="0.25">
      <c r="A748">
        <v>2360</v>
      </c>
      <c r="B748">
        <v>105</v>
      </c>
      <c r="C748" t="s">
        <v>898</v>
      </c>
      <c r="D748" t="s">
        <v>2254</v>
      </c>
      <c r="E748" t="s">
        <v>2255</v>
      </c>
      <c r="F748" t="s">
        <v>2256</v>
      </c>
      <c r="G748" t="s">
        <v>4447</v>
      </c>
    </row>
    <row r="749" spans="1:8" x14ac:dyDescent="0.25">
      <c r="A749">
        <v>2361</v>
      </c>
      <c r="B749">
        <v>105</v>
      </c>
      <c r="C749" t="s">
        <v>898</v>
      </c>
      <c r="D749" t="s">
        <v>2257</v>
      </c>
      <c r="E749" t="s">
        <v>2258</v>
      </c>
      <c r="F749" t="s">
        <v>2259</v>
      </c>
    </row>
    <row r="750" spans="1:8" x14ac:dyDescent="0.25">
      <c r="A750">
        <v>2362</v>
      </c>
      <c r="B750">
        <v>105</v>
      </c>
      <c r="C750" t="s">
        <v>898</v>
      </c>
      <c r="D750" t="s">
        <v>2260</v>
      </c>
      <c r="E750" t="s">
        <v>2261</v>
      </c>
      <c r="F750" t="s">
        <v>2262</v>
      </c>
      <c r="G750" t="s">
        <v>4442</v>
      </c>
    </row>
    <row r="751" spans="1:8" x14ac:dyDescent="0.25">
      <c r="A751">
        <v>2364</v>
      </c>
      <c r="B751">
        <v>83</v>
      </c>
      <c r="C751" t="s">
        <v>898</v>
      </c>
      <c r="D751" t="s">
        <v>1378</v>
      </c>
      <c r="E751" t="s">
        <v>2263</v>
      </c>
      <c r="F751" t="s">
        <v>2264</v>
      </c>
      <c r="G751" t="s">
        <v>4442</v>
      </c>
    </row>
    <row r="752" spans="1:8" x14ac:dyDescent="0.25">
      <c r="A752">
        <v>2365</v>
      </c>
      <c r="B752">
        <v>83</v>
      </c>
      <c r="C752" t="s">
        <v>898</v>
      </c>
      <c r="D752" t="s">
        <v>1828</v>
      </c>
      <c r="E752" t="s">
        <v>2265</v>
      </c>
      <c r="F752" t="s">
        <v>2266</v>
      </c>
      <c r="G752" t="s">
        <v>4442</v>
      </c>
    </row>
    <row r="753" spans="1:7" x14ac:dyDescent="0.25">
      <c r="A753">
        <v>2366</v>
      </c>
      <c r="B753">
        <v>83</v>
      </c>
      <c r="C753" t="s">
        <v>898</v>
      </c>
      <c r="D753" t="s">
        <v>2267</v>
      </c>
      <c r="E753" t="s">
        <v>2268</v>
      </c>
      <c r="F753" t="s">
        <v>2269</v>
      </c>
    </row>
    <row r="754" spans="1:7" x14ac:dyDescent="0.25">
      <c r="A754">
        <v>2384</v>
      </c>
      <c r="B754">
        <v>521</v>
      </c>
      <c r="C754" t="s">
        <v>894</v>
      </c>
      <c r="D754" t="s">
        <v>1440</v>
      </c>
      <c r="E754" t="s">
        <v>2270</v>
      </c>
      <c r="F754" t="s">
        <v>2271</v>
      </c>
      <c r="G754" t="s">
        <v>4447</v>
      </c>
    </row>
    <row r="755" spans="1:7" x14ac:dyDescent="0.25">
      <c r="A755">
        <v>2385</v>
      </c>
      <c r="B755">
        <v>521</v>
      </c>
      <c r="C755" t="s">
        <v>894</v>
      </c>
      <c r="D755" t="s">
        <v>2272</v>
      </c>
      <c r="E755" t="s">
        <v>2273</v>
      </c>
      <c r="F755" t="s">
        <v>2271</v>
      </c>
      <c r="G755" t="s">
        <v>4447</v>
      </c>
    </row>
    <row r="756" spans="1:7" x14ac:dyDescent="0.25">
      <c r="A756">
        <v>2406</v>
      </c>
      <c r="B756">
        <v>509</v>
      </c>
      <c r="C756" t="s">
        <v>898</v>
      </c>
      <c r="D756" t="s">
        <v>2274</v>
      </c>
      <c r="E756" t="s">
        <v>2163</v>
      </c>
      <c r="F756" t="s">
        <v>2275</v>
      </c>
      <c r="G756" t="s">
        <v>1309</v>
      </c>
    </row>
    <row r="757" spans="1:7" x14ac:dyDescent="0.25">
      <c r="A757">
        <v>2407</v>
      </c>
      <c r="B757">
        <v>509</v>
      </c>
      <c r="C757" t="s">
        <v>898</v>
      </c>
      <c r="D757" t="s">
        <v>2276</v>
      </c>
      <c r="E757" t="s">
        <v>2163</v>
      </c>
      <c r="F757" t="s">
        <v>2275</v>
      </c>
    </row>
    <row r="758" spans="1:7" x14ac:dyDescent="0.25">
      <c r="A758">
        <v>2410</v>
      </c>
      <c r="B758">
        <v>533</v>
      </c>
      <c r="C758" t="s">
        <v>894</v>
      </c>
      <c r="D758" t="s">
        <v>2277</v>
      </c>
      <c r="E758" t="s">
        <v>2278</v>
      </c>
      <c r="F758" t="s">
        <v>2279</v>
      </c>
    </row>
    <row r="759" spans="1:7" x14ac:dyDescent="0.25">
      <c r="A759">
        <v>2411</v>
      </c>
      <c r="B759">
        <v>533</v>
      </c>
      <c r="C759" t="s">
        <v>894</v>
      </c>
      <c r="D759" t="s">
        <v>2280</v>
      </c>
      <c r="E759" t="s">
        <v>2281</v>
      </c>
      <c r="F759" t="s">
        <v>2279</v>
      </c>
    </row>
    <row r="760" spans="1:7" x14ac:dyDescent="0.25">
      <c r="A760">
        <v>2412</v>
      </c>
      <c r="B760">
        <v>533</v>
      </c>
      <c r="C760" t="s">
        <v>894</v>
      </c>
      <c r="D760" t="s">
        <v>2282</v>
      </c>
      <c r="E760" t="s">
        <v>2283</v>
      </c>
      <c r="F760" t="s">
        <v>2279</v>
      </c>
    </row>
    <row r="761" spans="1:7" x14ac:dyDescent="0.25">
      <c r="A761">
        <v>2415</v>
      </c>
      <c r="B761">
        <v>64</v>
      </c>
      <c r="C761" t="s">
        <v>894</v>
      </c>
      <c r="D761" t="s">
        <v>2284</v>
      </c>
      <c r="E761" t="s">
        <v>2285</v>
      </c>
      <c r="F761" t="s">
        <v>1410</v>
      </c>
      <c r="G761" t="s">
        <v>4456</v>
      </c>
    </row>
    <row r="762" spans="1:7" x14ac:dyDescent="0.25">
      <c r="A762">
        <v>2416</v>
      </c>
      <c r="B762">
        <v>64</v>
      </c>
      <c r="C762" t="s">
        <v>894</v>
      </c>
      <c r="D762" t="s">
        <v>2286</v>
      </c>
      <c r="E762" t="s">
        <v>2287</v>
      </c>
      <c r="F762" t="s">
        <v>1412</v>
      </c>
      <c r="G762" t="s">
        <v>4456</v>
      </c>
    </row>
    <row r="763" spans="1:7" x14ac:dyDescent="0.25">
      <c r="A763">
        <v>2418</v>
      </c>
      <c r="B763">
        <v>679</v>
      </c>
      <c r="C763" t="s">
        <v>894</v>
      </c>
      <c r="D763" t="s">
        <v>917</v>
      </c>
      <c r="E763" t="s">
        <v>2288</v>
      </c>
      <c r="F763" t="s">
        <v>2289</v>
      </c>
      <c r="G763" t="s">
        <v>919</v>
      </c>
    </row>
    <row r="764" spans="1:7" x14ac:dyDescent="0.25">
      <c r="A764">
        <v>2420</v>
      </c>
      <c r="B764">
        <v>679</v>
      </c>
      <c r="C764" t="s">
        <v>894</v>
      </c>
      <c r="D764" t="s">
        <v>2290</v>
      </c>
      <c r="E764" t="s">
        <v>2291</v>
      </c>
      <c r="F764" t="s">
        <v>2292</v>
      </c>
      <c r="G764" t="s">
        <v>4447</v>
      </c>
    </row>
    <row r="765" spans="1:7" x14ac:dyDescent="0.25">
      <c r="A765">
        <v>2423</v>
      </c>
      <c r="B765">
        <v>473</v>
      </c>
      <c r="C765" t="s">
        <v>898</v>
      </c>
      <c r="D765" t="s">
        <v>2293</v>
      </c>
      <c r="E765" t="s">
        <v>2294</v>
      </c>
      <c r="F765" t="s">
        <v>2295</v>
      </c>
    </row>
    <row r="766" spans="1:7" x14ac:dyDescent="0.25">
      <c r="A766">
        <v>2424</v>
      </c>
      <c r="B766">
        <v>351</v>
      </c>
      <c r="C766" t="s">
        <v>898</v>
      </c>
      <c r="D766" t="s">
        <v>2296</v>
      </c>
      <c r="E766" t="s">
        <v>2297</v>
      </c>
      <c r="F766" t="s">
        <v>2298</v>
      </c>
    </row>
    <row r="767" spans="1:7" x14ac:dyDescent="0.25">
      <c r="A767">
        <v>2425</v>
      </c>
      <c r="B767">
        <v>351</v>
      </c>
      <c r="C767" t="s">
        <v>898</v>
      </c>
      <c r="D767" t="s">
        <v>2299</v>
      </c>
      <c r="E767" t="s">
        <v>2300</v>
      </c>
      <c r="F767" t="s">
        <v>2301</v>
      </c>
    </row>
    <row r="768" spans="1:7" x14ac:dyDescent="0.25">
      <c r="A768">
        <v>2426</v>
      </c>
      <c r="B768">
        <v>351</v>
      </c>
      <c r="C768" t="s">
        <v>898</v>
      </c>
      <c r="D768" t="s">
        <v>2302</v>
      </c>
      <c r="E768" t="s">
        <v>2303</v>
      </c>
      <c r="F768" t="s">
        <v>2304</v>
      </c>
    </row>
    <row r="769" spans="1:7" x14ac:dyDescent="0.25">
      <c r="A769">
        <v>2427</v>
      </c>
      <c r="B769">
        <v>351</v>
      </c>
      <c r="C769" t="s">
        <v>898</v>
      </c>
      <c r="D769" t="s">
        <v>2305</v>
      </c>
      <c r="E769" t="s">
        <v>2306</v>
      </c>
      <c r="F769" t="s">
        <v>2307</v>
      </c>
    </row>
    <row r="770" spans="1:7" x14ac:dyDescent="0.25">
      <c r="A770">
        <v>2429</v>
      </c>
      <c r="B770">
        <v>533</v>
      </c>
      <c r="C770" t="s">
        <v>894</v>
      </c>
      <c r="D770" t="s">
        <v>2308</v>
      </c>
      <c r="E770" t="s">
        <v>2309</v>
      </c>
      <c r="F770" t="s">
        <v>2310</v>
      </c>
    </row>
    <row r="771" spans="1:7" x14ac:dyDescent="0.25">
      <c r="A771">
        <v>2431</v>
      </c>
      <c r="B771">
        <v>858</v>
      </c>
      <c r="C771" t="s">
        <v>898</v>
      </c>
      <c r="D771" t="s">
        <v>2311</v>
      </c>
      <c r="E771" t="s">
        <v>2312</v>
      </c>
      <c r="F771" t="s">
        <v>2313</v>
      </c>
    </row>
    <row r="772" spans="1:7" x14ac:dyDescent="0.25">
      <c r="A772">
        <v>2432</v>
      </c>
      <c r="B772">
        <v>187</v>
      </c>
      <c r="C772" t="s">
        <v>894</v>
      </c>
      <c r="D772" t="s">
        <v>2314</v>
      </c>
      <c r="E772" t="s">
        <v>2315</v>
      </c>
      <c r="F772" t="s">
        <v>1599</v>
      </c>
      <c r="G772" t="s">
        <v>4448</v>
      </c>
    </row>
    <row r="773" spans="1:7" x14ac:dyDescent="0.25">
      <c r="A773">
        <v>2437</v>
      </c>
      <c r="B773">
        <v>539</v>
      </c>
      <c r="C773" t="s">
        <v>894</v>
      </c>
      <c r="D773" t="s">
        <v>2316</v>
      </c>
      <c r="E773" t="s">
        <v>2317</v>
      </c>
      <c r="F773" t="s">
        <v>2318</v>
      </c>
    </row>
    <row r="774" spans="1:7" x14ac:dyDescent="0.25">
      <c r="A774">
        <v>2438</v>
      </c>
      <c r="B774">
        <v>40</v>
      </c>
      <c r="C774" t="s">
        <v>894</v>
      </c>
      <c r="D774" t="s">
        <v>2319</v>
      </c>
      <c r="E774" t="s">
        <v>2320</v>
      </c>
      <c r="F774" t="s">
        <v>2321</v>
      </c>
      <c r="G774" t="s">
        <v>4447</v>
      </c>
    </row>
    <row r="775" spans="1:7" x14ac:dyDescent="0.25">
      <c r="A775">
        <v>2439</v>
      </c>
      <c r="B775">
        <v>540</v>
      </c>
      <c r="C775" t="s">
        <v>894</v>
      </c>
      <c r="D775" t="s">
        <v>895</v>
      </c>
      <c r="E775" t="s">
        <v>2322</v>
      </c>
      <c r="F775" t="s">
        <v>2323</v>
      </c>
      <c r="G775" t="s">
        <v>4448</v>
      </c>
    </row>
    <row r="776" spans="1:7" x14ac:dyDescent="0.25">
      <c r="A776">
        <v>2443</v>
      </c>
      <c r="B776">
        <v>80</v>
      </c>
      <c r="C776" t="s">
        <v>894</v>
      </c>
      <c r="D776" t="s">
        <v>1365</v>
      </c>
      <c r="F776" t="s">
        <v>1092</v>
      </c>
      <c r="G776" t="s">
        <v>4447</v>
      </c>
    </row>
    <row r="777" spans="1:7" x14ac:dyDescent="0.25">
      <c r="A777">
        <v>2444</v>
      </c>
      <c r="B777">
        <v>80</v>
      </c>
      <c r="C777" t="s">
        <v>894</v>
      </c>
      <c r="D777" t="s">
        <v>963</v>
      </c>
      <c r="E777" t="s">
        <v>2324</v>
      </c>
      <c r="F777" t="s">
        <v>1092</v>
      </c>
      <c r="G777" t="s">
        <v>4447</v>
      </c>
    </row>
    <row r="778" spans="1:7" x14ac:dyDescent="0.25">
      <c r="A778">
        <v>2445</v>
      </c>
      <c r="B778">
        <v>98</v>
      </c>
      <c r="C778" t="s">
        <v>894</v>
      </c>
      <c r="D778" t="s">
        <v>2325</v>
      </c>
      <c r="E778" t="s">
        <v>2326</v>
      </c>
      <c r="F778" t="s">
        <v>2327</v>
      </c>
      <c r="G778" t="s">
        <v>1309</v>
      </c>
    </row>
    <row r="779" spans="1:7" x14ac:dyDescent="0.25">
      <c r="A779">
        <v>2446</v>
      </c>
      <c r="B779">
        <v>31</v>
      </c>
      <c r="C779" t="s">
        <v>898</v>
      </c>
      <c r="D779" t="s">
        <v>2328</v>
      </c>
      <c r="E779" t="s">
        <v>2329</v>
      </c>
      <c r="F779" t="s">
        <v>1481</v>
      </c>
      <c r="G779" t="s">
        <v>4460</v>
      </c>
    </row>
    <row r="780" spans="1:7" x14ac:dyDescent="0.25">
      <c r="A780">
        <v>2452</v>
      </c>
      <c r="B780">
        <v>13</v>
      </c>
      <c r="C780" t="s">
        <v>894</v>
      </c>
      <c r="D780" t="s">
        <v>2330</v>
      </c>
      <c r="E780" t="s">
        <v>2331</v>
      </c>
      <c r="F780" t="s">
        <v>925</v>
      </c>
      <c r="G780" t="s">
        <v>2758</v>
      </c>
    </row>
    <row r="781" spans="1:7" x14ac:dyDescent="0.25">
      <c r="A781">
        <v>2460</v>
      </c>
      <c r="B781">
        <v>31</v>
      </c>
      <c r="C781" t="s">
        <v>898</v>
      </c>
      <c r="D781" t="s">
        <v>2332</v>
      </c>
      <c r="E781" t="s">
        <v>2333</v>
      </c>
      <c r="F781" t="s">
        <v>974</v>
      </c>
      <c r="G781" t="s">
        <v>4447</v>
      </c>
    </row>
    <row r="782" spans="1:7" x14ac:dyDescent="0.25">
      <c r="A782">
        <v>2462</v>
      </c>
      <c r="B782">
        <v>351</v>
      </c>
      <c r="C782" t="s">
        <v>898</v>
      </c>
      <c r="D782" t="s">
        <v>2334</v>
      </c>
      <c r="E782" t="s">
        <v>2335</v>
      </c>
      <c r="F782" t="s">
        <v>2336</v>
      </c>
    </row>
    <row r="783" spans="1:7" x14ac:dyDescent="0.25">
      <c r="A783">
        <v>2464</v>
      </c>
      <c r="B783">
        <v>857</v>
      </c>
      <c r="C783" t="s">
        <v>898</v>
      </c>
      <c r="D783" t="s">
        <v>2337</v>
      </c>
      <c r="E783" t="s">
        <v>2338</v>
      </c>
      <c r="F783" t="s">
        <v>2339</v>
      </c>
    </row>
    <row r="784" spans="1:7" x14ac:dyDescent="0.25">
      <c r="A784">
        <v>2467</v>
      </c>
      <c r="B784">
        <v>25</v>
      </c>
      <c r="C784" t="s">
        <v>894</v>
      </c>
      <c r="D784" t="s">
        <v>2340</v>
      </c>
      <c r="E784" t="s">
        <v>2341</v>
      </c>
      <c r="F784" t="s">
        <v>2131</v>
      </c>
      <c r="G784" t="s">
        <v>4445</v>
      </c>
    </row>
    <row r="785" spans="1:7" x14ac:dyDescent="0.25">
      <c r="A785">
        <v>2469</v>
      </c>
      <c r="B785">
        <v>24</v>
      </c>
      <c r="C785" t="s">
        <v>894</v>
      </c>
      <c r="D785" t="s">
        <v>1272</v>
      </c>
      <c r="E785" t="s">
        <v>2342</v>
      </c>
      <c r="F785" t="s">
        <v>954</v>
      </c>
      <c r="G785" t="s">
        <v>4442</v>
      </c>
    </row>
    <row r="786" spans="1:7" x14ac:dyDescent="0.25">
      <c r="A786">
        <v>2470</v>
      </c>
      <c r="B786">
        <v>24</v>
      </c>
      <c r="C786" t="s">
        <v>894</v>
      </c>
      <c r="D786" t="s">
        <v>2343</v>
      </c>
      <c r="E786" t="s">
        <v>2344</v>
      </c>
      <c r="F786" t="s">
        <v>954</v>
      </c>
      <c r="G786" t="s">
        <v>4442</v>
      </c>
    </row>
    <row r="787" spans="1:7" x14ac:dyDescent="0.25">
      <c r="A787">
        <v>2471</v>
      </c>
      <c r="B787">
        <v>29</v>
      </c>
      <c r="C787" t="s">
        <v>894</v>
      </c>
      <c r="D787" t="s">
        <v>2345</v>
      </c>
      <c r="E787" t="s">
        <v>2346</v>
      </c>
      <c r="F787" t="s">
        <v>1083</v>
      </c>
      <c r="G787" t="s">
        <v>4447</v>
      </c>
    </row>
    <row r="788" spans="1:7" x14ac:dyDescent="0.25">
      <c r="A788">
        <v>2472</v>
      </c>
      <c r="B788">
        <v>542</v>
      </c>
      <c r="C788" t="s">
        <v>894</v>
      </c>
      <c r="D788" t="s">
        <v>2347</v>
      </c>
      <c r="E788" t="s">
        <v>2348</v>
      </c>
      <c r="F788" t="s">
        <v>2349</v>
      </c>
      <c r="G788" t="s">
        <v>4447</v>
      </c>
    </row>
    <row r="789" spans="1:7" x14ac:dyDescent="0.25">
      <c r="A789">
        <v>2473</v>
      </c>
      <c r="B789">
        <v>16</v>
      </c>
      <c r="C789" t="s">
        <v>894</v>
      </c>
      <c r="D789" t="s">
        <v>2350</v>
      </c>
      <c r="E789" t="s">
        <v>2351</v>
      </c>
      <c r="F789" t="s">
        <v>935</v>
      </c>
      <c r="G789" t="s">
        <v>4445</v>
      </c>
    </row>
    <row r="790" spans="1:7" x14ac:dyDescent="0.25">
      <c r="A790">
        <v>2476</v>
      </c>
      <c r="B790">
        <v>185</v>
      </c>
      <c r="C790" t="s">
        <v>894</v>
      </c>
      <c r="D790" t="s">
        <v>2352</v>
      </c>
      <c r="E790" t="s">
        <v>2353</v>
      </c>
      <c r="F790" t="s">
        <v>2354</v>
      </c>
      <c r="G790" t="s">
        <v>1262</v>
      </c>
    </row>
    <row r="791" spans="1:7" x14ac:dyDescent="0.25">
      <c r="A791">
        <v>2477</v>
      </c>
      <c r="B791">
        <v>800</v>
      </c>
      <c r="C791" t="s">
        <v>894</v>
      </c>
      <c r="D791" t="s">
        <v>2355</v>
      </c>
      <c r="E791" t="s">
        <v>2356</v>
      </c>
      <c r="F791" t="s">
        <v>2357</v>
      </c>
    </row>
    <row r="792" spans="1:7" x14ac:dyDescent="0.25">
      <c r="A792">
        <v>2481</v>
      </c>
      <c r="B792">
        <v>545</v>
      </c>
      <c r="C792" t="s">
        <v>894</v>
      </c>
      <c r="D792" t="s">
        <v>966</v>
      </c>
      <c r="E792" t="s">
        <v>2358</v>
      </c>
      <c r="F792" t="s">
        <v>2359</v>
      </c>
      <c r="G792" t="s">
        <v>2758</v>
      </c>
    </row>
    <row r="793" spans="1:7" x14ac:dyDescent="0.25">
      <c r="A793">
        <v>2482</v>
      </c>
      <c r="B793">
        <v>545</v>
      </c>
      <c r="C793" t="s">
        <v>894</v>
      </c>
      <c r="D793" t="s">
        <v>2360</v>
      </c>
      <c r="E793" t="s">
        <v>2361</v>
      </c>
      <c r="F793" t="s">
        <v>2359</v>
      </c>
      <c r="G793" t="s">
        <v>4442</v>
      </c>
    </row>
    <row r="794" spans="1:7" x14ac:dyDescent="0.25">
      <c r="A794">
        <v>2483</v>
      </c>
      <c r="B794">
        <v>545</v>
      </c>
      <c r="C794" t="s">
        <v>894</v>
      </c>
      <c r="D794" t="s">
        <v>1296</v>
      </c>
      <c r="E794" t="s">
        <v>2362</v>
      </c>
      <c r="F794" t="s">
        <v>2363</v>
      </c>
      <c r="G794" t="s">
        <v>4443</v>
      </c>
    </row>
    <row r="795" spans="1:7" x14ac:dyDescent="0.25">
      <c r="A795">
        <v>2484</v>
      </c>
      <c r="B795">
        <v>545</v>
      </c>
      <c r="C795" t="s">
        <v>894</v>
      </c>
      <c r="D795" t="s">
        <v>917</v>
      </c>
      <c r="E795" t="s">
        <v>2364</v>
      </c>
      <c r="F795" t="s">
        <v>2359</v>
      </c>
      <c r="G795" t="s">
        <v>919</v>
      </c>
    </row>
    <row r="796" spans="1:7" x14ac:dyDescent="0.25">
      <c r="A796">
        <v>2485</v>
      </c>
      <c r="B796">
        <v>545</v>
      </c>
      <c r="C796" t="s">
        <v>894</v>
      </c>
      <c r="D796" t="s">
        <v>1089</v>
      </c>
      <c r="E796" t="s">
        <v>2365</v>
      </c>
      <c r="F796" t="s">
        <v>2359</v>
      </c>
      <c r="G796" t="s">
        <v>4447</v>
      </c>
    </row>
    <row r="797" spans="1:7" x14ac:dyDescent="0.25">
      <c r="A797">
        <v>2486</v>
      </c>
      <c r="B797">
        <v>545</v>
      </c>
      <c r="C797" t="s">
        <v>894</v>
      </c>
      <c r="D797" t="s">
        <v>2366</v>
      </c>
      <c r="E797" t="s">
        <v>2367</v>
      </c>
      <c r="F797" t="s">
        <v>2359</v>
      </c>
      <c r="G797" t="s">
        <v>4447</v>
      </c>
    </row>
    <row r="798" spans="1:7" x14ac:dyDescent="0.25">
      <c r="A798">
        <v>2488</v>
      </c>
      <c r="B798">
        <v>2</v>
      </c>
      <c r="C798" t="s">
        <v>894</v>
      </c>
      <c r="D798" t="s">
        <v>1697</v>
      </c>
      <c r="E798" t="s">
        <v>2368</v>
      </c>
      <c r="F798" t="s">
        <v>910</v>
      </c>
      <c r="G798" t="s">
        <v>4447</v>
      </c>
    </row>
    <row r="799" spans="1:7" x14ac:dyDescent="0.25">
      <c r="A799">
        <v>2489</v>
      </c>
      <c r="B799">
        <v>2</v>
      </c>
      <c r="C799" t="s">
        <v>894</v>
      </c>
      <c r="D799" t="s">
        <v>2369</v>
      </c>
      <c r="E799" t="s">
        <v>2370</v>
      </c>
      <c r="F799" t="s">
        <v>910</v>
      </c>
      <c r="G799" t="s">
        <v>4447</v>
      </c>
    </row>
    <row r="800" spans="1:7" x14ac:dyDescent="0.25">
      <c r="A800">
        <v>2490</v>
      </c>
      <c r="B800">
        <v>2</v>
      </c>
      <c r="C800" t="s">
        <v>894</v>
      </c>
      <c r="D800" t="s">
        <v>1320</v>
      </c>
      <c r="E800" t="s">
        <v>2371</v>
      </c>
      <c r="F800" t="s">
        <v>910</v>
      </c>
      <c r="G800" t="s">
        <v>4447</v>
      </c>
    </row>
    <row r="801" spans="1:8" x14ac:dyDescent="0.25">
      <c r="A801">
        <v>2493</v>
      </c>
      <c r="B801">
        <v>547</v>
      </c>
      <c r="C801" t="s">
        <v>894</v>
      </c>
      <c r="D801" t="s">
        <v>2372</v>
      </c>
      <c r="F801" t="s">
        <v>2373</v>
      </c>
      <c r="G801" t="s">
        <v>4445</v>
      </c>
    </row>
    <row r="802" spans="1:8" x14ac:dyDescent="0.25">
      <c r="A802">
        <v>2496</v>
      </c>
      <c r="B802">
        <v>547</v>
      </c>
      <c r="C802" t="s">
        <v>894</v>
      </c>
      <c r="D802" t="s">
        <v>960</v>
      </c>
      <c r="F802" t="s">
        <v>2374</v>
      </c>
      <c r="G802" t="s">
        <v>4447</v>
      </c>
    </row>
    <row r="803" spans="1:8" x14ac:dyDescent="0.25">
      <c r="A803">
        <v>2497</v>
      </c>
      <c r="B803">
        <v>684</v>
      </c>
      <c r="C803" t="s">
        <v>898</v>
      </c>
      <c r="D803" t="s">
        <v>2375</v>
      </c>
      <c r="E803" t="s">
        <v>2376</v>
      </c>
      <c r="F803" t="s">
        <v>2377</v>
      </c>
    </row>
    <row r="804" spans="1:8" x14ac:dyDescent="0.25">
      <c r="A804">
        <v>2500</v>
      </c>
      <c r="B804">
        <v>467</v>
      </c>
      <c r="C804" t="s">
        <v>898</v>
      </c>
      <c r="D804" t="s">
        <v>2378</v>
      </c>
      <c r="E804" t="s">
        <v>2379</v>
      </c>
      <c r="F804" t="s">
        <v>2380</v>
      </c>
      <c r="G804" t="s">
        <v>4448</v>
      </c>
      <c r="H804">
        <v>550</v>
      </c>
    </row>
    <row r="805" spans="1:8" x14ac:dyDescent="0.25">
      <c r="A805">
        <v>2501</v>
      </c>
      <c r="B805">
        <v>106</v>
      </c>
      <c r="C805" t="s">
        <v>898</v>
      </c>
      <c r="D805" t="s">
        <v>2381</v>
      </c>
      <c r="E805" t="s">
        <v>2382</v>
      </c>
      <c r="F805" t="s">
        <v>2383</v>
      </c>
      <c r="G805" t="s">
        <v>4448</v>
      </c>
      <c r="H805">
        <v>14000</v>
      </c>
    </row>
    <row r="806" spans="1:8" x14ac:dyDescent="0.25">
      <c r="A806">
        <v>2502</v>
      </c>
      <c r="B806">
        <v>106</v>
      </c>
      <c r="C806" t="s">
        <v>898</v>
      </c>
      <c r="D806" t="s">
        <v>2384</v>
      </c>
      <c r="E806" t="s">
        <v>2385</v>
      </c>
      <c r="F806" t="s">
        <v>2386</v>
      </c>
      <c r="G806" t="s">
        <v>4448</v>
      </c>
    </row>
    <row r="807" spans="1:8" x14ac:dyDescent="0.25">
      <c r="A807">
        <v>2503</v>
      </c>
      <c r="B807">
        <v>467</v>
      </c>
      <c r="C807" t="s">
        <v>898</v>
      </c>
      <c r="D807" t="s">
        <v>2387</v>
      </c>
      <c r="E807" t="s">
        <v>2388</v>
      </c>
      <c r="F807" t="s">
        <v>2389</v>
      </c>
      <c r="G807" t="s">
        <v>1309</v>
      </c>
      <c r="H807">
        <v>3</v>
      </c>
    </row>
    <row r="808" spans="1:8" x14ac:dyDescent="0.25">
      <c r="A808">
        <v>2504</v>
      </c>
      <c r="B808">
        <v>467</v>
      </c>
      <c r="C808" t="s">
        <v>898</v>
      </c>
      <c r="D808" t="s">
        <v>2390</v>
      </c>
      <c r="E808" t="s">
        <v>2391</v>
      </c>
      <c r="F808" t="s">
        <v>2392</v>
      </c>
      <c r="G808" t="s">
        <v>1309</v>
      </c>
    </row>
    <row r="809" spans="1:8" x14ac:dyDescent="0.25">
      <c r="A809">
        <v>2505</v>
      </c>
      <c r="B809">
        <v>467</v>
      </c>
      <c r="C809" t="s">
        <v>898</v>
      </c>
      <c r="D809" t="s">
        <v>2159</v>
      </c>
      <c r="E809" t="s">
        <v>2393</v>
      </c>
      <c r="F809" t="s">
        <v>2394</v>
      </c>
      <c r="G809" t="s">
        <v>1125</v>
      </c>
    </row>
    <row r="810" spans="1:8" x14ac:dyDescent="0.25">
      <c r="A810">
        <v>2507</v>
      </c>
      <c r="B810">
        <v>467</v>
      </c>
      <c r="C810" t="s">
        <v>898</v>
      </c>
      <c r="D810" t="s">
        <v>2395</v>
      </c>
      <c r="E810" t="s">
        <v>2396</v>
      </c>
      <c r="F810" t="s">
        <v>2397</v>
      </c>
      <c r="G810" t="s">
        <v>4447</v>
      </c>
    </row>
    <row r="811" spans="1:8" x14ac:dyDescent="0.25">
      <c r="A811">
        <v>2508</v>
      </c>
      <c r="B811">
        <v>467</v>
      </c>
      <c r="C811" t="s">
        <v>898</v>
      </c>
      <c r="D811" t="s">
        <v>2398</v>
      </c>
      <c r="E811" t="s">
        <v>2399</v>
      </c>
      <c r="F811" t="s">
        <v>2400</v>
      </c>
    </row>
    <row r="812" spans="1:8" x14ac:dyDescent="0.25">
      <c r="A812">
        <v>2509</v>
      </c>
      <c r="B812">
        <v>106</v>
      </c>
      <c r="C812" t="s">
        <v>898</v>
      </c>
      <c r="D812" t="s">
        <v>2401</v>
      </c>
      <c r="E812" t="s">
        <v>2402</v>
      </c>
      <c r="F812" t="s">
        <v>2403</v>
      </c>
    </row>
    <row r="813" spans="1:8" x14ac:dyDescent="0.25">
      <c r="A813">
        <v>2510</v>
      </c>
      <c r="B813">
        <v>679</v>
      </c>
      <c r="C813" t="s">
        <v>894</v>
      </c>
      <c r="D813" t="s">
        <v>2404</v>
      </c>
      <c r="E813" t="s">
        <v>2405</v>
      </c>
      <c r="F813" t="s">
        <v>2406</v>
      </c>
      <c r="G813" t="s">
        <v>4445</v>
      </c>
    </row>
    <row r="814" spans="1:8" x14ac:dyDescent="0.25">
      <c r="A814">
        <v>2511</v>
      </c>
      <c r="B814">
        <v>679</v>
      </c>
      <c r="C814" t="s">
        <v>894</v>
      </c>
      <c r="D814" t="s">
        <v>2407</v>
      </c>
      <c r="E814" t="s">
        <v>2408</v>
      </c>
      <c r="F814" t="s">
        <v>2409</v>
      </c>
      <c r="G814" t="s">
        <v>4447</v>
      </c>
    </row>
    <row r="815" spans="1:8" x14ac:dyDescent="0.25">
      <c r="A815">
        <v>2519</v>
      </c>
      <c r="B815">
        <v>549</v>
      </c>
      <c r="C815" t="s">
        <v>898</v>
      </c>
      <c r="D815" t="s">
        <v>1972</v>
      </c>
      <c r="E815" t="s">
        <v>2410</v>
      </c>
      <c r="F815" t="s">
        <v>2411</v>
      </c>
      <c r="G815" t="s">
        <v>4447</v>
      </c>
    </row>
    <row r="816" spans="1:8" x14ac:dyDescent="0.25">
      <c r="A816">
        <v>2520</v>
      </c>
      <c r="B816">
        <v>549</v>
      </c>
      <c r="C816" t="s">
        <v>898</v>
      </c>
      <c r="D816" t="s">
        <v>2412</v>
      </c>
      <c r="E816" t="s">
        <v>2413</v>
      </c>
      <c r="F816" t="s">
        <v>2411</v>
      </c>
      <c r="G816" t="s">
        <v>4447</v>
      </c>
    </row>
    <row r="817" spans="1:8" x14ac:dyDescent="0.25">
      <c r="A817">
        <v>2522</v>
      </c>
      <c r="B817">
        <v>549</v>
      </c>
      <c r="C817" t="s">
        <v>898</v>
      </c>
      <c r="D817" t="s">
        <v>1221</v>
      </c>
      <c r="E817" t="s">
        <v>2414</v>
      </c>
      <c r="F817" t="s">
        <v>2411</v>
      </c>
      <c r="G817" t="s">
        <v>4444</v>
      </c>
    </row>
    <row r="818" spans="1:8" x14ac:dyDescent="0.25">
      <c r="A818">
        <v>2524</v>
      </c>
      <c r="B818">
        <v>549</v>
      </c>
      <c r="C818" t="s">
        <v>898</v>
      </c>
      <c r="D818" t="s">
        <v>1479</v>
      </c>
      <c r="E818" t="s">
        <v>2415</v>
      </c>
      <c r="F818" t="s">
        <v>2411</v>
      </c>
      <c r="G818" t="s">
        <v>2758</v>
      </c>
    </row>
    <row r="819" spans="1:8" x14ac:dyDescent="0.25">
      <c r="A819">
        <v>2527</v>
      </c>
      <c r="B819">
        <v>549</v>
      </c>
      <c r="C819" t="s">
        <v>898</v>
      </c>
      <c r="D819" t="s">
        <v>2416</v>
      </c>
      <c r="E819" t="s">
        <v>2417</v>
      </c>
      <c r="F819" t="s">
        <v>2411</v>
      </c>
      <c r="G819" t="s">
        <v>4441</v>
      </c>
    </row>
    <row r="820" spans="1:8" x14ac:dyDescent="0.25">
      <c r="A820">
        <v>2528</v>
      </c>
      <c r="B820">
        <v>509</v>
      </c>
      <c r="C820" t="s">
        <v>898</v>
      </c>
      <c r="D820" t="s">
        <v>2418</v>
      </c>
      <c r="E820" t="s">
        <v>2419</v>
      </c>
      <c r="F820" t="s">
        <v>2420</v>
      </c>
      <c r="G820" t="s">
        <v>1309</v>
      </c>
    </row>
    <row r="821" spans="1:8" x14ac:dyDescent="0.25">
      <c r="A821">
        <v>2529</v>
      </c>
      <c r="B821">
        <v>470</v>
      </c>
      <c r="C821" t="s">
        <v>894</v>
      </c>
      <c r="D821" t="s">
        <v>895</v>
      </c>
      <c r="E821" t="s">
        <v>2421</v>
      </c>
      <c r="F821" t="s">
        <v>1567</v>
      </c>
    </row>
    <row r="822" spans="1:8" x14ac:dyDescent="0.25">
      <c r="A822">
        <v>2532</v>
      </c>
      <c r="B822">
        <v>556</v>
      </c>
      <c r="C822" t="s">
        <v>898</v>
      </c>
      <c r="D822" t="s">
        <v>2422</v>
      </c>
      <c r="E822" t="s">
        <v>2423</v>
      </c>
      <c r="F822" t="s">
        <v>2424</v>
      </c>
      <c r="G822" t="s">
        <v>4447</v>
      </c>
    </row>
    <row r="823" spans="1:8" x14ac:dyDescent="0.25">
      <c r="A823">
        <v>2534</v>
      </c>
      <c r="B823">
        <v>556</v>
      </c>
      <c r="C823" t="s">
        <v>898</v>
      </c>
      <c r="D823" t="s">
        <v>2425</v>
      </c>
      <c r="E823" t="s">
        <v>2426</v>
      </c>
      <c r="F823" t="s">
        <v>2424</v>
      </c>
      <c r="G823" t="s">
        <v>919</v>
      </c>
    </row>
    <row r="824" spans="1:8" x14ac:dyDescent="0.25">
      <c r="A824">
        <v>2549</v>
      </c>
      <c r="B824">
        <v>559</v>
      </c>
      <c r="C824" t="s">
        <v>894</v>
      </c>
      <c r="D824" t="s">
        <v>2427</v>
      </c>
      <c r="E824" t="s">
        <v>2428</v>
      </c>
      <c r="F824" t="s">
        <v>2429</v>
      </c>
      <c r="G824" t="s">
        <v>4453</v>
      </c>
      <c r="H824">
        <v>5</v>
      </c>
    </row>
    <row r="825" spans="1:8" x14ac:dyDescent="0.25">
      <c r="A825">
        <v>2556</v>
      </c>
      <c r="B825">
        <v>614</v>
      </c>
      <c r="C825" t="s">
        <v>894</v>
      </c>
      <c r="D825" t="s">
        <v>2430</v>
      </c>
      <c r="E825" t="s">
        <v>2431</v>
      </c>
      <c r="F825" t="s">
        <v>2432</v>
      </c>
    </row>
    <row r="826" spans="1:8" x14ac:dyDescent="0.25">
      <c r="A826">
        <v>2557</v>
      </c>
      <c r="B826">
        <v>561</v>
      </c>
      <c r="C826" t="s">
        <v>894</v>
      </c>
      <c r="D826" t="s">
        <v>2430</v>
      </c>
      <c r="E826" t="s">
        <v>2433</v>
      </c>
      <c r="F826" t="s">
        <v>2434</v>
      </c>
    </row>
    <row r="827" spans="1:8" x14ac:dyDescent="0.25">
      <c r="A827">
        <v>2558</v>
      </c>
      <c r="B827">
        <v>562</v>
      </c>
      <c r="C827" t="s">
        <v>894</v>
      </c>
      <c r="D827" t="s">
        <v>2430</v>
      </c>
      <c r="E827" t="s">
        <v>2435</v>
      </c>
      <c r="F827" t="s">
        <v>2436</v>
      </c>
    </row>
    <row r="828" spans="1:8" x14ac:dyDescent="0.25">
      <c r="A828">
        <v>2559</v>
      </c>
      <c r="B828">
        <v>566</v>
      </c>
      <c r="C828" t="s">
        <v>894</v>
      </c>
      <c r="D828" t="s">
        <v>2430</v>
      </c>
      <c r="E828" t="s">
        <v>2437</v>
      </c>
      <c r="F828" t="s">
        <v>2438</v>
      </c>
    </row>
    <row r="829" spans="1:8" x14ac:dyDescent="0.25">
      <c r="A829">
        <v>2560</v>
      </c>
      <c r="B829">
        <v>563</v>
      </c>
      <c r="C829" t="s">
        <v>898</v>
      </c>
      <c r="D829" t="s">
        <v>2439</v>
      </c>
      <c r="E829" t="s">
        <v>2440</v>
      </c>
      <c r="F829" t="s">
        <v>2441</v>
      </c>
    </row>
    <row r="830" spans="1:8" x14ac:dyDescent="0.25">
      <c r="A830">
        <v>2561</v>
      </c>
      <c r="B830">
        <v>564</v>
      </c>
      <c r="C830" t="s">
        <v>898</v>
      </c>
      <c r="D830" t="s">
        <v>2439</v>
      </c>
      <c r="E830" t="s">
        <v>2442</v>
      </c>
      <c r="F830" t="s">
        <v>2443</v>
      </c>
    </row>
    <row r="831" spans="1:8" x14ac:dyDescent="0.25">
      <c r="A831">
        <v>2562</v>
      </c>
      <c r="B831">
        <v>612</v>
      </c>
      <c r="C831" t="s">
        <v>894</v>
      </c>
      <c r="D831" t="s">
        <v>2430</v>
      </c>
      <c r="E831" t="s">
        <v>2444</v>
      </c>
      <c r="F831" t="s">
        <v>2445</v>
      </c>
    </row>
    <row r="832" spans="1:8" x14ac:dyDescent="0.25">
      <c r="A832">
        <v>2563</v>
      </c>
      <c r="B832">
        <v>613</v>
      </c>
      <c r="C832" t="s">
        <v>894</v>
      </c>
      <c r="D832" t="s">
        <v>2430</v>
      </c>
      <c r="E832" t="s">
        <v>2446</v>
      </c>
      <c r="F832" t="s">
        <v>2447</v>
      </c>
    </row>
    <row r="833" spans="1:8" x14ac:dyDescent="0.25">
      <c r="A833">
        <v>2564</v>
      </c>
      <c r="B833">
        <v>565</v>
      </c>
      <c r="C833" t="s">
        <v>898</v>
      </c>
      <c r="D833" t="s">
        <v>2439</v>
      </c>
      <c r="E833" t="s">
        <v>2448</v>
      </c>
      <c r="F833" t="s">
        <v>2449</v>
      </c>
    </row>
    <row r="834" spans="1:8" x14ac:dyDescent="0.25">
      <c r="A834">
        <v>2565</v>
      </c>
      <c r="B834">
        <v>104</v>
      </c>
      <c r="C834" t="s">
        <v>898</v>
      </c>
      <c r="D834" t="s">
        <v>2439</v>
      </c>
      <c r="E834" t="s">
        <v>2450</v>
      </c>
      <c r="F834" t="s">
        <v>2451</v>
      </c>
    </row>
    <row r="835" spans="1:8" x14ac:dyDescent="0.25">
      <c r="A835">
        <v>2566</v>
      </c>
      <c r="B835">
        <v>567</v>
      </c>
      <c r="C835" t="s">
        <v>894</v>
      </c>
      <c r="D835" t="s">
        <v>2430</v>
      </c>
      <c r="E835" t="s">
        <v>2452</v>
      </c>
      <c r="F835" t="s">
        <v>2453</v>
      </c>
    </row>
    <row r="836" spans="1:8" x14ac:dyDescent="0.25">
      <c r="A836">
        <v>2567</v>
      </c>
      <c r="B836">
        <v>568</v>
      </c>
      <c r="C836" t="s">
        <v>894</v>
      </c>
      <c r="D836" t="s">
        <v>2430</v>
      </c>
      <c r="E836" t="s">
        <v>2454</v>
      </c>
      <c r="F836" t="s">
        <v>2453</v>
      </c>
    </row>
    <row r="837" spans="1:8" x14ac:dyDescent="0.25">
      <c r="A837">
        <v>2568</v>
      </c>
      <c r="B837">
        <v>569</v>
      </c>
      <c r="C837" t="s">
        <v>894</v>
      </c>
      <c r="D837" t="s">
        <v>2430</v>
      </c>
      <c r="E837" t="s">
        <v>2455</v>
      </c>
      <c r="F837" t="s">
        <v>2456</v>
      </c>
    </row>
    <row r="838" spans="1:8" x14ac:dyDescent="0.25">
      <c r="A838">
        <v>2569</v>
      </c>
      <c r="B838">
        <v>570</v>
      </c>
      <c r="C838" t="s">
        <v>894</v>
      </c>
      <c r="D838" t="s">
        <v>2430</v>
      </c>
      <c r="E838" t="s">
        <v>2457</v>
      </c>
      <c r="F838" t="s">
        <v>2458</v>
      </c>
    </row>
    <row r="839" spans="1:8" x14ac:dyDescent="0.25">
      <c r="A839">
        <v>2570</v>
      </c>
      <c r="B839">
        <v>571</v>
      </c>
      <c r="C839" t="s">
        <v>894</v>
      </c>
      <c r="D839" t="s">
        <v>2430</v>
      </c>
      <c r="E839" t="s">
        <v>2459</v>
      </c>
      <c r="F839" t="s">
        <v>2460</v>
      </c>
    </row>
    <row r="840" spans="1:8" x14ac:dyDescent="0.25">
      <c r="A840">
        <v>2571</v>
      </c>
      <c r="B840">
        <v>499</v>
      </c>
      <c r="C840" t="s">
        <v>1188</v>
      </c>
      <c r="D840" t="s">
        <v>2461</v>
      </c>
      <c r="E840" t="s">
        <v>2462</v>
      </c>
      <c r="F840" t="s">
        <v>2463</v>
      </c>
    </row>
    <row r="841" spans="1:8" x14ac:dyDescent="0.25">
      <c r="A841">
        <v>2572</v>
      </c>
      <c r="B841">
        <v>573</v>
      </c>
      <c r="C841" t="s">
        <v>894</v>
      </c>
      <c r="D841" t="s">
        <v>2430</v>
      </c>
      <c r="E841" t="s">
        <v>2464</v>
      </c>
      <c r="F841" t="s">
        <v>2465</v>
      </c>
    </row>
    <row r="842" spans="1:8" x14ac:dyDescent="0.25">
      <c r="A842">
        <v>2573</v>
      </c>
      <c r="B842">
        <v>574</v>
      </c>
      <c r="C842" t="s">
        <v>894</v>
      </c>
      <c r="D842" t="s">
        <v>2430</v>
      </c>
      <c r="E842" t="s">
        <v>2466</v>
      </c>
      <c r="F842" t="s">
        <v>2467</v>
      </c>
    </row>
    <row r="843" spans="1:8" x14ac:dyDescent="0.25">
      <c r="A843">
        <v>2574</v>
      </c>
      <c r="B843">
        <v>575</v>
      </c>
      <c r="C843" t="s">
        <v>894</v>
      </c>
      <c r="D843" t="s">
        <v>2430</v>
      </c>
      <c r="E843" t="s">
        <v>2468</v>
      </c>
      <c r="F843" t="s">
        <v>2469</v>
      </c>
    </row>
    <row r="844" spans="1:8" x14ac:dyDescent="0.25">
      <c r="A844">
        <v>2575</v>
      </c>
      <c r="B844">
        <v>576</v>
      </c>
      <c r="C844" t="s">
        <v>898</v>
      </c>
      <c r="D844" t="s">
        <v>2439</v>
      </c>
      <c r="E844" t="s">
        <v>2470</v>
      </c>
      <c r="F844" t="s">
        <v>2471</v>
      </c>
    </row>
    <row r="845" spans="1:8" x14ac:dyDescent="0.25">
      <c r="A845">
        <v>2576</v>
      </c>
      <c r="B845">
        <v>234</v>
      </c>
      <c r="C845" t="s">
        <v>894</v>
      </c>
      <c r="D845" t="s">
        <v>2472</v>
      </c>
      <c r="E845" t="s">
        <v>2473</v>
      </c>
      <c r="F845" t="s">
        <v>1438</v>
      </c>
    </row>
    <row r="846" spans="1:8" x14ac:dyDescent="0.25">
      <c r="A846">
        <v>2577</v>
      </c>
      <c r="B846">
        <v>106</v>
      </c>
      <c r="C846" t="s">
        <v>898</v>
      </c>
      <c r="D846" t="s">
        <v>2474</v>
      </c>
      <c r="E846" t="s">
        <v>2475</v>
      </c>
      <c r="F846" t="s">
        <v>2476</v>
      </c>
      <c r="G846" t="s">
        <v>4445</v>
      </c>
    </row>
    <row r="847" spans="1:8" x14ac:dyDescent="0.25">
      <c r="A847">
        <v>2578</v>
      </c>
      <c r="B847">
        <v>106</v>
      </c>
      <c r="C847" t="s">
        <v>898</v>
      </c>
      <c r="D847" t="s">
        <v>2477</v>
      </c>
      <c r="E847" t="s">
        <v>2478</v>
      </c>
      <c r="F847" t="s">
        <v>2476</v>
      </c>
      <c r="G847" t="s">
        <v>4445</v>
      </c>
      <c r="H847">
        <v>1000</v>
      </c>
    </row>
    <row r="848" spans="1:8" x14ac:dyDescent="0.25">
      <c r="A848">
        <v>2579</v>
      </c>
      <c r="B848">
        <v>643</v>
      </c>
      <c r="C848" t="s">
        <v>1188</v>
      </c>
      <c r="D848" t="s">
        <v>2479</v>
      </c>
      <c r="E848" t="s">
        <v>2480</v>
      </c>
      <c r="F848" t="s">
        <v>2481</v>
      </c>
    </row>
    <row r="849" spans="1:8" x14ac:dyDescent="0.25">
      <c r="A849">
        <v>2580</v>
      </c>
      <c r="B849">
        <v>643</v>
      </c>
      <c r="C849" t="s">
        <v>1188</v>
      </c>
      <c r="D849" t="s">
        <v>2482</v>
      </c>
      <c r="E849" t="s">
        <v>2483</v>
      </c>
      <c r="F849" t="s">
        <v>2481</v>
      </c>
      <c r="G849" t="s">
        <v>4445</v>
      </c>
      <c r="H849">
        <v>500</v>
      </c>
    </row>
    <row r="850" spans="1:8" x14ac:dyDescent="0.25">
      <c r="A850">
        <v>2583</v>
      </c>
      <c r="B850">
        <v>783</v>
      </c>
      <c r="C850" t="s">
        <v>898</v>
      </c>
      <c r="D850" t="s">
        <v>1820</v>
      </c>
      <c r="F850" t="s">
        <v>2484</v>
      </c>
      <c r="G850" t="s">
        <v>4450</v>
      </c>
    </row>
    <row r="851" spans="1:8" x14ac:dyDescent="0.25">
      <c r="A851">
        <v>2587</v>
      </c>
      <c r="B851">
        <v>578</v>
      </c>
      <c r="C851" t="s">
        <v>894</v>
      </c>
      <c r="D851" t="s">
        <v>2485</v>
      </c>
      <c r="E851" t="s">
        <v>2486</v>
      </c>
      <c r="F851" t="s">
        <v>2487</v>
      </c>
      <c r="G851" t="s">
        <v>4448</v>
      </c>
    </row>
    <row r="852" spans="1:8" x14ac:dyDescent="0.25">
      <c r="A852">
        <v>2588</v>
      </c>
      <c r="B852">
        <v>679</v>
      </c>
      <c r="C852" t="s">
        <v>894</v>
      </c>
      <c r="D852" t="s">
        <v>936</v>
      </c>
      <c r="E852" t="s">
        <v>2488</v>
      </c>
      <c r="F852" t="s">
        <v>2489</v>
      </c>
      <c r="G852" t="s">
        <v>4447</v>
      </c>
    </row>
    <row r="853" spans="1:8" x14ac:dyDescent="0.25">
      <c r="A853">
        <v>2589</v>
      </c>
      <c r="B853">
        <v>579</v>
      </c>
      <c r="C853" t="s">
        <v>894</v>
      </c>
      <c r="D853" t="s">
        <v>1028</v>
      </c>
      <c r="E853" t="s">
        <v>2490</v>
      </c>
      <c r="F853" t="s">
        <v>2491</v>
      </c>
      <c r="G853" t="s">
        <v>919</v>
      </c>
    </row>
    <row r="854" spans="1:8" x14ac:dyDescent="0.25">
      <c r="A854">
        <v>2590</v>
      </c>
      <c r="B854">
        <v>579</v>
      </c>
      <c r="C854" t="s">
        <v>894</v>
      </c>
      <c r="D854" t="s">
        <v>923</v>
      </c>
      <c r="E854" t="s">
        <v>2492</v>
      </c>
      <c r="F854" t="s">
        <v>2491</v>
      </c>
      <c r="G854" t="s">
        <v>4444</v>
      </c>
    </row>
    <row r="855" spans="1:8" x14ac:dyDescent="0.25">
      <c r="A855">
        <v>2591</v>
      </c>
      <c r="B855">
        <v>579</v>
      </c>
      <c r="C855" t="s">
        <v>894</v>
      </c>
      <c r="D855" t="s">
        <v>2493</v>
      </c>
      <c r="E855" t="s">
        <v>2494</v>
      </c>
      <c r="F855" t="s">
        <v>2491</v>
      </c>
      <c r="G855" t="s">
        <v>4447</v>
      </c>
    </row>
    <row r="856" spans="1:8" x14ac:dyDescent="0.25">
      <c r="A856">
        <v>2592</v>
      </c>
      <c r="B856">
        <v>374</v>
      </c>
      <c r="C856" t="s">
        <v>894</v>
      </c>
      <c r="D856" t="s">
        <v>963</v>
      </c>
      <c r="E856" t="s">
        <v>2495</v>
      </c>
      <c r="F856" t="s">
        <v>2496</v>
      </c>
      <c r="G856" t="s">
        <v>4447</v>
      </c>
    </row>
    <row r="857" spans="1:8" x14ac:dyDescent="0.25">
      <c r="A857">
        <v>2593</v>
      </c>
      <c r="B857">
        <v>374</v>
      </c>
      <c r="C857" t="s">
        <v>894</v>
      </c>
      <c r="D857" t="s">
        <v>2497</v>
      </c>
      <c r="E857" t="s">
        <v>2498</v>
      </c>
      <c r="F857" t="s">
        <v>2499</v>
      </c>
      <c r="G857" t="s">
        <v>4447</v>
      </c>
    </row>
    <row r="858" spans="1:8" x14ac:dyDescent="0.25">
      <c r="A858">
        <v>2595</v>
      </c>
      <c r="B858">
        <v>374</v>
      </c>
      <c r="C858" t="s">
        <v>894</v>
      </c>
      <c r="D858" t="s">
        <v>917</v>
      </c>
      <c r="E858" t="s">
        <v>2500</v>
      </c>
      <c r="F858" t="s">
        <v>2501</v>
      </c>
      <c r="G858" t="s">
        <v>919</v>
      </c>
    </row>
    <row r="859" spans="1:8" x14ac:dyDescent="0.25">
      <c r="A859">
        <v>2599</v>
      </c>
      <c r="B859">
        <v>580</v>
      </c>
      <c r="C859" t="s">
        <v>898</v>
      </c>
      <c r="D859" t="s">
        <v>2502</v>
      </c>
      <c r="E859" t="s">
        <v>2503</v>
      </c>
      <c r="F859" t="s">
        <v>2504</v>
      </c>
      <c r="G859" t="s">
        <v>919</v>
      </c>
    </row>
    <row r="860" spans="1:8" x14ac:dyDescent="0.25">
      <c r="A860">
        <v>2600</v>
      </c>
      <c r="B860">
        <v>580</v>
      </c>
      <c r="C860" t="s">
        <v>898</v>
      </c>
      <c r="D860" t="s">
        <v>1137</v>
      </c>
      <c r="E860" t="s">
        <v>2505</v>
      </c>
      <c r="F860" t="s">
        <v>2504</v>
      </c>
      <c r="G860" t="s">
        <v>4444</v>
      </c>
    </row>
    <row r="861" spans="1:8" x14ac:dyDescent="0.25">
      <c r="A861">
        <v>2601</v>
      </c>
      <c r="B861">
        <v>580</v>
      </c>
      <c r="C861" t="s">
        <v>898</v>
      </c>
      <c r="D861" t="s">
        <v>2506</v>
      </c>
      <c r="F861" t="s">
        <v>2504</v>
      </c>
      <c r="G861" t="s">
        <v>4447</v>
      </c>
    </row>
    <row r="862" spans="1:8" x14ac:dyDescent="0.25">
      <c r="A862">
        <v>2602</v>
      </c>
      <c r="B862">
        <v>580</v>
      </c>
      <c r="C862" t="s">
        <v>898</v>
      </c>
      <c r="D862" t="s">
        <v>2248</v>
      </c>
      <c r="F862" t="s">
        <v>2504</v>
      </c>
      <c r="G862" t="s">
        <v>4442</v>
      </c>
    </row>
    <row r="863" spans="1:8" x14ac:dyDescent="0.25">
      <c r="A863">
        <v>2603</v>
      </c>
      <c r="B863">
        <v>580</v>
      </c>
      <c r="C863" t="s">
        <v>898</v>
      </c>
      <c r="D863" t="s">
        <v>1479</v>
      </c>
      <c r="E863" t="s">
        <v>2507</v>
      </c>
      <c r="F863" t="s">
        <v>2504</v>
      </c>
      <c r="G863" t="s">
        <v>2758</v>
      </c>
    </row>
    <row r="864" spans="1:8" x14ac:dyDescent="0.25">
      <c r="A864">
        <v>2608</v>
      </c>
      <c r="B864">
        <v>580</v>
      </c>
      <c r="C864" t="s">
        <v>898</v>
      </c>
      <c r="D864" t="s">
        <v>1820</v>
      </c>
      <c r="F864" t="s">
        <v>2504</v>
      </c>
      <c r="G864" t="s">
        <v>4450</v>
      </c>
    </row>
    <row r="865" spans="1:7" x14ac:dyDescent="0.25">
      <c r="A865">
        <v>2611</v>
      </c>
      <c r="B865">
        <v>339</v>
      </c>
      <c r="C865" t="s">
        <v>894</v>
      </c>
      <c r="D865" t="s">
        <v>895</v>
      </c>
      <c r="E865" t="s">
        <v>2508</v>
      </c>
      <c r="F865" t="s">
        <v>1569</v>
      </c>
      <c r="G865" t="s">
        <v>4448</v>
      </c>
    </row>
    <row r="866" spans="1:7" x14ac:dyDescent="0.25">
      <c r="A866">
        <v>2612</v>
      </c>
      <c r="B866">
        <v>339</v>
      </c>
      <c r="C866" t="s">
        <v>894</v>
      </c>
      <c r="D866" t="s">
        <v>923</v>
      </c>
      <c r="E866" t="s">
        <v>2509</v>
      </c>
      <c r="G866" t="s">
        <v>4444</v>
      </c>
    </row>
    <row r="867" spans="1:7" x14ac:dyDescent="0.25">
      <c r="A867">
        <v>2613</v>
      </c>
      <c r="B867">
        <v>339</v>
      </c>
      <c r="C867" t="s">
        <v>894</v>
      </c>
      <c r="D867" t="s">
        <v>2510</v>
      </c>
      <c r="E867" t="s">
        <v>2511</v>
      </c>
      <c r="F867" t="s">
        <v>1569</v>
      </c>
      <c r="G867" t="s">
        <v>4442</v>
      </c>
    </row>
    <row r="868" spans="1:7" x14ac:dyDescent="0.25">
      <c r="A868">
        <v>2620</v>
      </c>
      <c r="B868">
        <v>584</v>
      </c>
      <c r="C868" t="s">
        <v>894</v>
      </c>
      <c r="D868" t="s">
        <v>2512</v>
      </c>
      <c r="E868" t="s">
        <v>2513</v>
      </c>
      <c r="F868" t="s">
        <v>2514</v>
      </c>
    </row>
    <row r="869" spans="1:7" x14ac:dyDescent="0.25">
      <c r="A869">
        <v>2621</v>
      </c>
      <c r="B869">
        <v>585</v>
      </c>
      <c r="C869" t="s">
        <v>894</v>
      </c>
      <c r="D869" t="s">
        <v>2512</v>
      </c>
      <c r="E869" t="s">
        <v>2513</v>
      </c>
      <c r="F869" t="s">
        <v>2515</v>
      </c>
    </row>
    <row r="870" spans="1:7" x14ac:dyDescent="0.25">
      <c r="A870">
        <v>2622</v>
      </c>
      <c r="B870">
        <v>586</v>
      </c>
      <c r="C870" t="s">
        <v>894</v>
      </c>
      <c r="D870" t="s">
        <v>2512</v>
      </c>
      <c r="E870" t="s">
        <v>2513</v>
      </c>
      <c r="F870" t="s">
        <v>2516</v>
      </c>
    </row>
    <row r="871" spans="1:7" x14ac:dyDescent="0.25">
      <c r="A871">
        <v>2623</v>
      </c>
      <c r="B871">
        <v>587</v>
      </c>
      <c r="C871" t="s">
        <v>894</v>
      </c>
      <c r="D871" t="s">
        <v>2512</v>
      </c>
      <c r="E871" t="s">
        <v>2513</v>
      </c>
      <c r="F871" t="s">
        <v>2517</v>
      </c>
    </row>
    <row r="872" spans="1:7" x14ac:dyDescent="0.25">
      <c r="A872">
        <v>2624</v>
      </c>
      <c r="B872">
        <v>588</v>
      </c>
      <c r="C872" t="s">
        <v>894</v>
      </c>
      <c r="D872" t="s">
        <v>2512</v>
      </c>
      <c r="E872" t="s">
        <v>2513</v>
      </c>
      <c r="F872" t="s">
        <v>2518</v>
      </c>
    </row>
    <row r="873" spans="1:7" x14ac:dyDescent="0.25">
      <c r="A873">
        <v>2625</v>
      </c>
      <c r="B873">
        <v>589</v>
      </c>
      <c r="C873" t="s">
        <v>894</v>
      </c>
      <c r="D873" t="s">
        <v>2512</v>
      </c>
      <c r="E873" t="s">
        <v>2513</v>
      </c>
      <c r="F873" t="s">
        <v>2519</v>
      </c>
    </row>
    <row r="874" spans="1:7" x14ac:dyDescent="0.25">
      <c r="A874">
        <v>2626</v>
      </c>
      <c r="B874">
        <v>590</v>
      </c>
      <c r="C874" t="s">
        <v>898</v>
      </c>
      <c r="D874" t="s">
        <v>2520</v>
      </c>
      <c r="E874" t="s">
        <v>2521</v>
      </c>
      <c r="F874" t="s">
        <v>2522</v>
      </c>
    </row>
    <row r="875" spans="1:7" x14ac:dyDescent="0.25">
      <c r="A875">
        <v>2627</v>
      </c>
      <c r="B875">
        <v>591</v>
      </c>
      <c r="C875" t="s">
        <v>898</v>
      </c>
      <c r="D875" t="s">
        <v>2520</v>
      </c>
      <c r="E875" t="s">
        <v>2523</v>
      </c>
      <c r="F875" t="s">
        <v>2524</v>
      </c>
    </row>
    <row r="876" spans="1:7" x14ac:dyDescent="0.25">
      <c r="A876">
        <v>2628</v>
      </c>
      <c r="B876">
        <v>592</v>
      </c>
      <c r="C876" t="s">
        <v>898</v>
      </c>
      <c r="D876" t="s">
        <v>2520</v>
      </c>
      <c r="E876" t="s">
        <v>2521</v>
      </c>
      <c r="F876" t="s">
        <v>2525</v>
      </c>
    </row>
    <row r="877" spans="1:7" x14ac:dyDescent="0.25">
      <c r="A877">
        <v>2629</v>
      </c>
      <c r="B877">
        <v>593</v>
      </c>
      <c r="C877" t="s">
        <v>894</v>
      </c>
      <c r="D877" t="s">
        <v>2512</v>
      </c>
      <c r="E877" t="s">
        <v>2513</v>
      </c>
      <c r="F877" t="s">
        <v>2526</v>
      </c>
    </row>
    <row r="878" spans="1:7" x14ac:dyDescent="0.25">
      <c r="A878">
        <v>2630</v>
      </c>
      <c r="B878">
        <v>609</v>
      </c>
      <c r="C878" t="s">
        <v>894</v>
      </c>
      <c r="D878" t="s">
        <v>2512</v>
      </c>
      <c r="E878" t="s">
        <v>2513</v>
      </c>
      <c r="F878" t="s">
        <v>2527</v>
      </c>
    </row>
    <row r="879" spans="1:7" x14ac:dyDescent="0.25">
      <c r="A879">
        <v>2631</v>
      </c>
      <c r="B879">
        <v>608</v>
      </c>
      <c r="C879" t="s">
        <v>898</v>
      </c>
      <c r="D879" t="s">
        <v>2520</v>
      </c>
      <c r="E879" t="s">
        <v>2521</v>
      </c>
      <c r="F879" t="s">
        <v>2528</v>
      </c>
    </row>
    <row r="880" spans="1:7" x14ac:dyDescent="0.25">
      <c r="A880">
        <v>2632</v>
      </c>
      <c r="B880">
        <v>594</v>
      </c>
      <c r="C880" t="s">
        <v>894</v>
      </c>
      <c r="D880" t="s">
        <v>2512</v>
      </c>
      <c r="E880" t="s">
        <v>2513</v>
      </c>
      <c r="F880" t="s">
        <v>2529</v>
      </c>
    </row>
    <row r="881" spans="1:7" x14ac:dyDescent="0.25">
      <c r="A881">
        <v>2633</v>
      </c>
      <c r="B881">
        <v>605</v>
      </c>
      <c r="C881" t="s">
        <v>894</v>
      </c>
      <c r="D881" t="s">
        <v>2512</v>
      </c>
      <c r="E881" t="s">
        <v>2513</v>
      </c>
      <c r="F881" t="s">
        <v>2530</v>
      </c>
    </row>
    <row r="882" spans="1:7" x14ac:dyDescent="0.25">
      <c r="A882">
        <v>2634</v>
      </c>
      <c r="B882">
        <v>606</v>
      </c>
      <c r="C882" t="s">
        <v>894</v>
      </c>
      <c r="D882" t="s">
        <v>2512</v>
      </c>
      <c r="E882" t="s">
        <v>2513</v>
      </c>
      <c r="F882" t="s">
        <v>2531</v>
      </c>
    </row>
    <row r="883" spans="1:7" x14ac:dyDescent="0.25">
      <c r="A883">
        <v>2635</v>
      </c>
      <c r="B883">
        <v>603</v>
      </c>
      <c r="C883" t="s">
        <v>894</v>
      </c>
      <c r="D883" t="s">
        <v>2512</v>
      </c>
      <c r="E883" t="s">
        <v>2513</v>
      </c>
      <c r="F883" t="s">
        <v>2532</v>
      </c>
    </row>
    <row r="884" spans="1:7" x14ac:dyDescent="0.25">
      <c r="A884">
        <v>2636</v>
      </c>
      <c r="B884">
        <v>602</v>
      </c>
      <c r="C884" t="s">
        <v>894</v>
      </c>
      <c r="D884" t="s">
        <v>2512</v>
      </c>
      <c r="E884" t="s">
        <v>2533</v>
      </c>
      <c r="F884" t="s">
        <v>2534</v>
      </c>
    </row>
    <row r="885" spans="1:7" x14ac:dyDescent="0.25">
      <c r="A885">
        <v>2637</v>
      </c>
      <c r="B885">
        <v>601</v>
      </c>
      <c r="C885" t="s">
        <v>894</v>
      </c>
      <c r="D885" t="s">
        <v>2512</v>
      </c>
      <c r="E885" t="s">
        <v>2513</v>
      </c>
      <c r="F885" t="s">
        <v>2535</v>
      </c>
    </row>
    <row r="886" spans="1:7" x14ac:dyDescent="0.25">
      <c r="A886">
        <v>2638</v>
      </c>
      <c r="B886">
        <v>600</v>
      </c>
      <c r="C886" t="s">
        <v>894</v>
      </c>
      <c r="D886" t="s">
        <v>2512</v>
      </c>
      <c r="E886" t="s">
        <v>2513</v>
      </c>
      <c r="F886" t="s">
        <v>2536</v>
      </c>
    </row>
    <row r="887" spans="1:7" x14ac:dyDescent="0.25">
      <c r="A887">
        <v>2639</v>
      </c>
      <c r="B887">
        <v>599</v>
      </c>
      <c r="C887" t="s">
        <v>894</v>
      </c>
      <c r="D887" t="s">
        <v>2512</v>
      </c>
      <c r="E887" t="s">
        <v>2513</v>
      </c>
      <c r="F887" t="s">
        <v>2537</v>
      </c>
    </row>
    <row r="888" spans="1:7" x14ac:dyDescent="0.25">
      <c r="A888">
        <v>2640</v>
      </c>
      <c r="B888">
        <v>598</v>
      </c>
      <c r="C888" t="s">
        <v>894</v>
      </c>
      <c r="D888" t="s">
        <v>2512</v>
      </c>
      <c r="E888" t="s">
        <v>2513</v>
      </c>
      <c r="F888" t="s">
        <v>2538</v>
      </c>
    </row>
    <row r="889" spans="1:7" x14ac:dyDescent="0.25">
      <c r="A889">
        <v>2641</v>
      </c>
      <c r="B889">
        <v>596</v>
      </c>
      <c r="C889" t="s">
        <v>894</v>
      </c>
      <c r="D889" t="s">
        <v>2512</v>
      </c>
      <c r="E889" t="s">
        <v>2513</v>
      </c>
      <c r="F889" t="s">
        <v>2539</v>
      </c>
    </row>
    <row r="890" spans="1:7" x14ac:dyDescent="0.25">
      <c r="A890">
        <v>2642</v>
      </c>
      <c r="B890">
        <v>595</v>
      </c>
      <c r="C890" t="s">
        <v>898</v>
      </c>
      <c r="D890" t="s">
        <v>2520</v>
      </c>
      <c r="E890" t="s">
        <v>2523</v>
      </c>
      <c r="F890" t="s">
        <v>2540</v>
      </c>
    </row>
    <row r="891" spans="1:7" x14ac:dyDescent="0.25">
      <c r="A891">
        <v>2643</v>
      </c>
      <c r="B891">
        <v>597</v>
      </c>
      <c r="C891" t="s">
        <v>898</v>
      </c>
      <c r="D891" t="s">
        <v>2520</v>
      </c>
      <c r="E891" t="s">
        <v>2523</v>
      </c>
      <c r="F891" t="s">
        <v>2541</v>
      </c>
    </row>
    <row r="892" spans="1:7" x14ac:dyDescent="0.25">
      <c r="A892">
        <v>2644</v>
      </c>
      <c r="B892">
        <v>607</v>
      </c>
      <c r="C892" t="s">
        <v>898</v>
      </c>
      <c r="D892" t="s">
        <v>2520</v>
      </c>
      <c r="E892" t="s">
        <v>2523</v>
      </c>
      <c r="F892" t="s">
        <v>2542</v>
      </c>
    </row>
    <row r="893" spans="1:7" x14ac:dyDescent="0.25">
      <c r="A893">
        <v>2645</v>
      </c>
      <c r="B893">
        <v>604</v>
      </c>
      <c r="C893" t="s">
        <v>1188</v>
      </c>
      <c r="D893" t="s">
        <v>2543</v>
      </c>
      <c r="E893" t="s">
        <v>2544</v>
      </c>
      <c r="F893" t="s">
        <v>2545</v>
      </c>
    </row>
    <row r="894" spans="1:7" x14ac:dyDescent="0.25">
      <c r="A894">
        <v>2647</v>
      </c>
      <c r="B894">
        <v>680</v>
      </c>
      <c r="C894" t="s">
        <v>898</v>
      </c>
      <c r="D894" t="s">
        <v>2546</v>
      </c>
      <c r="E894" t="s">
        <v>2547</v>
      </c>
      <c r="F894" t="s">
        <v>2548</v>
      </c>
    </row>
    <row r="895" spans="1:7" ht="120" x14ac:dyDescent="0.25">
      <c r="A895">
        <v>2649</v>
      </c>
      <c r="B895">
        <v>28</v>
      </c>
      <c r="C895" t="s">
        <v>894</v>
      </c>
      <c r="D895" t="s">
        <v>1047</v>
      </c>
      <c r="E895" s="1" t="s">
        <v>2549</v>
      </c>
      <c r="F895" t="s">
        <v>2550</v>
      </c>
      <c r="G895" t="s">
        <v>4447</v>
      </c>
    </row>
    <row r="896" spans="1:7" x14ac:dyDescent="0.25">
      <c r="A896">
        <v>2651</v>
      </c>
      <c r="B896">
        <v>29</v>
      </c>
      <c r="C896" t="s">
        <v>894</v>
      </c>
      <c r="D896" t="s">
        <v>2551</v>
      </c>
      <c r="E896" t="s">
        <v>2552</v>
      </c>
      <c r="F896" t="s">
        <v>2553</v>
      </c>
      <c r="G896" t="s">
        <v>4447</v>
      </c>
    </row>
    <row r="897" spans="1:7" x14ac:dyDescent="0.25">
      <c r="A897">
        <v>2655</v>
      </c>
      <c r="B897">
        <v>65</v>
      </c>
      <c r="C897" t="s">
        <v>894</v>
      </c>
      <c r="D897" t="s">
        <v>2554</v>
      </c>
      <c r="E897" t="s">
        <v>2555</v>
      </c>
      <c r="F897" t="s">
        <v>1049</v>
      </c>
      <c r="G897" t="s">
        <v>4447</v>
      </c>
    </row>
    <row r="898" spans="1:7" x14ac:dyDescent="0.25">
      <c r="A898">
        <v>2665</v>
      </c>
      <c r="B898">
        <v>194</v>
      </c>
      <c r="C898" t="s">
        <v>894</v>
      </c>
      <c r="D898" t="s">
        <v>2556</v>
      </c>
      <c r="E898" t="s">
        <v>2557</v>
      </c>
      <c r="F898" t="s">
        <v>1562</v>
      </c>
      <c r="G898" t="s">
        <v>4447</v>
      </c>
    </row>
    <row r="899" spans="1:7" x14ac:dyDescent="0.25">
      <c r="A899">
        <v>2666</v>
      </c>
      <c r="B899">
        <v>228</v>
      </c>
      <c r="C899" t="s">
        <v>894</v>
      </c>
      <c r="D899" t="s">
        <v>1241</v>
      </c>
      <c r="E899" t="s">
        <v>2558</v>
      </c>
      <c r="F899" t="s">
        <v>1426</v>
      </c>
      <c r="G899" t="s">
        <v>4442</v>
      </c>
    </row>
    <row r="900" spans="1:7" x14ac:dyDescent="0.25">
      <c r="A900">
        <v>2667</v>
      </c>
      <c r="B900">
        <v>228</v>
      </c>
      <c r="C900" t="s">
        <v>894</v>
      </c>
      <c r="D900" t="s">
        <v>2559</v>
      </c>
      <c r="E900" t="s">
        <v>2560</v>
      </c>
      <c r="F900" t="s">
        <v>1426</v>
      </c>
      <c r="G900" t="s">
        <v>1670</v>
      </c>
    </row>
    <row r="901" spans="1:7" x14ac:dyDescent="0.25">
      <c r="A901">
        <v>2669</v>
      </c>
      <c r="B901">
        <v>550</v>
      </c>
      <c r="C901" t="s">
        <v>894</v>
      </c>
      <c r="D901" t="s">
        <v>2561</v>
      </c>
      <c r="E901" t="s">
        <v>2562</v>
      </c>
      <c r="F901" t="s">
        <v>2563</v>
      </c>
      <c r="G901" t="s">
        <v>4447</v>
      </c>
    </row>
    <row r="902" spans="1:7" x14ac:dyDescent="0.25">
      <c r="A902">
        <v>2670</v>
      </c>
      <c r="B902">
        <v>550</v>
      </c>
      <c r="C902" t="s">
        <v>894</v>
      </c>
      <c r="D902" t="s">
        <v>1021</v>
      </c>
      <c r="E902" t="s">
        <v>2564</v>
      </c>
      <c r="F902" t="s">
        <v>2563</v>
      </c>
      <c r="G902" t="s">
        <v>4444</v>
      </c>
    </row>
    <row r="903" spans="1:7" x14ac:dyDescent="0.25">
      <c r="A903">
        <v>2671</v>
      </c>
      <c r="B903">
        <v>550</v>
      </c>
      <c r="C903" t="s">
        <v>894</v>
      </c>
      <c r="D903" t="s">
        <v>939</v>
      </c>
      <c r="E903" t="s">
        <v>2565</v>
      </c>
      <c r="F903" t="s">
        <v>2566</v>
      </c>
      <c r="G903" t="s">
        <v>919</v>
      </c>
    </row>
    <row r="904" spans="1:7" x14ac:dyDescent="0.25">
      <c r="A904">
        <v>2672</v>
      </c>
      <c r="B904">
        <v>550</v>
      </c>
      <c r="C904" t="s">
        <v>894</v>
      </c>
      <c r="D904" t="s">
        <v>2567</v>
      </c>
      <c r="E904" t="s">
        <v>2568</v>
      </c>
      <c r="F904" t="s">
        <v>2569</v>
      </c>
      <c r="G904" t="s">
        <v>1670</v>
      </c>
    </row>
    <row r="905" spans="1:7" x14ac:dyDescent="0.25">
      <c r="A905">
        <v>2676</v>
      </c>
      <c r="B905">
        <v>76</v>
      </c>
      <c r="C905" t="s">
        <v>894</v>
      </c>
      <c r="D905" t="s">
        <v>1070</v>
      </c>
      <c r="E905" t="s">
        <v>1506</v>
      </c>
      <c r="F905" t="s">
        <v>1507</v>
      </c>
      <c r="G905" t="s">
        <v>4442</v>
      </c>
    </row>
    <row r="906" spans="1:7" x14ac:dyDescent="0.25">
      <c r="A906">
        <v>2678</v>
      </c>
      <c r="B906">
        <v>616</v>
      </c>
      <c r="C906" t="s">
        <v>894</v>
      </c>
      <c r="D906" t="s">
        <v>1316</v>
      </c>
      <c r="E906" t="s">
        <v>2570</v>
      </c>
      <c r="F906" t="s">
        <v>2571</v>
      </c>
      <c r="G906" t="s">
        <v>4442</v>
      </c>
    </row>
    <row r="907" spans="1:7" x14ac:dyDescent="0.25">
      <c r="A907">
        <v>2679</v>
      </c>
      <c r="B907">
        <v>616</v>
      </c>
      <c r="C907" t="s">
        <v>894</v>
      </c>
      <c r="D907" t="s">
        <v>2572</v>
      </c>
      <c r="E907" t="s">
        <v>2573</v>
      </c>
      <c r="F907" t="s">
        <v>2571</v>
      </c>
    </row>
    <row r="908" spans="1:7" x14ac:dyDescent="0.25">
      <c r="A908">
        <v>2680</v>
      </c>
      <c r="B908">
        <v>616</v>
      </c>
      <c r="C908" t="s">
        <v>894</v>
      </c>
      <c r="D908" t="s">
        <v>914</v>
      </c>
      <c r="E908" t="s">
        <v>2574</v>
      </c>
      <c r="F908" t="s">
        <v>2571</v>
      </c>
      <c r="G908" t="s">
        <v>4444</v>
      </c>
    </row>
    <row r="909" spans="1:7" x14ac:dyDescent="0.25">
      <c r="A909">
        <v>2681</v>
      </c>
      <c r="B909">
        <v>197</v>
      </c>
      <c r="C909" t="s">
        <v>894</v>
      </c>
      <c r="D909" t="s">
        <v>2575</v>
      </c>
      <c r="E909" t="s">
        <v>2576</v>
      </c>
      <c r="F909" t="s">
        <v>1315</v>
      </c>
      <c r="G909" t="s">
        <v>4443</v>
      </c>
    </row>
    <row r="910" spans="1:7" x14ac:dyDescent="0.25">
      <c r="A910">
        <v>2682</v>
      </c>
      <c r="B910">
        <v>197</v>
      </c>
      <c r="C910" t="s">
        <v>894</v>
      </c>
      <c r="D910" t="s">
        <v>2577</v>
      </c>
      <c r="E910" t="s">
        <v>2578</v>
      </c>
      <c r="F910" t="s">
        <v>1315</v>
      </c>
      <c r="G910" t="s">
        <v>4447</v>
      </c>
    </row>
    <row r="911" spans="1:7" x14ac:dyDescent="0.25">
      <c r="A911">
        <v>2683</v>
      </c>
      <c r="B911">
        <v>197</v>
      </c>
      <c r="C911" t="s">
        <v>894</v>
      </c>
      <c r="D911" t="s">
        <v>966</v>
      </c>
      <c r="E911" t="s">
        <v>2579</v>
      </c>
      <c r="F911" t="s">
        <v>1315</v>
      </c>
      <c r="G911" t="s">
        <v>2758</v>
      </c>
    </row>
    <row r="912" spans="1:7" x14ac:dyDescent="0.25">
      <c r="A912">
        <v>2684</v>
      </c>
      <c r="B912">
        <v>197</v>
      </c>
      <c r="C912" t="s">
        <v>894</v>
      </c>
      <c r="D912" t="s">
        <v>2028</v>
      </c>
      <c r="E912" t="s">
        <v>2580</v>
      </c>
      <c r="F912" t="s">
        <v>1315</v>
      </c>
      <c r="G912" t="s">
        <v>1309</v>
      </c>
    </row>
    <row r="913" spans="1:7" x14ac:dyDescent="0.25">
      <c r="A913">
        <v>2685</v>
      </c>
      <c r="B913">
        <v>75</v>
      </c>
      <c r="C913" t="s">
        <v>894</v>
      </c>
      <c r="D913" t="s">
        <v>2581</v>
      </c>
      <c r="E913" t="s">
        <v>2582</v>
      </c>
      <c r="F913" t="s">
        <v>2583</v>
      </c>
      <c r="G913" t="s">
        <v>4442</v>
      </c>
    </row>
    <row r="914" spans="1:7" x14ac:dyDescent="0.25">
      <c r="A914">
        <v>2686</v>
      </c>
      <c r="B914">
        <v>75</v>
      </c>
      <c r="C914" t="s">
        <v>894</v>
      </c>
      <c r="D914" t="s">
        <v>936</v>
      </c>
      <c r="E914" t="s">
        <v>2584</v>
      </c>
      <c r="F914" t="s">
        <v>2583</v>
      </c>
      <c r="G914" t="s">
        <v>4447</v>
      </c>
    </row>
    <row r="915" spans="1:7" x14ac:dyDescent="0.25">
      <c r="A915">
        <v>2687</v>
      </c>
      <c r="B915">
        <v>75</v>
      </c>
      <c r="C915" t="s">
        <v>894</v>
      </c>
      <c r="D915" t="s">
        <v>2585</v>
      </c>
      <c r="E915" t="s">
        <v>2586</v>
      </c>
      <c r="F915" t="s">
        <v>2583</v>
      </c>
      <c r="G915" t="s">
        <v>919</v>
      </c>
    </row>
    <row r="916" spans="1:7" x14ac:dyDescent="0.25">
      <c r="A916">
        <v>2688</v>
      </c>
      <c r="B916">
        <v>75</v>
      </c>
      <c r="C916" t="s">
        <v>894</v>
      </c>
      <c r="D916" t="s">
        <v>2587</v>
      </c>
      <c r="E916" t="s">
        <v>2588</v>
      </c>
      <c r="F916" t="s">
        <v>2583</v>
      </c>
    </row>
    <row r="917" spans="1:7" x14ac:dyDescent="0.25">
      <c r="A917">
        <v>2689</v>
      </c>
      <c r="B917">
        <v>75</v>
      </c>
      <c r="C917" t="s">
        <v>894</v>
      </c>
      <c r="D917" t="s">
        <v>2589</v>
      </c>
      <c r="E917" t="s">
        <v>2590</v>
      </c>
      <c r="F917" t="s">
        <v>2583</v>
      </c>
    </row>
    <row r="918" spans="1:7" x14ac:dyDescent="0.25">
      <c r="A918">
        <v>2690</v>
      </c>
      <c r="B918">
        <v>617</v>
      </c>
      <c r="C918" t="s">
        <v>894</v>
      </c>
      <c r="D918" t="s">
        <v>966</v>
      </c>
      <c r="E918" t="s">
        <v>2591</v>
      </c>
      <c r="F918" t="s">
        <v>2592</v>
      </c>
      <c r="G918" t="s">
        <v>2758</v>
      </c>
    </row>
    <row r="919" spans="1:7" x14ac:dyDescent="0.25">
      <c r="A919">
        <v>2691</v>
      </c>
      <c r="B919">
        <v>617</v>
      </c>
      <c r="C919" t="s">
        <v>894</v>
      </c>
      <c r="D919" t="s">
        <v>914</v>
      </c>
      <c r="E919" t="s">
        <v>2593</v>
      </c>
      <c r="F919" t="s">
        <v>2592</v>
      </c>
      <c r="G919" t="s">
        <v>4444</v>
      </c>
    </row>
    <row r="920" spans="1:7" x14ac:dyDescent="0.25">
      <c r="A920">
        <v>2692</v>
      </c>
      <c r="B920">
        <v>617</v>
      </c>
      <c r="C920" t="s">
        <v>894</v>
      </c>
      <c r="D920" t="s">
        <v>2594</v>
      </c>
      <c r="E920" t="s">
        <v>2595</v>
      </c>
      <c r="F920" t="s">
        <v>2592</v>
      </c>
      <c r="G920" t="s">
        <v>4456</v>
      </c>
    </row>
    <row r="921" spans="1:7" x14ac:dyDescent="0.25">
      <c r="A921">
        <v>2695</v>
      </c>
      <c r="B921">
        <v>618</v>
      </c>
      <c r="C921" t="s">
        <v>894</v>
      </c>
      <c r="D921" t="s">
        <v>2596</v>
      </c>
      <c r="E921" t="s">
        <v>2597</v>
      </c>
      <c r="F921" t="s">
        <v>2598</v>
      </c>
      <c r="G921" t="s">
        <v>4443</v>
      </c>
    </row>
    <row r="922" spans="1:7" x14ac:dyDescent="0.25">
      <c r="A922">
        <v>2696</v>
      </c>
      <c r="B922">
        <v>618</v>
      </c>
      <c r="C922" t="s">
        <v>894</v>
      </c>
      <c r="D922" t="s">
        <v>966</v>
      </c>
      <c r="E922" t="s">
        <v>2599</v>
      </c>
      <c r="F922" t="s">
        <v>2598</v>
      </c>
      <c r="G922" t="s">
        <v>2758</v>
      </c>
    </row>
    <row r="923" spans="1:7" x14ac:dyDescent="0.25">
      <c r="A923">
        <v>2698</v>
      </c>
      <c r="B923">
        <v>618</v>
      </c>
      <c r="C923" t="s">
        <v>894</v>
      </c>
      <c r="D923" t="s">
        <v>2120</v>
      </c>
      <c r="E923" t="s">
        <v>2600</v>
      </c>
      <c r="F923" t="s">
        <v>2598</v>
      </c>
      <c r="G923" t="s">
        <v>4442</v>
      </c>
    </row>
    <row r="924" spans="1:7" x14ac:dyDescent="0.25">
      <c r="A924">
        <v>2700</v>
      </c>
      <c r="B924">
        <v>618</v>
      </c>
      <c r="C924" t="s">
        <v>894</v>
      </c>
      <c r="D924" t="s">
        <v>1693</v>
      </c>
      <c r="E924" t="s">
        <v>2600</v>
      </c>
      <c r="F924" t="s">
        <v>2598</v>
      </c>
      <c r="G924" t="s">
        <v>4442</v>
      </c>
    </row>
    <row r="925" spans="1:7" x14ac:dyDescent="0.25">
      <c r="A925">
        <v>2701</v>
      </c>
      <c r="B925">
        <v>618</v>
      </c>
      <c r="C925" t="s">
        <v>894</v>
      </c>
      <c r="D925" t="s">
        <v>2601</v>
      </c>
      <c r="E925" t="s">
        <v>2600</v>
      </c>
      <c r="F925" t="s">
        <v>2598</v>
      </c>
      <c r="G925" t="s">
        <v>4447</v>
      </c>
    </row>
    <row r="926" spans="1:7" x14ac:dyDescent="0.25">
      <c r="A926">
        <v>2702</v>
      </c>
      <c r="B926">
        <v>83</v>
      </c>
      <c r="C926" t="s">
        <v>898</v>
      </c>
      <c r="D926" t="s">
        <v>2602</v>
      </c>
      <c r="E926" t="s">
        <v>2603</v>
      </c>
      <c r="F926" t="s">
        <v>2604</v>
      </c>
      <c r="G926" t="s">
        <v>4447</v>
      </c>
    </row>
    <row r="927" spans="1:7" x14ac:dyDescent="0.25">
      <c r="A927">
        <v>2706</v>
      </c>
      <c r="B927">
        <v>620</v>
      </c>
      <c r="C927" t="s">
        <v>894</v>
      </c>
      <c r="D927" t="s">
        <v>1556</v>
      </c>
      <c r="E927" t="s">
        <v>2605</v>
      </c>
      <c r="F927" t="s">
        <v>2606</v>
      </c>
      <c r="G927" t="s">
        <v>4442</v>
      </c>
    </row>
    <row r="928" spans="1:7" x14ac:dyDescent="0.25">
      <c r="A928">
        <v>2707</v>
      </c>
      <c r="B928">
        <v>45</v>
      </c>
      <c r="C928" t="s">
        <v>894</v>
      </c>
      <c r="D928" t="s">
        <v>2120</v>
      </c>
      <c r="E928" t="s">
        <v>2607</v>
      </c>
      <c r="F928" t="s">
        <v>2608</v>
      </c>
      <c r="G928" t="s">
        <v>4442</v>
      </c>
    </row>
    <row r="929" spans="1:7" x14ac:dyDescent="0.25">
      <c r="A929">
        <v>2716</v>
      </c>
      <c r="B929">
        <v>783</v>
      </c>
      <c r="C929" t="s">
        <v>898</v>
      </c>
      <c r="D929" t="s">
        <v>2609</v>
      </c>
      <c r="E929" t="s">
        <v>2610</v>
      </c>
      <c r="F929" t="s">
        <v>2611</v>
      </c>
      <c r="G929" t="s">
        <v>2758</v>
      </c>
    </row>
    <row r="930" spans="1:7" x14ac:dyDescent="0.25">
      <c r="A930">
        <v>2717</v>
      </c>
      <c r="B930">
        <v>783</v>
      </c>
      <c r="C930" t="s">
        <v>898</v>
      </c>
      <c r="D930" t="s">
        <v>975</v>
      </c>
      <c r="F930" t="s">
        <v>2611</v>
      </c>
      <c r="G930" t="s">
        <v>4444</v>
      </c>
    </row>
    <row r="931" spans="1:7" x14ac:dyDescent="0.25">
      <c r="A931">
        <v>2719</v>
      </c>
      <c r="B931">
        <v>783</v>
      </c>
      <c r="C931" t="s">
        <v>898</v>
      </c>
      <c r="D931" t="s">
        <v>1972</v>
      </c>
      <c r="E931" t="s">
        <v>2612</v>
      </c>
      <c r="F931" t="s">
        <v>2611</v>
      </c>
      <c r="G931" t="s">
        <v>4447</v>
      </c>
    </row>
    <row r="932" spans="1:7" x14ac:dyDescent="0.25">
      <c r="A932">
        <v>2720</v>
      </c>
      <c r="B932">
        <v>783</v>
      </c>
      <c r="C932" t="s">
        <v>898</v>
      </c>
      <c r="D932" t="s">
        <v>2613</v>
      </c>
      <c r="F932" t="s">
        <v>2611</v>
      </c>
      <c r="G932" t="s">
        <v>4447</v>
      </c>
    </row>
    <row r="933" spans="1:7" x14ac:dyDescent="0.25">
      <c r="A933">
        <v>2721</v>
      </c>
      <c r="B933">
        <v>783</v>
      </c>
      <c r="C933" t="s">
        <v>898</v>
      </c>
      <c r="D933" t="s">
        <v>1378</v>
      </c>
      <c r="F933" t="s">
        <v>2611</v>
      </c>
      <c r="G933" t="s">
        <v>4442</v>
      </c>
    </row>
    <row r="934" spans="1:7" x14ac:dyDescent="0.25">
      <c r="A934">
        <v>2722</v>
      </c>
      <c r="B934">
        <v>783</v>
      </c>
      <c r="C934" t="s">
        <v>898</v>
      </c>
      <c r="D934" t="s">
        <v>2614</v>
      </c>
      <c r="E934" t="s">
        <v>2615</v>
      </c>
      <c r="F934" t="s">
        <v>2611</v>
      </c>
      <c r="G934" t="s">
        <v>4442</v>
      </c>
    </row>
    <row r="935" spans="1:7" x14ac:dyDescent="0.25">
      <c r="A935">
        <v>2724</v>
      </c>
      <c r="B935">
        <v>783</v>
      </c>
      <c r="C935" t="s">
        <v>898</v>
      </c>
      <c r="D935" t="s">
        <v>2616</v>
      </c>
      <c r="F935" t="s">
        <v>2617</v>
      </c>
      <c r="G935" t="s">
        <v>2756</v>
      </c>
    </row>
    <row r="936" spans="1:7" x14ac:dyDescent="0.25">
      <c r="A936">
        <v>2725</v>
      </c>
      <c r="B936">
        <v>783</v>
      </c>
      <c r="C936" t="s">
        <v>898</v>
      </c>
      <c r="D936" t="s">
        <v>2618</v>
      </c>
      <c r="E936" t="s">
        <v>2619</v>
      </c>
      <c r="F936" t="s">
        <v>2611</v>
      </c>
    </row>
    <row r="937" spans="1:7" x14ac:dyDescent="0.25">
      <c r="A937">
        <v>2726</v>
      </c>
      <c r="B937">
        <v>783</v>
      </c>
      <c r="C937" t="s">
        <v>898</v>
      </c>
      <c r="D937" t="s">
        <v>2620</v>
      </c>
      <c r="E937" t="s">
        <v>2621</v>
      </c>
      <c r="F937" t="s">
        <v>2611</v>
      </c>
      <c r="G937" t="s">
        <v>4446</v>
      </c>
    </row>
    <row r="938" spans="1:7" x14ac:dyDescent="0.25">
      <c r="A938">
        <v>2727</v>
      </c>
      <c r="B938">
        <v>783</v>
      </c>
      <c r="C938" t="s">
        <v>898</v>
      </c>
      <c r="D938" t="s">
        <v>2622</v>
      </c>
      <c r="F938" t="s">
        <v>2611</v>
      </c>
      <c r="G938" t="s">
        <v>4447</v>
      </c>
    </row>
    <row r="939" spans="1:7" x14ac:dyDescent="0.25">
      <c r="A939">
        <v>2728</v>
      </c>
      <c r="B939">
        <v>621</v>
      </c>
      <c r="C939" t="s">
        <v>898</v>
      </c>
      <c r="D939" t="s">
        <v>1221</v>
      </c>
      <c r="E939" t="s">
        <v>2623</v>
      </c>
      <c r="F939" t="s">
        <v>2624</v>
      </c>
      <c r="G939" t="s">
        <v>4444</v>
      </c>
    </row>
    <row r="940" spans="1:7" x14ac:dyDescent="0.25">
      <c r="A940">
        <v>2729</v>
      </c>
      <c r="B940">
        <v>621</v>
      </c>
      <c r="C940" t="s">
        <v>898</v>
      </c>
      <c r="D940" t="s">
        <v>1224</v>
      </c>
      <c r="E940" t="s">
        <v>2625</v>
      </c>
      <c r="F940" t="s">
        <v>2624</v>
      </c>
      <c r="G940" t="s">
        <v>919</v>
      </c>
    </row>
    <row r="941" spans="1:7" ht="300" x14ac:dyDescent="0.25">
      <c r="A941">
        <v>2730</v>
      </c>
      <c r="B941">
        <v>621</v>
      </c>
      <c r="C941" t="s">
        <v>898</v>
      </c>
      <c r="D941" t="s">
        <v>2626</v>
      </c>
      <c r="E941" s="1" t="s">
        <v>2627</v>
      </c>
      <c r="F941" t="s">
        <v>2624</v>
      </c>
      <c r="G941" t="s">
        <v>4447</v>
      </c>
    </row>
    <row r="942" spans="1:7" x14ac:dyDescent="0.25">
      <c r="A942">
        <v>2731</v>
      </c>
      <c r="B942">
        <v>621</v>
      </c>
      <c r="C942" t="s">
        <v>898</v>
      </c>
      <c r="D942" t="s">
        <v>2628</v>
      </c>
      <c r="E942" t="s">
        <v>2629</v>
      </c>
      <c r="F942" t="s">
        <v>2624</v>
      </c>
      <c r="G942" t="s">
        <v>4442</v>
      </c>
    </row>
    <row r="943" spans="1:7" x14ac:dyDescent="0.25">
      <c r="A943">
        <v>2732</v>
      </c>
      <c r="B943">
        <v>621</v>
      </c>
      <c r="C943" t="s">
        <v>898</v>
      </c>
      <c r="D943" t="s">
        <v>1925</v>
      </c>
      <c r="E943" t="s">
        <v>2630</v>
      </c>
      <c r="F943" t="s">
        <v>2624</v>
      </c>
      <c r="G943" t="s">
        <v>4442</v>
      </c>
    </row>
    <row r="944" spans="1:7" x14ac:dyDescent="0.25">
      <c r="A944">
        <v>2733</v>
      </c>
      <c r="B944">
        <v>621</v>
      </c>
      <c r="C944" t="s">
        <v>898</v>
      </c>
      <c r="D944" t="s">
        <v>2631</v>
      </c>
      <c r="E944" t="s">
        <v>2632</v>
      </c>
      <c r="F944" t="s">
        <v>2624</v>
      </c>
      <c r="G944" t="s">
        <v>1084</v>
      </c>
    </row>
    <row r="945" spans="1:7" x14ac:dyDescent="0.25">
      <c r="A945">
        <v>2734</v>
      </c>
      <c r="B945">
        <v>783</v>
      </c>
      <c r="C945" t="s">
        <v>898</v>
      </c>
      <c r="D945" t="s">
        <v>2633</v>
      </c>
      <c r="F945" t="s">
        <v>2484</v>
      </c>
      <c r="G945" t="s">
        <v>4441</v>
      </c>
    </row>
    <row r="946" spans="1:7" x14ac:dyDescent="0.25">
      <c r="A946">
        <v>2737</v>
      </c>
      <c r="B946">
        <v>622</v>
      </c>
      <c r="C946" t="s">
        <v>894</v>
      </c>
      <c r="D946" t="s">
        <v>2634</v>
      </c>
      <c r="F946" t="s">
        <v>2635</v>
      </c>
      <c r="G946" t="s">
        <v>4447</v>
      </c>
    </row>
    <row r="947" spans="1:7" ht="150" x14ac:dyDescent="0.25">
      <c r="A947">
        <v>2739</v>
      </c>
      <c r="B947">
        <v>623</v>
      </c>
      <c r="C947" t="s">
        <v>898</v>
      </c>
      <c r="D947" t="s">
        <v>1479</v>
      </c>
      <c r="E947" s="1" t="s">
        <v>2636</v>
      </c>
      <c r="F947" t="s">
        <v>2637</v>
      </c>
      <c r="G947" t="s">
        <v>2758</v>
      </c>
    </row>
    <row r="948" spans="1:7" ht="210" x14ac:dyDescent="0.25">
      <c r="A948">
        <v>2740</v>
      </c>
      <c r="B948">
        <v>623</v>
      </c>
      <c r="C948" t="s">
        <v>898</v>
      </c>
      <c r="D948" t="s">
        <v>1815</v>
      </c>
      <c r="E948" s="1" t="s">
        <v>2638</v>
      </c>
      <c r="F948" t="s">
        <v>2639</v>
      </c>
      <c r="G948" t="s">
        <v>4441</v>
      </c>
    </row>
    <row r="949" spans="1:7" ht="180" x14ac:dyDescent="0.25">
      <c r="A949">
        <v>2741</v>
      </c>
      <c r="B949">
        <v>623</v>
      </c>
      <c r="C949" t="s">
        <v>898</v>
      </c>
      <c r="D949" t="s">
        <v>2640</v>
      </c>
      <c r="E949" s="1" t="s">
        <v>2641</v>
      </c>
      <c r="G949" t="s">
        <v>4452</v>
      </c>
    </row>
    <row r="950" spans="1:7" ht="195" x14ac:dyDescent="0.25">
      <c r="A950">
        <v>2742</v>
      </c>
      <c r="B950">
        <v>623</v>
      </c>
      <c r="C950" t="s">
        <v>898</v>
      </c>
      <c r="D950" t="s">
        <v>2642</v>
      </c>
      <c r="E950" s="1" t="s">
        <v>2643</v>
      </c>
      <c r="F950" t="s">
        <v>2644</v>
      </c>
      <c r="G950" t="s">
        <v>4445</v>
      </c>
    </row>
    <row r="951" spans="1:7" ht="180" x14ac:dyDescent="0.25">
      <c r="A951">
        <v>2743</v>
      </c>
      <c r="B951">
        <v>623</v>
      </c>
      <c r="C951" t="s">
        <v>898</v>
      </c>
      <c r="D951" t="s">
        <v>2645</v>
      </c>
      <c r="E951" s="1" t="s">
        <v>2646</v>
      </c>
      <c r="F951" t="s">
        <v>2647</v>
      </c>
      <c r="G951" t="s">
        <v>4440</v>
      </c>
    </row>
    <row r="952" spans="1:7" ht="195" x14ac:dyDescent="0.25">
      <c r="A952">
        <v>2744</v>
      </c>
      <c r="B952">
        <v>623</v>
      </c>
      <c r="C952" t="s">
        <v>898</v>
      </c>
      <c r="D952" t="s">
        <v>1820</v>
      </c>
      <c r="E952" s="1" t="s">
        <v>2648</v>
      </c>
      <c r="F952" t="s">
        <v>2649</v>
      </c>
      <c r="G952" t="s">
        <v>4450</v>
      </c>
    </row>
    <row r="953" spans="1:7" x14ac:dyDescent="0.25">
      <c r="A953">
        <v>2745</v>
      </c>
      <c r="B953">
        <v>773</v>
      </c>
      <c r="C953" t="s">
        <v>894</v>
      </c>
      <c r="D953" t="s">
        <v>1469</v>
      </c>
      <c r="E953" t="s">
        <v>2650</v>
      </c>
      <c r="F953" t="s">
        <v>2651</v>
      </c>
      <c r="G953" t="s">
        <v>4447</v>
      </c>
    </row>
    <row r="954" spans="1:7" x14ac:dyDescent="0.25">
      <c r="A954">
        <v>2746</v>
      </c>
      <c r="B954">
        <v>773</v>
      </c>
      <c r="C954" t="s">
        <v>894</v>
      </c>
      <c r="D954" t="s">
        <v>2652</v>
      </c>
      <c r="E954" t="s">
        <v>2653</v>
      </c>
      <c r="F954" t="s">
        <v>2651</v>
      </c>
      <c r="G954" t="s">
        <v>4444</v>
      </c>
    </row>
    <row r="955" spans="1:7" ht="180" x14ac:dyDescent="0.25">
      <c r="A955">
        <v>2747</v>
      </c>
      <c r="B955">
        <v>773</v>
      </c>
      <c r="C955" t="s">
        <v>894</v>
      </c>
      <c r="D955" t="s">
        <v>939</v>
      </c>
      <c r="E955" s="1" t="s">
        <v>2654</v>
      </c>
      <c r="F955" t="s">
        <v>2651</v>
      </c>
      <c r="G955" t="s">
        <v>919</v>
      </c>
    </row>
    <row r="956" spans="1:7" x14ac:dyDescent="0.25">
      <c r="A956">
        <v>2748</v>
      </c>
      <c r="B956">
        <v>773</v>
      </c>
      <c r="C956" t="s">
        <v>894</v>
      </c>
      <c r="D956" t="s">
        <v>2655</v>
      </c>
      <c r="E956" t="s">
        <v>2656</v>
      </c>
      <c r="F956" t="s">
        <v>2651</v>
      </c>
      <c r="G956" t="s">
        <v>4442</v>
      </c>
    </row>
    <row r="957" spans="1:7" x14ac:dyDescent="0.25">
      <c r="A957">
        <v>2750</v>
      </c>
      <c r="B957">
        <v>391</v>
      </c>
      <c r="C957" t="s">
        <v>1188</v>
      </c>
      <c r="D957" t="s">
        <v>2657</v>
      </c>
      <c r="F957" t="s">
        <v>1886</v>
      </c>
    </row>
    <row r="958" spans="1:7" x14ac:dyDescent="0.25">
      <c r="A958">
        <v>2751</v>
      </c>
      <c r="B958">
        <v>391</v>
      </c>
      <c r="C958" t="s">
        <v>1188</v>
      </c>
      <c r="D958" t="s">
        <v>2658</v>
      </c>
      <c r="F958" t="s">
        <v>1886</v>
      </c>
    </row>
    <row r="959" spans="1:7" x14ac:dyDescent="0.25">
      <c r="A959">
        <v>2752</v>
      </c>
      <c r="B959">
        <v>624</v>
      </c>
      <c r="C959" t="s">
        <v>898</v>
      </c>
      <c r="D959" t="s">
        <v>2659</v>
      </c>
      <c r="E959" t="s">
        <v>2660</v>
      </c>
      <c r="F959" t="s">
        <v>2661</v>
      </c>
      <c r="G959" t="s">
        <v>919</v>
      </c>
    </row>
    <row r="960" spans="1:7" x14ac:dyDescent="0.25">
      <c r="A960">
        <v>2753</v>
      </c>
      <c r="B960">
        <v>624</v>
      </c>
      <c r="C960" t="s">
        <v>898</v>
      </c>
      <c r="D960" t="s">
        <v>975</v>
      </c>
      <c r="E960" t="s">
        <v>2662</v>
      </c>
      <c r="F960" t="s">
        <v>2661</v>
      </c>
      <c r="G960" t="s">
        <v>4444</v>
      </c>
    </row>
    <row r="961" spans="1:7" x14ac:dyDescent="0.25">
      <c r="A961">
        <v>2754</v>
      </c>
      <c r="B961">
        <v>624</v>
      </c>
      <c r="C961" t="s">
        <v>898</v>
      </c>
      <c r="D961" t="s">
        <v>2248</v>
      </c>
      <c r="E961" t="s">
        <v>2663</v>
      </c>
      <c r="F961" t="s">
        <v>2661</v>
      </c>
      <c r="G961" t="s">
        <v>4442</v>
      </c>
    </row>
    <row r="962" spans="1:7" x14ac:dyDescent="0.25">
      <c r="A962">
        <v>2755</v>
      </c>
      <c r="B962">
        <v>625</v>
      </c>
      <c r="C962" t="s">
        <v>898</v>
      </c>
      <c r="D962" t="s">
        <v>2664</v>
      </c>
      <c r="E962" t="s">
        <v>2665</v>
      </c>
      <c r="F962" t="s">
        <v>2666</v>
      </c>
      <c r="G962" t="s">
        <v>2758</v>
      </c>
    </row>
    <row r="963" spans="1:7" x14ac:dyDescent="0.25">
      <c r="A963">
        <v>2756</v>
      </c>
      <c r="B963">
        <v>625</v>
      </c>
      <c r="C963" t="s">
        <v>898</v>
      </c>
      <c r="D963" t="s">
        <v>1925</v>
      </c>
      <c r="E963" t="s">
        <v>2667</v>
      </c>
      <c r="F963" t="s">
        <v>2666</v>
      </c>
      <c r="G963" t="s">
        <v>4442</v>
      </c>
    </row>
    <row r="964" spans="1:7" x14ac:dyDescent="0.25">
      <c r="A964">
        <v>2759</v>
      </c>
      <c r="B964">
        <v>625</v>
      </c>
      <c r="C964" t="s">
        <v>898</v>
      </c>
      <c r="D964" t="s">
        <v>1224</v>
      </c>
      <c r="E964" t="s">
        <v>2668</v>
      </c>
      <c r="F964" t="s">
        <v>2666</v>
      </c>
      <c r="G964" t="s">
        <v>919</v>
      </c>
    </row>
    <row r="965" spans="1:7" x14ac:dyDescent="0.25">
      <c r="A965">
        <v>2762</v>
      </c>
      <c r="B965">
        <v>625</v>
      </c>
      <c r="C965" t="s">
        <v>898</v>
      </c>
      <c r="D965" t="s">
        <v>2669</v>
      </c>
      <c r="E965" t="s">
        <v>2670</v>
      </c>
      <c r="F965" t="s">
        <v>2666</v>
      </c>
    </row>
    <row r="966" spans="1:7" x14ac:dyDescent="0.25">
      <c r="A966">
        <v>2765</v>
      </c>
      <c r="B966">
        <v>625</v>
      </c>
      <c r="C966" t="s">
        <v>898</v>
      </c>
      <c r="D966" t="s">
        <v>2671</v>
      </c>
      <c r="F966" t="s">
        <v>2672</v>
      </c>
      <c r="G966" t="s">
        <v>4440</v>
      </c>
    </row>
    <row r="967" spans="1:7" x14ac:dyDescent="0.25">
      <c r="A967">
        <v>2766</v>
      </c>
      <c r="B967">
        <v>625</v>
      </c>
      <c r="C967" t="s">
        <v>898</v>
      </c>
      <c r="D967" t="s">
        <v>2416</v>
      </c>
      <c r="E967" t="s">
        <v>2673</v>
      </c>
      <c r="F967" t="s">
        <v>2674</v>
      </c>
      <c r="G967" t="s">
        <v>4441</v>
      </c>
    </row>
    <row r="968" spans="1:7" x14ac:dyDescent="0.25">
      <c r="A968">
        <v>2779</v>
      </c>
      <c r="B968">
        <v>79</v>
      </c>
      <c r="C968" t="s">
        <v>894</v>
      </c>
      <c r="D968" t="s">
        <v>966</v>
      </c>
      <c r="E968" t="s">
        <v>2675</v>
      </c>
      <c r="F968" t="s">
        <v>2676</v>
      </c>
      <c r="G968" t="s">
        <v>2758</v>
      </c>
    </row>
    <row r="969" spans="1:7" x14ac:dyDescent="0.25">
      <c r="A969">
        <v>2780</v>
      </c>
      <c r="B969">
        <v>626</v>
      </c>
      <c r="C969" t="s">
        <v>894</v>
      </c>
      <c r="D969" t="s">
        <v>895</v>
      </c>
      <c r="E969" t="s">
        <v>2677</v>
      </c>
      <c r="F969" t="s">
        <v>2678</v>
      </c>
      <c r="G969" t="s">
        <v>4448</v>
      </c>
    </row>
    <row r="970" spans="1:7" x14ac:dyDescent="0.25">
      <c r="A970">
        <v>2781</v>
      </c>
      <c r="B970">
        <v>212</v>
      </c>
      <c r="C970" t="s">
        <v>894</v>
      </c>
      <c r="D970" t="s">
        <v>2679</v>
      </c>
      <c r="E970" t="s">
        <v>2680</v>
      </c>
      <c r="F970" t="s">
        <v>1362</v>
      </c>
      <c r="G970" t="s">
        <v>4442</v>
      </c>
    </row>
    <row r="971" spans="1:7" x14ac:dyDescent="0.25">
      <c r="A971">
        <v>2782</v>
      </c>
      <c r="B971">
        <v>212</v>
      </c>
      <c r="C971" t="s">
        <v>894</v>
      </c>
      <c r="D971" t="s">
        <v>1464</v>
      </c>
      <c r="E971" t="s">
        <v>2681</v>
      </c>
      <c r="F971" t="s">
        <v>1362</v>
      </c>
      <c r="G971" t="s">
        <v>4447</v>
      </c>
    </row>
    <row r="972" spans="1:7" x14ac:dyDescent="0.25">
      <c r="A972">
        <v>2783</v>
      </c>
      <c r="B972">
        <v>212</v>
      </c>
      <c r="C972" t="s">
        <v>894</v>
      </c>
      <c r="D972" t="s">
        <v>2682</v>
      </c>
      <c r="E972" t="s">
        <v>2683</v>
      </c>
      <c r="F972" t="s">
        <v>1362</v>
      </c>
      <c r="G972" t="s">
        <v>4447</v>
      </c>
    </row>
    <row r="973" spans="1:7" x14ac:dyDescent="0.25">
      <c r="A973">
        <v>2784</v>
      </c>
      <c r="B973">
        <v>238</v>
      </c>
      <c r="C973" t="s">
        <v>894</v>
      </c>
      <c r="D973" t="s">
        <v>2684</v>
      </c>
      <c r="E973" t="s">
        <v>2685</v>
      </c>
      <c r="F973" t="s">
        <v>1450</v>
      </c>
    </row>
    <row r="974" spans="1:7" x14ac:dyDescent="0.25">
      <c r="A974">
        <v>2785</v>
      </c>
      <c r="B974">
        <v>238</v>
      </c>
      <c r="C974" t="s">
        <v>894</v>
      </c>
      <c r="D974" t="s">
        <v>939</v>
      </c>
      <c r="E974" t="s">
        <v>2686</v>
      </c>
      <c r="F974" t="s">
        <v>1450</v>
      </c>
      <c r="G974" t="s">
        <v>919</v>
      </c>
    </row>
    <row r="975" spans="1:7" x14ac:dyDescent="0.25">
      <c r="A975">
        <v>2789</v>
      </c>
      <c r="B975">
        <v>627</v>
      </c>
      <c r="C975" t="s">
        <v>894</v>
      </c>
      <c r="D975" t="s">
        <v>2687</v>
      </c>
      <c r="E975" t="s">
        <v>2688</v>
      </c>
      <c r="F975" t="s">
        <v>2689</v>
      </c>
    </row>
    <row r="976" spans="1:7" x14ac:dyDescent="0.25">
      <c r="A976">
        <v>2790</v>
      </c>
      <c r="B976">
        <v>627</v>
      </c>
      <c r="C976" t="s">
        <v>894</v>
      </c>
      <c r="D976" t="s">
        <v>2690</v>
      </c>
      <c r="E976" t="s">
        <v>2691</v>
      </c>
      <c r="F976" t="s">
        <v>2689</v>
      </c>
      <c r="G976" t="s">
        <v>4445</v>
      </c>
    </row>
    <row r="977" spans="1:8" x14ac:dyDescent="0.25">
      <c r="A977">
        <v>2791</v>
      </c>
      <c r="B977">
        <v>627</v>
      </c>
      <c r="C977" t="s">
        <v>894</v>
      </c>
      <c r="D977" t="s">
        <v>2692</v>
      </c>
      <c r="E977" t="s">
        <v>2693</v>
      </c>
      <c r="F977" t="s">
        <v>2689</v>
      </c>
      <c r="G977" t="s">
        <v>4447</v>
      </c>
    </row>
    <row r="978" spans="1:8" x14ac:dyDescent="0.25">
      <c r="A978">
        <v>2792</v>
      </c>
      <c r="B978">
        <v>627</v>
      </c>
      <c r="C978" t="s">
        <v>894</v>
      </c>
      <c r="D978" t="s">
        <v>2694</v>
      </c>
      <c r="E978" t="s">
        <v>2695</v>
      </c>
      <c r="F978" t="s">
        <v>2689</v>
      </c>
      <c r="G978" t="s">
        <v>4448</v>
      </c>
    </row>
    <row r="979" spans="1:8" x14ac:dyDescent="0.25">
      <c r="A979">
        <v>2793</v>
      </c>
      <c r="B979">
        <v>140</v>
      </c>
      <c r="C979" t="s">
        <v>894</v>
      </c>
      <c r="D979" t="s">
        <v>2696</v>
      </c>
      <c r="E979" t="s">
        <v>2697</v>
      </c>
      <c r="F979" t="s">
        <v>1258</v>
      </c>
      <c r="G979" t="s">
        <v>1670</v>
      </c>
    </row>
    <row r="980" spans="1:8" x14ac:dyDescent="0.25">
      <c r="A980">
        <v>2794</v>
      </c>
      <c r="B980">
        <v>140</v>
      </c>
      <c r="C980" t="s">
        <v>894</v>
      </c>
      <c r="D980" t="s">
        <v>1448</v>
      </c>
      <c r="E980" t="s">
        <v>2698</v>
      </c>
      <c r="F980" t="s">
        <v>1258</v>
      </c>
      <c r="G980" t="s">
        <v>4442</v>
      </c>
    </row>
    <row r="981" spans="1:8" x14ac:dyDescent="0.25">
      <c r="A981">
        <v>2795</v>
      </c>
      <c r="B981">
        <v>303</v>
      </c>
      <c r="C981" t="s">
        <v>894</v>
      </c>
      <c r="D981" t="s">
        <v>2699</v>
      </c>
      <c r="E981" t="s">
        <v>2700</v>
      </c>
      <c r="F981" t="s">
        <v>2701</v>
      </c>
      <c r="G981" t="s">
        <v>4448</v>
      </c>
    </row>
    <row r="982" spans="1:8" x14ac:dyDescent="0.25">
      <c r="A982">
        <v>2796</v>
      </c>
      <c r="B982">
        <v>374</v>
      </c>
      <c r="C982" t="s">
        <v>894</v>
      </c>
      <c r="D982" t="s">
        <v>2702</v>
      </c>
      <c r="E982" t="s">
        <v>2703</v>
      </c>
      <c r="F982" t="s">
        <v>2704</v>
      </c>
      <c r="G982" t="s">
        <v>4445</v>
      </c>
    </row>
    <row r="983" spans="1:8" x14ac:dyDescent="0.25">
      <c r="A983">
        <v>2801</v>
      </c>
      <c r="B983">
        <v>509</v>
      </c>
      <c r="C983" t="s">
        <v>898</v>
      </c>
      <c r="D983" t="s">
        <v>2705</v>
      </c>
      <c r="E983" t="s">
        <v>2706</v>
      </c>
      <c r="F983" t="s">
        <v>2707</v>
      </c>
      <c r="G983" t="s">
        <v>1309</v>
      </c>
    </row>
    <row r="984" spans="1:8" x14ac:dyDescent="0.25">
      <c r="A984">
        <v>2802</v>
      </c>
      <c r="B984">
        <v>630</v>
      </c>
      <c r="C984" t="s">
        <v>898</v>
      </c>
      <c r="D984" t="s">
        <v>1378</v>
      </c>
      <c r="E984" t="s">
        <v>2708</v>
      </c>
      <c r="F984" t="s">
        <v>2709</v>
      </c>
      <c r="G984" t="s">
        <v>4442</v>
      </c>
    </row>
    <row r="985" spans="1:8" x14ac:dyDescent="0.25">
      <c r="A985">
        <v>2803</v>
      </c>
      <c r="B985">
        <v>630</v>
      </c>
      <c r="C985" t="s">
        <v>898</v>
      </c>
      <c r="D985" t="s">
        <v>2710</v>
      </c>
      <c r="E985" t="s">
        <v>2711</v>
      </c>
      <c r="F985" t="s">
        <v>2712</v>
      </c>
      <c r="G985" t="s">
        <v>4444</v>
      </c>
    </row>
    <row r="986" spans="1:8" x14ac:dyDescent="0.25">
      <c r="A986">
        <v>2804</v>
      </c>
      <c r="B986">
        <v>630</v>
      </c>
      <c r="C986" t="s">
        <v>898</v>
      </c>
      <c r="D986" t="s">
        <v>2664</v>
      </c>
      <c r="E986" t="s">
        <v>2713</v>
      </c>
      <c r="F986" t="s">
        <v>2714</v>
      </c>
      <c r="G986" t="s">
        <v>2758</v>
      </c>
    </row>
    <row r="987" spans="1:8" x14ac:dyDescent="0.25">
      <c r="A987">
        <v>2805</v>
      </c>
      <c r="B987">
        <v>111</v>
      </c>
      <c r="C987" t="s">
        <v>898</v>
      </c>
      <c r="D987" t="s">
        <v>1479</v>
      </c>
      <c r="E987" t="s">
        <v>2715</v>
      </c>
      <c r="F987" t="s">
        <v>2716</v>
      </c>
      <c r="G987" t="s">
        <v>2758</v>
      </c>
    </row>
    <row r="988" spans="1:8" x14ac:dyDescent="0.25">
      <c r="A988">
        <v>2807</v>
      </c>
      <c r="B988">
        <v>111</v>
      </c>
      <c r="C988" t="s">
        <v>898</v>
      </c>
      <c r="D988" t="s">
        <v>2717</v>
      </c>
      <c r="E988" t="s">
        <v>2718</v>
      </c>
      <c r="F988" t="s">
        <v>2719</v>
      </c>
      <c r="G988" t="s">
        <v>4442</v>
      </c>
    </row>
    <row r="989" spans="1:8" x14ac:dyDescent="0.25">
      <c r="A989">
        <v>2808</v>
      </c>
      <c r="B989">
        <v>111</v>
      </c>
      <c r="C989" t="s">
        <v>898</v>
      </c>
      <c r="D989" t="s">
        <v>2720</v>
      </c>
      <c r="E989" t="s">
        <v>2721</v>
      </c>
      <c r="F989" t="s">
        <v>2722</v>
      </c>
      <c r="G989" t="s">
        <v>4443</v>
      </c>
    </row>
    <row r="990" spans="1:8" ht="135" x14ac:dyDescent="0.25">
      <c r="A990">
        <v>2810</v>
      </c>
      <c r="B990">
        <v>111</v>
      </c>
      <c r="C990" t="s">
        <v>898</v>
      </c>
      <c r="D990" t="s">
        <v>2723</v>
      </c>
      <c r="E990" s="1" t="s">
        <v>2724</v>
      </c>
      <c r="F990" t="s">
        <v>2725</v>
      </c>
    </row>
    <row r="991" spans="1:8" ht="120" x14ac:dyDescent="0.25">
      <c r="A991">
        <v>2811</v>
      </c>
      <c r="B991">
        <v>106</v>
      </c>
      <c r="C991" t="s">
        <v>898</v>
      </c>
      <c r="D991" t="s">
        <v>2726</v>
      </c>
      <c r="E991" s="1" t="s">
        <v>2727</v>
      </c>
      <c r="F991" t="s">
        <v>2728</v>
      </c>
      <c r="G991" t="s">
        <v>2758</v>
      </c>
      <c r="H991">
        <v>1125</v>
      </c>
    </row>
    <row r="992" spans="1:8" x14ac:dyDescent="0.25">
      <c r="A992">
        <v>2812</v>
      </c>
      <c r="B992">
        <v>106</v>
      </c>
      <c r="C992" t="s">
        <v>898</v>
      </c>
      <c r="D992" t="s">
        <v>2729</v>
      </c>
      <c r="E992" t="s">
        <v>2730</v>
      </c>
      <c r="F992" t="s">
        <v>2731</v>
      </c>
      <c r="G992" t="s">
        <v>4442</v>
      </c>
    </row>
    <row r="993" spans="1:8" x14ac:dyDescent="0.25">
      <c r="A993">
        <v>2814</v>
      </c>
      <c r="B993">
        <v>106</v>
      </c>
      <c r="C993" t="s">
        <v>898</v>
      </c>
      <c r="D993" t="s">
        <v>1156</v>
      </c>
      <c r="E993" t="s">
        <v>2732</v>
      </c>
      <c r="F993" t="s">
        <v>2733</v>
      </c>
      <c r="G993" t="s">
        <v>4442</v>
      </c>
    </row>
    <row r="994" spans="1:8" x14ac:dyDescent="0.25">
      <c r="A994">
        <v>2815</v>
      </c>
      <c r="B994">
        <v>106</v>
      </c>
      <c r="C994" t="s">
        <v>898</v>
      </c>
      <c r="D994" t="s">
        <v>2242</v>
      </c>
      <c r="E994" t="s">
        <v>2734</v>
      </c>
      <c r="F994" t="s">
        <v>2735</v>
      </c>
      <c r="G994" t="s">
        <v>4460</v>
      </c>
    </row>
    <row r="995" spans="1:8" x14ac:dyDescent="0.25">
      <c r="A995">
        <v>2817</v>
      </c>
      <c r="B995">
        <v>106</v>
      </c>
      <c r="C995" t="s">
        <v>898</v>
      </c>
      <c r="D995" t="s">
        <v>2736</v>
      </c>
      <c r="E995" t="s">
        <v>2737</v>
      </c>
      <c r="F995" t="s">
        <v>2738</v>
      </c>
      <c r="G995" t="s">
        <v>4448</v>
      </c>
    </row>
    <row r="996" spans="1:8" x14ac:dyDescent="0.25">
      <c r="A996">
        <v>2819</v>
      </c>
      <c r="B996">
        <v>106</v>
      </c>
      <c r="C996" t="s">
        <v>898</v>
      </c>
      <c r="D996" t="s">
        <v>2739</v>
      </c>
      <c r="E996" t="s">
        <v>2740</v>
      </c>
      <c r="F996" t="s">
        <v>2741</v>
      </c>
      <c r="G996" t="s">
        <v>4447</v>
      </c>
    </row>
    <row r="997" spans="1:8" ht="120" x14ac:dyDescent="0.25">
      <c r="A997">
        <v>2820</v>
      </c>
      <c r="B997">
        <v>106</v>
      </c>
      <c r="C997" t="s">
        <v>898</v>
      </c>
      <c r="D997" t="s">
        <v>2742</v>
      </c>
      <c r="E997" s="1" t="s">
        <v>2743</v>
      </c>
      <c r="F997" t="s">
        <v>1184</v>
      </c>
      <c r="G997" t="s">
        <v>4447</v>
      </c>
    </row>
    <row r="998" spans="1:8" x14ac:dyDescent="0.25">
      <c r="A998">
        <v>2821</v>
      </c>
      <c r="B998">
        <v>106</v>
      </c>
      <c r="C998" t="s">
        <v>898</v>
      </c>
      <c r="D998" t="s">
        <v>2744</v>
      </c>
      <c r="E998" t="s">
        <v>2745</v>
      </c>
      <c r="F998" t="s">
        <v>2746</v>
      </c>
      <c r="G998" t="s">
        <v>4447</v>
      </c>
    </row>
    <row r="999" spans="1:8" x14ac:dyDescent="0.25">
      <c r="A999">
        <v>2822</v>
      </c>
      <c r="B999">
        <v>467</v>
      </c>
      <c r="C999" t="s">
        <v>898</v>
      </c>
      <c r="D999" t="s">
        <v>2747</v>
      </c>
      <c r="E999" t="s">
        <v>2748</v>
      </c>
      <c r="F999" t="s">
        <v>2749</v>
      </c>
      <c r="G999" t="s">
        <v>1309</v>
      </c>
      <c r="H999">
        <v>4</v>
      </c>
    </row>
    <row r="1000" spans="1:8" x14ac:dyDescent="0.25">
      <c r="A1000">
        <v>2824</v>
      </c>
      <c r="B1000">
        <v>467</v>
      </c>
      <c r="C1000" t="s">
        <v>898</v>
      </c>
      <c r="D1000" t="s">
        <v>2750</v>
      </c>
      <c r="E1000" t="s">
        <v>2751</v>
      </c>
      <c r="F1000" t="s">
        <v>2752</v>
      </c>
      <c r="G1000" t="s">
        <v>4448</v>
      </c>
    </row>
    <row r="1001" spans="1:8" x14ac:dyDescent="0.25">
      <c r="A1001">
        <v>2826</v>
      </c>
      <c r="B1001">
        <v>467</v>
      </c>
      <c r="C1001" t="s">
        <v>898</v>
      </c>
      <c r="D1001" t="s">
        <v>2242</v>
      </c>
      <c r="E1001" t="s">
        <v>2753</v>
      </c>
      <c r="F1001" t="s">
        <v>2754</v>
      </c>
      <c r="G1001" t="s">
        <v>4460</v>
      </c>
    </row>
    <row r="1002" spans="1:8" x14ac:dyDescent="0.25">
      <c r="A1002">
        <v>2828</v>
      </c>
      <c r="B1002">
        <v>59</v>
      </c>
      <c r="C1002" t="s">
        <v>894</v>
      </c>
      <c r="D1002" t="s">
        <v>1491</v>
      </c>
      <c r="E1002" t="s">
        <v>4587</v>
      </c>
      <c r="F1002" t="s">
        <v>4588</v>
      </c>
      <c r="G1002" t="s">
        <v>919</v>
      </c>
      <c r="H1002">
        <v>3000</v>
      </c>
    </row>
    <row r="1003" spans="1:8" x14ac:dyDescent="0.25">
      <c r="A1003">
        <v>2831</v>
      </c>
      <c r="B1003">
        <v>631</v>
      </c>
      <c r="C1003" t="s">
        <v>894</v>
      </c>
      <c r="D1003" t="s">
        <v>4589</v>
      </c>
      <c r="E1003" t="s">
        <v>4590</v>
      </c>
      <c r="F1003" t="s">
        <v>4591</v>
      </c>
      <c r="G1003" t="s">
        <v>2758</v>
      </c>
    </row>
    <row r="1004" spans="1:8" x14ac:dyDescent="0.25">
      <c r="A1004">
        <v>2832</v>
      </c>
      <c r="B1004">
        <v>631</v>
      </c>
      <c r="C1004" t="s">
        <v>894</v>
      </c>
      <c r="D1004" t="s">
        <v>4592</v>
      </c>
      <c r="E1004" t="s">
        <v>4593</v>
      </c>
      <c r="F1004" t="s">
        <v>4594</v>
      </c>
    </row>
    <row r="1005" spans="1:8" x14ac:dyDescent="0.25">
      <c r="A1005">
        <v>2833</v>
      </c>
      <c r="B1005">
        <v>631</v>
      </c>
      <c r="C1005" t="s">
        <v>894</v>
      </c>
      <c r="D1005" t="s">
        <v>4595</v>
      </c>
      <c r="E1005" t="s">
        <v>4596</v>
      </c>
      <c r="F1005" t="s">
        <v>4594</v>
      </c>
      <c r="G1005" t="s">
        <v>4447</v>
      </c>
    </row>
    <row r="1006" spans="1:8" x14ac:dyDescent="0.25">
      <c r="A1006">
        <v>2834</v>
      </c>
      <c r="B1006">
        <v>631</v>
      </c>
      <c r="C1006" t="s">
        <v>894</v>
      </c>
      <c r="D1006" t="s">
        <v>1440</v>
      </c>
      <c r="E1006" t="s">
        <v>4597</v>
      </c>
      <c r="F1006" t="s">
        <v>4594</v>
      </c>
      <c r="G1006" t="s">
        <v>4447</v>
      </c>
    </row>
    <row r="1007" spans="1:8" x14ac:dyDescent="0.25">
      <c r="A1007">
        <v>2835</v>
      </c>
      <c r="B1007">
        <v>631</v>
      </c>
      <c r="C1007" t="s">
        <v>894</v>
      </c>
      <c r="D1007" t="s">
        <v>923</v>
      </c>
      <c r="E1007" t="s">
        <v>4598</v>
      </c>
      <c r="F1007" t="s">
        <v>4594</v>
      </c>
      <c r="G1007" t="s">
        <v>4444</v>
      </c>
    </row>
    <row r="1008" spans="1:8" x14ac:dyDescent="0.25">
      <c r="A1008">
        <v>2836</v>
      </c>
      <c r="B1008">
        <v>631</v>
      </c>
      <c r="C1008" t="s">
        <v>894</v>
      </c>
      <c r="D1008" t="s">
        <v>1294</v>
      </c>
      <c r="E1008" t="s">
        <v>4599</v>
      </c>
      <c r="F1008" t="s">
        <v>4594</v>
      </c>
      <c r="G1008" t="s">
        <v>4443</v>
      </c>
    </row>
    <row r="1009" spans="1:7" x14ac:dyDescent="0.25">
      <c r="A1009">
        <v>2837</v>
      </c>
      <c r="B1009">
        <v>631</v>
      </c>
      <c r="C1009" t="s">
        <v>894</v>
      </c>
      <c r="D1009" t="s">
        <v>1028</v>
      </c>
      <c r="E1009" t="s">
        <v>4600</v>
      </c>
      <c r="F1009" t="s">
        <v>4594</v>
      </c>
      <c r="G1009" t="s">
        <v>919</v>
      </c>
    </row>
    <row r="1010" spans="1:7" x14ac:dyDescent="0.25">
      <c r="A1010">
        <v>2838</v>
      </c>
      <c r="B1010">
        <v>631</v>
      </c>
      <c r="C1010" t="s">
        <v>894</v>
      </c>
      <c r="D1010" t="s">
        <v>4601</v>
      </c>
      <c r="E1010" t="s">
        <v>4602</v>
      </c>
      <c r="F1010" t="s">
        <v>4594</v>
      </c>
      <c r="G1010" t="s">
        <v>1670</v>
      </c>
    </row>
    <row r="1011" spans="1:7" x14ac:dyDescent="0.25">
      <c r="A1011">
        <v>2844</v>
      </c>
      <c r="B1011">
        <v>521</v>
      </c>
      <c r="C1011" t="s">
        <v>894</v>
      </c>
      <c r="D1011" t="s">
        <v>4603</v>
      </c>
      <c r="E1011" t="s">
        <v>4604</v>
      </c>
      <c r="F1011" t="s">
        <v>2271</v>
      </c>
      <c r="G1011" t="s">
        <v>4445</v>
      </c>
    </row>
    <row r="1012" spans="1:7" x14ac:dyDescent="0.25">
      <c r="A1012">
        <v>2856</v>
      </c>
      <c r="B1012">
        <v>633</v>
      </c>
      <c r="C1012" t="s">
        <v>898</v>
      </c>
      <c r="D1012" t="s">
        <v>4605</v>
      </c>
      <c r="E1012" t="s">
        <v>4606</v>
      </c>
      <c r="F1012" t="s">
        <v>4607</v>
      </c>
    </row>
    <row r="1013" spans="1:7" x14ac:dyDescent="0.25">
      <c r="A1013">
        <v>2857</v>
      </c>
      <c r="B1013">
        <v>352</v>
      </c>
      <c r="C1013" t="s">
        <v>898</v>
      </c>
      <c r="D1013" t="s">
        <v>4608</v>
      </c>
      <c r="E1013" t="s">
        <v>4609</v>
      </c>
      <c r="F1013" t="s">
        <v>1632</v>
      </c>
    </row>
    <row r="1014" spans="1:7" x14ac:dyDescent="0.25">
      <c r="A1014">
        <v>2858</v>
      </c>
      <c r="B1014">
        <v>530</v>
      </c>
      <c r="C1014" t="s">
        <v>898</v>
      </c>
      <c r="D1014" t="s">
        <v>4610</v>
      </c>
      <c r="E1014" t="s">
        <v>4611</v>
      </c>
      <c r="F1014" t="s">
        <v>4612</v>
      </c>
    </row>
    <row r="1015" spans="1:7" x14ac:dyDescent="0.25">
      <c r="A1015">
        <v>2859</v>
      </c>
      <c r="B1015">
        <v>467</v>
      </c>
      <c r="C1015" t="s">
        <v>898</v>
      </c>
      <c r="D1015" t="s">
        <v>4613</v>
      </c>
      <c r="E1015" t="s">
        <v>4614</v>
      </c>
      <c r="F1015" t="s">
        <v>4615</v>
      </c>
      <c r="G1015" t="s">
        <v>4446</v>
      </c>
    </row>
    <row r="1016" spans="1:7" x14ac:dyDescent="0.25">
      <c r="A1016">
        <v>2869</v>
      </c>
      <c r="B1016">
        <v>635</v>
      </c>
      <c r="C1016" t="s">
        <v>894</v>
      </c>
      <c r="D1016" t="s">
        <v>1241</v>
      </c>
      <c r="E1016" t="s">
        <v>4616</v>
      </c>
      <c r="F1016" t="s">
        <v>4617</v>
      </c>
      <c r="G1016" t="s">
        <v>4442</v>
      </c>
    </row>
    <row r="1017" spans="1:7" x14ac:dyDescent="0.25">
      <c r="A1017">
        <v>2870</v>
      </c>
      <c r="B1017">
        <v>635</v>
      </c>
      <c r="C1017" t="s">
        <v>894</v>
      </c>
      <c r="D1017" t="s">
        <v>4618</v>
      </c>
      <c r="E1017" t="s">
        <v>4619</v>
      </c>
      <c r="F1017" t="s">
        <v>4617</v>
      </c>
      <c r="G1017" t="s">
        <v>4447</v>
      </c>
    </row>
    <row r="1018" spans="1:7" x14ac:dyDescent="0.25">
      <c r="A1018">
        <v>2871</v>
      </c>
      <c r="B1018">
        <v>635</v>
      </c>
      <c r="C1018" t="s">
        <v>894</v>
      </c>
      <c r="D1018" t="s">
        <v>963</v>
      </c>
      <c r="E1018" t="s">
        <v>4620</v>
      </c>
      <c r="F1018" t="s">
        <v>4617</v>
      </c>
      <c r="G1018" t="s">
        <v>4447</v>
      </c>
    </row>
    <row r="1019" spans="1:7" x14ac:dyDescent="0.25">
      <c r="A1019">
        <v>2872</v>
      </c>
      <c r="B1019">
        <v>635</v>
      </c>
      <c r="C1019" t="s">
        <v>894</v>
      </c>
      <c r="D1019" t="s">
        <v>1673</v>
      </c>
      <c r="E1019" t="s">
        <v>4621</v>
      </c>
      <c r="F1019" t="s">
        <v>4617</v>
      </c>
      <c r="G1019" t="s">
        <v>4447</v>
      </c>
    </row>
    <row r="1020" spans="1:7" x14ac:dyDescent="0.25">
      <c r="A1020">
        <v>2873</v>
      </c>
      <c r="B1020">
        <v>635</v>
      </c>
      <c r="C1020" t="s">
        <v>894</v>
      </c>
      <c r="D1020" t="s">
        <v>914</v>
      </c>
      <c r="E1020" t="s">
        <v>4622</v>
      </c>
      <c r="F1020" t="s">
        <v>4617</v>
      </c>
      <c r="G1020" t="s">
        <v>4444</v>
      </c>
    </row>
    <row r="1021" spans="1:7" x14ac:dyDescent="0.25">
      <c r="A1021">
        <v>2874</v>
      </c>
      <c r="B1021">
        <v>635</v>
      </c>
      <c r="C1021" t="s">
        <v>894</v>
      </c>
      <c r="D1021" t="s">
        <v>4623</v>
      </c>
      <c r="E1021" t="s">
        <v>4624</v>
      </c>
      <c r="F1021" t="s">
        <v>4617</v>
      </c>
      <c r="G1021" t="s">
        <v>4442</v>
      </c>
    </row>
    <row r="1022" spans="1:7" x14ac:dyDescent="0.25">
      <c r="A1022">
        <v>2875</v>
      </c>
      <c r="B1022">
        <v>635</v>
      </c>
      <c r="C1022" t="s">
        <v>894</v>
      </c>
      <c r="D1022" t="s">
        <v>993</v>
      </c>
      <c r="E1022" t="s">
        <v>4625</v>
      </c>
      <c r="F1022" t="s">
        <v>4617</v>
      </c>
    </row>
    <row r="1023" spans="1:7" x14ac:dyDescent="0.25">
      <c r="A1023">
        <v>2876</v>
      </c>
      <c r="B1023">
        <v>635</v>
      </c>
      <c r="C1023" t="s">
        <v>894</v>
      </c>
      <c r="D1023" t="s">
        <v>4626</v>
      </c>
      <c r="E1023" t="s">
        <v>4627</v>
      </c>
      <c r="F1023" t="s">
        <v>4617</v>
      </c>
    </row>
    <row r="1024" spans="1:7" x14ac:dyDescent="0.25">
      <c r="A1024">
        <v>2877</v>
      </c>
      <c r="B1024">
        <v>635</v>
      </c>
      <c r="C1024" t="s">
        <v>894</v>
      </c>
      <c r="D1024" t="s">
        <v>1047</v>
      </c>
      <c r="E1024" t="s">
        <v>4616</v>
      </c>
      <c r="F1024" t="s">
        <v>4617</v>
      </c>
      <c r="G1024" t="s">
        <v>4447</v>
      </c>
    </row>
    <row r="1025" spans="1:7" x14ac:dyDescent="0.25">
      <c r="A1025">
        <v>2879</v>
      </c>
      <c r="B1025">
        <v>636</v>
      </c>
      <c r="C1025" t="s">
        <v>898</v>
      </c>
      <c r="D1025" t="s">
        <v>4628</v>
      </c>
      <c r="E1025" t="s">
        <v>4629</v>
      </c>
      <c r="F1025" t="s">
        <v>4630</v>
      </c>
      <c r="G1025" t="s">
        <v>919</v>
      </c>
    </row>
    <row r="1026" spans="1:7" x14ac:dyDescent="0.25">
      <c r="A1026">
        <v>2880</v>
      </c>
      <c r="B1026">
        <v>636</v>
      </c>
      <c r="C1026" t="s">
        <v>898</v>
      </c>
      <c r="D1026" t="s">
        <v>1137</v>
      </c>
      <c r="F1026" t="s">
        <v>4630</v>
      </c>
      <c r="G1026" t="s">
        <v>4444</v>
      </c>
    </row>
    <row r="1027" spans="1:7" x14ac:dyDescent="0.25">
      <c r="A1027">
        <v>2881</v>
      </c>
      <c r="B1027">
        <v>636</v>
      </c>
      <c r="C1027" t="s">
        <v>898</v>
      </c>
      <c r="D1027" t="s">
        <v>4631</v>
      </c>
      <c r="E1027" t="s">
        <v>4632</v>
      </c>
      <c r="F1027" t="s">
        <v>4630</v>
      </c>
      <c r="G1027" t="s">
        <v>4442</v>
      </c>
    </row>
    <row r="1028" spans="1:7" x14ac:dyDescent="0.25">
      <c r="A1028">
        <v>2882</v>
      </c>
      <c r="B1028">
        <v>636</v>
      </c>
      <c r="C1028" t="s">
        <v>898</v>
      </c>
      <c r="D1028" t="s">
        <v>2401</v>
      </c>
      <c r="E1028" t="s">
        <v>4633</v>
      </c>
      <c r="F1028" t="s">
        <v>4630</v>
      </c>
      <c r="G1028" t="s">
        <v>4446</v>
      </c>
    </row>
    <row r="1029" spans="1:7" x14ac:dyDescent="0.25">
      <c r="A1029">
        <v>2883</v>
      </c>
      <c r="B1029">
        <v>636</v>
      </c>
      <c r="C1029" t="s">
        <v>898</v>
      </c>
      <c r="D1029" t="s">
        <v>4634</v>
      </c>
      <c r="E1029" t="s">
        <v>4635</v>
      </c>
      <c r="F1029" t="s">
        <v>4630</v>
      </c>
      <c r="G1029" t="s">
        <v>1262</v>
      </c>
    </row>
    <row r="1030" spans="1:7" x14ac:dyDescent="0.25">
      <c r="A1030">
        <v>2884</v>
      </c>
      <c r="B1030">
        <v>636</v>
      </c>
      <c r="C1030" t="s">
        <v>898</v>
      </c>
      <c r="D1030" t="s">
        <v>4636</v>
      </c>
      <c r="E1030" t="s">
        <v>4637</v>
      </c>
      <c r="F1030" t="s">
        <v>4630</v>
      </c>
    </row>
    <row r="1031" spans="1:7" x14ac:dyDescent="0.25">
      <c r="A1031">
        <v>2885</v>
      </c>
      <c r="B1031">
        <v>636</v>
      </c>
      <c r="C1031" t="s">
        <v>898</v>
      </c>
      <c r="D1031" t="s">
        <v>4638</v>
      </c>
      <c r="E1031" t="s">
        <v>4639</v>
      </c>
      <c r="F1031" t="s">
        <v>4630</v>
      </c>
      <c r="G1031" t="s">
        <v>2756</v>
      </c>
    </row>
    <row r="1032" spans="1:7" x14ac:dyDescent="0.25">
      <c r="A1032">
        <v>2886</v>
      </c>
      <c r="B1032">
        <v>636</v>
      </c>
      <c r="C1032" t="s">
        <v>898</v>
      </c>
      <c r="D1032" t="s">
        <v>2416</v>
      </c>
      <c r="E1032" t="s">
        <v>4640</v>
      </c>
      <c r="F1032" t="s">
        <v>4630</v>
      </c>
      <c r="G1032" t="s">
        <v>4441</v>
      </c>
    </row>
    <row r="1033" spans="1:7" x14ac:dyDescent="0.25">
      <c r="A1033">
        <v>2888</v>
      </c>
      <c r="B1033">
        <v>636</v>
      </c>
      <c r="C1033" t="s">
        <v>898</v>
      </c>
      <c r="D1033" t="s">
        <v>2076</v>
      </c>
      <c r="E1033" t="s">
        <v>4641</v>
      </c>
      <c r="F1033" t="s">
        <v>4630</v>
      </c>
      <c r="G1033" t="s">
        <v>4441</v>
      </c>
    </row>
    <row r="1034" spans="1:7" x14ac:dyDescent="0.25">
      <c r="A1034">
        <v>2892</v>
      </c>
      <c r="B1034">
        <v>636</v>
      </c>
      <c r="C1034" t="s">
        <v>898</v>
      </c>
      <c r="D1034" t="s">
        <v>4642</v>
      </c>
      <c r="E1034" t="s">
        <v>4643</v>
      </c>
      <c r="F1034" t="s">
        <v>4630</v>
      </c>
      <c r="G1034" t="s">
        <v>4453</v>
      </c>
    </row>
    <row r="1035" spans="1:7" x14ac:dyDescent="0.25">
      <c r="A1035">
        <v>2893</v>
      </c>
      <c r="B1035">
        <v>636</v>
      </c>
      <c r="C1035" t="s">
        <v>898</v>
      </c>
      <c r="D1035" t="s">
        <v>4644</v>
      </c>
      <c r="E1035" t="s">
        <v>4645</v>
      </c>
      <c r="F1035" t="s">
        <v>4630</v>
      </c>
      <c r="G1035" t="s">
        <v>4451</v>
      </c>
    </row>
    <row r="1036" spans="1:7" x14ac:dyDescent="0.25">
      <c r="A1036">
        <v>2894</v>
      </c>
      <c r="B1036">
        <v>636</v>
      </c>
      <c r="C1036" t="s">
        <v>898</v>
      </c>
      <c r="D1036" t="s">
        <v>4646</v>
      </c>
      <c r="E1036" t="s">
        <v>4647</v>
      </c>
      <c r="F1036" t="s">
        <v>4630</v>
      </c>
      <c r="G1036" t="s">
        <v>4450</v>
      </c>
    </row>
    <row r="1037" spans="1:7" x14ac:dyDescent="0.25">
      <c r="A1037">
        <v>2897</v>
      </c>
      <c r="B1037">
        <v>637</v>
      </c>
      <c r="C1037" t="s">
        <v>894</v>
      </c>
      <c r="D1037" t="s">
        <v>1310</v>
      </c>
      <c r="F1037" t="s">
        <v>4648</v>
      </c>
      <c r="G1037" t="s">
        <v>4448</v>
      </c>
    </row>
    <row r="1038" spans="1:7" x14ac:dyDescent="0.25">
      <c r="A1038">
        <v>2898</v>
      </c>
      <c r="B1038">
        <v>106</v>
      </c>
      <c r="C1038" t="s">
        <v>898</v>
      </c>
      <c r="D1038" t="s">
        <v>4649</v>
      </c>
      <c r="E1038" t="s">
        <v>4650</v>
      </c>
      <c r="F1038" t="s">
        <v>4651</v>
      </c>
      <c r="G1038" t="s">
        <v>4456</v>
      </c>
    </row>
    <row r="1039" spans="1:7" x14ac:dyDescent="0.25">
      <c r="A1039">
        <v>2899</v>
      </c>
      <c r="B1039">
        <v>106</v>
      </c>
      <c r="C1039" t="s">
        <v>898</v>
      </c>
      <c r="D1039" t="s">
        <v>4652</v>
      </c>
      <c r="E1039" t="s">
        <v>4653</v>
      </c>
      <c r="F1039" t="s">
        <v>4654</v>
      </c>
      <c r="G1039" t="s">
        <v>4452</v>
      </c>
    </row>
    <row r="1040" spans="1:7" ht="165" x14ac:dyDescent="0.25">
      <c r="A1040">
        <v>2900</v>
      </c>
      <c r="B1040">
        <v>106</v>
      </c>
      <c r="C1040" t="s">
        <v>898</v>
      </c>
      <c r="D1040" t="s">
        <v>4655</v>
      </c>
      <c r="E1040" s="1" t="s">
        <v>4656</v>
      </c>
      <c r="F1040" t="s">
        <v>4657</v>
      </c>
      <c r="G1040" t="s">
        <v>4441</v>
      </c>
    </row>
    <row r="1041" spans="1:7" x14ac:dyDescent="0.25">
      <c r="A1041">
        <v>2901</v>
      </c>
      <c r="B1041">
        <v>365</v>
      </c>
      <c r="C1041" t="s">
        <v>894</v>
      </c>
      <c r="D1041" t="s">
        <v>4658</v>
      </c>
      <c r="E1041" t="s">
        <v>4659</v>
      </c>
      <c r="F1041" t="s">
        <v>1662</v>
      </c>
      <c r="G1041" t="s">
        <v>4447</v>
      </c>
    </row>
    <row r="1042" spans="1:7" x14ac:dyDescent="0.25">
      <c r="A1042">
        <v>2913</v>
      </c>
      <c r="B1042">
        <v>61</v>
      </c>
      <c r="C1042" t="s">
        <v>894</v>
      </c>
      <c r="D1042" t="s">
        <v>4660</v>
      </c>
      <c r="E1042" t="s">
        <v>4661</v>
      </c>
      <c r="F1042" t="s">
        <v>4662</v>
      </c>
      <c r="G1042" t="s">
        <v>4455</v>
      </c>
    </row>
    <row r="1043" spans="1:7" x14ac:dyDescent="0.25">
      <c r="A1043">
        <v>2914</v>
      </c>
      <c r="B1043">
        <v>640</v>
      </c>
      <c r="C1043" t="s">
        <v>894</v>
      </c>
      <c r="D1043" t="s">
        <v>4663</v>
      </c>
      <c r="E1043" t="s">
        <v>4664</v>
      </c>
      <c r="F1043" t="s">
        <v>4665</v>
      </c>
      <c r="G1043" t="s">
        <v>1262</v>
      </c>
    </row>
    <row r="1044" spans="1:7" x14ac:dyDescent="0.25">
      <c r="A1044">
        <v>2915</v>
      </c>
      <c r="B1044">
        <v>640</v>
      </c>
      <c r="C1044" t="s">
        <v>894</v>
      </c>
      <c r="D1044" t="s">
        <v>4666</v>
      </c>
      <c r="E1044" t="s">
        <v>4667</v>
      </c>
      <c r="F1044" t="s">
        <v>4665</v>
      </c>
      <c r="G1044" t="s">
        <v>4445</v>
      </c>
    </row>
    <row r="1045" spans="1:7" x14ac:dyDescent="0.25">
      <c r="A1045">
        <v>2917</v>
      </c>
      <c r="B1045">
        <v>640</v>
      </c>
      <c r="C1045" t="s">
        <v>894</v>
      </c>
      <c r="D1045" t="s">
        <v>895</v>
      </c>
      <c r="E1045" t="s">
        <v>4668</v>
      </c>
      <c r="F1045" t="s">
        <v>4665</v>
      </c>
      <c r="G1045" t="s">
        <v>4448</v>
      </c>
    </row>
    <row r="1046" spans="1:7" x14ac:dyDescent="0.25">
      <c r="A1046">
        <v>2918</v>
      </c>
      <c r="B1046">
        <v>640</v>
      </c>
      <c r="C1046" t="s">
        <v>894</v>
      </c>
      <c r="D1046" t="s">
        <v>4669</v>
      </c>
      <c r="E1046" t="s">
        <v>4670</v>
      </c>
      <c r="F1046" t="s">
        <v>4665</v>
      </c>
      <c r="G1046" t="s">
        <v>4454</v>
      </c>
    </row>
    <row r="1047" spans="1:7" x14ac:dyDescent="0.25">
      <c r="A1047">
        <v>2922</v>
      </c>
      <c r="B1047">
        <v>41</v>
      </c>
      <c r="C1047" t="s">
        <v>894</v>
      </c>
      <c r="D1047" t="s">
        <v>4671</v>
      </c>
      <c r="E1047" t="s">
        <v>4672</v>
      </c>
      <c r="F1047" t="s">
        <v>988</v>
      </c>
      <c r="G1047" t="s">
        <v>1309</v>
      </c>
    </row>
    <row r="1048" spans="1:7" x14ac:dyDescent="0.25">
      <c r="A1048">
        <v>2923</v>
      </c>
      <c r="B1048">
        <v>41</v>
      </c>
      <c r="C1048" t="s">
        <v>894</v>
      </c>
      <c r="D1048" t="s">
        <v>1991</v>
      </c>
      <c r="E1048" t="s">
        <v>4673</v>
      </c>
      <c r="F1048" t="s">
        <v>988</v>
      </c>
      <c r="G1048" t="s">
        <v>4455</v>
      </c>
    </row>
    <row r="1049" spans="1:7" x14ac:dyDescent="0.25">
      <c r="A1049">
        <v>2924</v>
      </c>
      <c r="B1049">
        <v>41</v>
      </c>
      <c r="C1049" t="s">
        <v>894</v>
      </c>
      <c r="D1049" t="s">
        <v>4674</v>
      </c>
      <c r="E1049" t="s">
        <v>4675</v>
      </c>
      <c r="F1049" t="s">
        <v>988</v>
      </c>
      <c r="G1049" t="s">
        <v>4454</v>
      </c>
    </row>
    <row r="1050" spans="1:7" x14ac:dyDescent="0.25">
      <c r="A1050">
        <v>2925</v>
      </c>
      <c r="B1050">
        <v>41</v>
      </c>
      <c r="C1050" t="s">
        <v>894</v>
      </c>
      <c r="D1050" t="s">
        <v>4676</v>
      </c>
      <c r="E1050" t="s">
        <v>4677</v>
      </c>
      <c r="F1050" t="s">
        <v>988</v>
      </c>
      <c r="G1050" t="s">
        <v>919</v>
      </c>
    </row>
    <row r="1051" spans="1:7" x14ac:dyDescent="0.25">
      <c r="A1051">
        <v>2926</v>
      </c>
      <c r="B1051">
        <v>41</v>
      </c>
      <c r="C1051" t="s">
        <v>894</v>
      </c>
      <c r="D1051" t="s">
        <v>923</v>
      </c>
      <c r="E1051" t="s">
        <v>4678</v>
      </c>
      <c r="F1051" t="s">
        <v>988</v>
      </c>
      <c r="G1051" t="s">
        <v>4444</v>
      </c>
    </row>
    <row r="1052" spans="1:7" x14ac:dyDescent="0.25">
      <c r="A1052">
        <v>2927</v>
      </c>
      <c r="B1052">
        <v>41</v>
      </c>
      <c r="C1052" t="s">
        <v>894</v>
      </c>
      <c r="D1052" t="s">
        <v>4679</v>
      </c>
      <c r="E1052" t="s">
        <v>4680</v>
      </c>
      <c r="F1052" t="s">
        <v>988</v>
      </c>
      <c r="G1052" t="s">
        <v>4447</v>
      </c>
    </row>
    <row r="1053" spans="1:7" x14ac:dyDescent="0.25">
      <c r="A1053">
        <v>2928</v>
      </c>
      <c r="B1053">
        <v>105</v>
      </c>
      <c r="C1053" t="s">
        <v>898</v>
      </c>
      <c r="D1053" t="s">
        <v>4681</v>
      </c>
      <c r="E1053" t="s">
        <v>4682</v>
      </c>
      <c r="F1053" t="s">
        <v>4683</v>
      </c>
      <c r="G1053" t="s">
        <v>4447</v>
      </c>
    </row>
    <row r="1054" spans="1:7" ht="195" x14ac:dyDescent="0.25">
      <c r="A1054">
        <v>2930</v>
      </c>
      <c r="B1054">
        <v>105</v>
      </c>
      <c r="C1054" t="s">
        <v>898</v>
      </c>
      <c r="D1054" t="s">
        <v>4684</v>
      </c>
      <c r="E1054" s="1" t="s">
        <v>4685</v>
      </c>
      <c r="F1054" t="s">
        <v>4686</v>
      </c>
      <c r="G1054" t="s">
        <v>4445</v>
      </c>
    </row>
    <row r="1055" spans="1:7" ht="105" x14ac:dyDescent="0.25">
      <c r="A1055">
        <v>2931</v>
      </c>
      <c r="B1055">
        <v>105</v>
      </c>
      <c r="C1055" t="s">
        <v>898</v>
      </c>
      <c r="D1055" t="s">
        <v>4687</v>
      </c>
      <c r="E1055" s="1" t="s">
        <v>4688</v>
      </c>
      <c r="F1055" t="s">
        <v>4689</v>
      </c>
    </row>
    <row r="1056" spans="1:7" x14ac:dyDescent="0.25">
      <c r="A1056">
        <v>2932</v>
      </c>
      <c r="B1056">
        <v>105</v>
      </c>
      <c r="C1056" t="s">
        <v>898</v>
      </c>
      <c r="D1056" t="s">
        <v>4690</v>
      </c>
      <c r="E1056" t="s">
        <v>4691</v>
      </c>
      <c r="F1056" t="s">
        <v>4692</v>
      </c>
    </row>
    <row r="1057" spans="1:8" x14ac:dyDescent="0.25">
      <c r="A1057">
        <v>2933</v>
      </c>
      <c r="B1057">
        <v>31</v>
      </c>
      <c r="C1057" t="s">
        <v>898</v>
      </c>
      <c r="D1057" t="s">
        <v>4693</v>
      </c>
      <c r="E1057" t="s">
        <v>4694</v>
      </c>
      <c r="F1057" t="s">
        <v>2023</v>
      </c>
      <c r="G1057" t="s">
        <v>4442</v>
      </c>
    </row>
    <row r="1058" spans="1:8" x14ac:dyDescent="0.25">
      <c r="A1058">
        <v>2935</v>
      </c>
      <c r="B1058">
        <v>24</v>
      </c>
      <c r="C1058" t="s">
        <v>894</v>
      </c>
      <c r="D1058" t="s">
        <v>4695</v>
      </c>
      <c r="E1058" t="s">
        <v>4696</v>
      </c>
      <c r="F1058" t="s">
        <v>951</v>
      </c>
      <c r="G1058" t="s">
        <v>4448</v>
      </c>
      <c r="H1058">
        <v>2500</v>
      </c>
    </row>
    <row r="1059" spans="1:8" x14ac:dyDescent="0.25">
      <c r="A1059">
        <v>2936</v>
      </c>
      <c r="B1059">
        <v>24</v>
      </c>
      <c r="C1059" t="s">
        <v>894</v>
      </c>
      <c r="D1059" t="s">
        <v>4697</v>
      </c>
      <c r="E1059" t="s">
        <v>4698</v>
      </c>
      <c r="F1059" t="s">
        <v>951</v>
      </c>
      <c r="G1059" t="s">
        <v>1084</v>
      </c>
    </row>
    <row r="1060" spans="1:8" x14ac:dyDescent="0.25">
      <c r="A1060">
        <v>2937</v>
      </c>
      <c r="B1060">
        <v>24</v>
      </c>
      <c r="C1060" t="s">
        <v>894</v>
      </c>
      <c r="D1060" t="s">
        <v>4699</v>
      </c>
      <c r="E1060" t="s">
        <v>4700</v>
      </c>
      <c r="F1060" t="s">
        <v>954</v>
      </c>
      <c r="G1060" t="s">
        <v>4447</v>
      </c>
    </row>
    <row r="1061" spans="1:8" x14ac:dyDescent="0.25">
      <c r="A1061">
        <v>2938</v>
      </c>
      <c r="B1061">
        <v>24</v>
      </c>
      <c r="C1061" t="s">
        <v>894</v>
      </c>
      <c r="D1061" t="s">
        <v>4701</v>
      </c>
      <c r="E1061" t="s">
        <v>4702</v>
      </c>
      <c r="F1061" t="s">
        <v>954</v>
      </c>
      <c r="G1061" t="s">
        <v>4447</v>
      </c>
    </row>
    <row r="1062" spans="1:8" x14ac:dyDescent="0.25">
      <c r="A1062">
        <v>2939</v>
      </c>
      <c r="B1062">
        <v>24</v>
      </c>
      <c r="C1062" t="s">
        <v>894</v>
      </c>
      <c r="D1062" t="s">
        <v>1074</v>
      </c>
      <c r="E1062" t="s">
        <v>4703</v>
      </c>
      <c r="F1062" t="s">
        <v>954</v>
      </c>
      <c r="G1062" t="s">
        <v>4444</v>
      </c>
      <c r="H1062">
        <v>6200</v>
      </c>
    </row>
    <row r="1063" spans="1:8" x14ac:dyDescent="0.25">
      <c r="A1063">
        <v>2940</v>
      </c>
      <c r="B1063">
        <v>24</v>
      </c>
      <c r="C1063" t="s">
        <v>894</v>
      </c>
      <c r="D1063" t="s">
        <v>1132</v>
      </c>
      <c r="E1063" t="s">
        <v>4704</v>
      </c>
      <c r="F1063" t="s">
        <v>954</v>
      </c>
      <c r="G1063" t="s">
        <v>4447</v>
      </c>
    </row>
    <row r="1064" spans="1:8" x14ac:dyDescent="0.25">
      <c r="A1064">
        <v>2942</v>
      </c>
      <c r="B1064">
        <v>24</v>
      </c>
      <c r="C1064" t="s">
        <v>894</v>
      </c>
      <c r="D1064" t="s">
        <v>4705</v>
      </c>
      <c r="E1064" t="s">
        <v>4706</v>
      </c>
      <c r="F1064" t="s">
        <v>951</v>
      </c>
      <c r="G1064" t="s">
        <v>1125</v>
      </c>
    </row>
    <row r="1065" spans="1:8" x14ac:dyDescent="0.25">
      <c r="A1065">
        <v>2943</v>
      </c>
      <c r="B1065">
        <v>24</v>
      </c>
      <c r="C1065" t="s">
        <v>894</v>
      </c>
      <c r="D1065" t="s">
        <v>895</v>
      </c>
      <c r="E1065" t="s">
        <v>4707</v>
      </c>
      <c r="F1065" t="s">
        <v>4708</v>
      </c>
      <c r="G1065" t="s">
        <v>4448</v>
      </c>
      <c r="H1065">
        <v>250</v>
      </c>
    </row>
    <row r="1066" spans="1:8" x14ac:dyDescent="0.25">
      <c r="A1066">
        <v>2944</v>
      </c>
      <c r="B1066">
        <v>24</v>
      </c>
      <c r="C1066" t="s">
        <v>894</v>
      </c>
      <c r="D1066" t="s">
        <v>4709</v>
      </c>
      <c r="E1066" t="s">
        <v>4710</v>
      </c>
      <c r="F1066" t="s">
        <v>951</v>
      </c>
      <c r="G1066" t="s">
        <v>4448</v>
      </c>
      <c r="H1066">
        <v>1650</v>
      </c>
    </row>
    <row r="1067" spans="1:8" x14ac:dyDescent="0.25">
      <c r="A1067">
        <v>2945</v>
      </c>
      <c r="B1067">
        <v>24</v>
      </c>
      <c r="C1067" t="s">
        <v>894</v>
      </c>
      <c r="D1067" t="s">
        <v>4711</v>
      </c>
      <c r="E1067" t="s">
        <v>4712</v>
      </c>
      <c r="F1067" t="s">
        <v>951</v>
      </c>
      <c r="G1067" t="s">
        <v>4448</v>
      </c>
      <c r="H1067">
        <v>400</v>
      </c>
    </row>
    <row r="1068" spans="1:8" x14ac:dyDescent="0.25">
      <c r="A1068">
        <v>2947</v>
      </c>
      <c r="B1068">
        <v>24</v>
      </c>
      <c r="C1068" t="s">
        <v>894</v>
      </c>
      <c r="D1068" t="s">
        <v>4713</v>
      </c>
      <c r="E1068" t="s">
        <v>4714</v>
      </c>
      <c r="F1068" t="s">
        <v>951</v>
      </c>
      <c r="G1068" t="s">
        <v>1309</v>
      </c>
      <c r="H1068">
        <v>1</v>
      </c>
    </row>
    <row r="1069" spans="1:8" x14ac:dyDescent="0.25">
      <c r="A1069">
        <v>2948</v>
      </c>
      <c r="B1069">
        <v>24</v>
      </c>
      <c r="C1069" t="s">
        <v>894</v>
      </c>
      <c r="D1069" t="s">
        <v>4715</v>
      </c>
      <c r="E1069" t="s">
        <v>4716</v>
      </c>
      <c r="F1069" t="s">
        <v>951</v>
      </c>
      <c r="G1069" t="s">
        <v>1309</v>
      </c>
      <c r="H1069">
        <v>1</v>
      </c>
    </row>
    <row r="1070" spans="1:8" x14ac:dyDescent="0.25">
      <c r="A1070">
        <v>2949</v>
      </c>
      <c r="B1070">
        <v>644</v>
      </c>
      <c r="C1070" t="s">
        <v>898</v>
      </c>
      <c r="D1070" t="s">
        <v>1137</v>
      </c>
      <c r="F1070" t="s">
        <v>4717</v>
      </c>
      <c r="G1070" t="s">
        <v>4444</v>
      </c>
    </row>
    <row r="1071" spans="1:8" x14ac:dyDescent="0.25">
      <c r="A1071">
        <v>2950</v>
      </c>
      <c r="B1071">
        <v>644</v>
      </c>
      <c r="C1071" t="s">
        <v>898</v>
      </c>
      <c r="D1071" t="s">
        <v>4718</v>
      </c>
      <c r="E1071" t="s">
        <v>4719</v>
      </c>
      <c r="F1071" t="s">
        <v>4717</v>
      </c>
      <c r="G1071" t="s">
        <v>919</v>
      </c>
    </row>
    <row r="1072" spans="1:8" x14ac:dyDescent="0.25">
      <c r="A1072">
        <v>2951</v>
      </c>
      <c r="B1072">
        <v>644</v>
      </c>
      <c r="C1072" t="s">
        <v>898</v>
      </c>
      <c r="D1072" t="s">
        <v>4720</v>
      </c>
      <c r="E1072" t="s">
        <v>4721</v>
      </c>
      <c r="F1072" t="s">
        <v>4717</v>
      </c>
      <c r="G1072" t="s">
        <v>4447</v>
      </c>
    </row>
    <row r="1073" spans="1:7" x14ac:dyDescent="0.25">
      <c r="A1073">
        <v>2952</v>
      </c>
      <c r="B1073">
        <v>644</v>
      </c>
      <c r="C1073" t="s">
        <v>898</v>
      </c>
      <c r="D1073" t="s">
        <v>4722</v>
      </c>
      <c r="F1073" t="s">
        <v>4717</v>
      </c>
      <c r="G1073" t="s">
        <v>4447</v>
      </c>
    </row>
    <row r="1074" spans="1:7" x14ac:dyDescent="0.25">
      <c r="A1074">
        <v>2953</v>
      </c>
      <c r="B1074">
        <v>644</v>
      </c>
      <c r="C1074" t="s">
        <v>898</v>
      </c>
      <c r="D1074" t="s">
        <v>1156</v>
      </c>
      <c r="F1074" t="s">
        <v>4717</v>
      </c>
      <c r="G1074" t="s">
        <v>4442</v>
      </c>
    </row>
    <row r="1075" spans="1:7" x14ac:dyDescent="0.25">
      <c r="A1075">
        <v>2954</v>
      </c>
      <c r="B1075">
        <v>644</v>
      </c>
      <c r="C1075" t="s">
        <v>898</v>
      </c>
      <c r="D1075" t="s">
        <v>4723</v>
      </c>
      <c r="F1075" t="s">
        <v>4717</v>
      </c>
      <c r="G1075" t="s">
        <v>4462</v>
      </c>
    </row>
    <row r="1076" spans="1:7" x14ac:dyDescent="0.25">
      <c r="A1076">
        <v>2955</v>
      </c>
      <c r="B1076">
        <v>644</v>
      </c>
      <c r="C1076" t="s">
        <v>898</v>
      </c>
      <c r="D1076" t="s">
        <v>4724</v>
      </c>
      <c r="F1076" t="s">
        <v>4717</v>
      </c>
      <c r="G1076" t="s">
        <v>4442</v>
      </c>
    </row>
    <row r="1077" spans="1:7" x14ac:dyDescent="0.25">
      <c r="A1077">
        <v>2956</v>
      </c>
      <c r="B1077">
        <v>644</v>
      </c>
      <c r="C1077" t="s">
        <v>898</v>
      </c>
      <c r="D1077" t="s">
        <v>4725</v>
      </c>
      <c r="F1077" t="s">
        <v>4717</v>
      </c>
      <c r="G1077" t="s">
        <v>2758</v>
      </c>
    </row>
    <row r="1078" spans="1:7" x14ac:dyDescent="0.25">
      <c r="A1078">
        <v>2957</v>
      </c>
      <c r="B1078">
        <v>644</v>
      </c>
      <c r="C1078" t="s">
        <v>898</v>
      </c>
      <c r="D1078" t="s">
        <v>4726</v>
      </c>
      <c r="F1078" t="s">
        <v>4717</v>
      </c>
      <c r="G1078" t="s">
        <v>2755</v>
      </c>
    </row>
    <row r="1079" spans="1:7" x14ac:dyDescent="0.25">
      <c r="A1079">
        <v>2958</v>
      </c>
      <c r="B1079">
        <v>401</v>
      </c>
      <c r="C1079" t="s">
        <v>898</v>
      </c>
      <c r="D1079" t="s">
        <v>4727</v>
      </c>
      <c r="E1079" t="s">
        <v>4728</v>
      </c>
      <c r="F1079" t="s">
        <v>1927</v>
      </c>
      <c r="G1079" t="s">
        <v>919</v>
      </c>
    </row>
    <row r="1080" spans="1:7" x14ac:dyDescent="0.25">
      <c r="A1080">
        <v>2959</v>
      </c>
      <c r="B1080">
        <v>401</v>
      </c>
      <c r="C1080" t="s">
        <v>898</v>
      </c>
      <c r="D1080" t="s">
        <v>4729</v>
      </c>
      <c r="E1080" t="s">
        <v>4730</v>
      </c>
      <c r="F1080" t="s">
        <v>4731</v>
      </c>
    </row>
    <row r="1081" spans="1:7" x14ac:dyDescent="0.25">
      <c r="A1081">
        <v>2960</v>
      </c>
      <c r="B1081">
        <v>645</v>
      </c>
      <c r="C1081" t="s">
        <v>898</v>
      </c>
      <c r="D1081" t="s">
        <v>4732</v>
      </c>
      <c r="F1081" t="s">
        <v>4733</v>
      </c>
      <c r="G1081" t="s">
        <v>919</v>
      </c>
    </row>
    <row r="1082" spans="1:7" x14ac:dyDescent="0.25">
      <c r="A1082">
        <v>2961</v>
      </c>
      <c r="B1082">
        <v>646</v>
      </c>
      <c r="C1082" t="s">
        <v>898</v>
      </c>
      <c r="D1082" t="s">
        <v>1479</v>
      </c>
      <c r="E1082" t="s">
        <v>4734</v>
      </c>
      <c r="F1082" t="s">
        <v>4735</v>
      </c>
      <c r="G1082" t="s">
        <v>2758</v>
      </c>
    </row>
    <row r="1083" spans="1:7" x14ac:dyDescent="0.25">
      <c r="A1083">
        <v>2962</v>
      </c>
      <c r="B1083">
        <v>646</v>
      </c>
      <c r="C1083" t="s">
        <v>898</v>
      </c>
      <c r="D1083" t="s">
        <v>1805</v>
      </c>
      <c r="E1083" t="s">
        <v>4736</v>
      </c>
      <c r="F1083" t="s">
        <v>4735</v>
      </c>
      <c r="G1083" t="s">
        <v>4448</v>
      </c>
    </row>
    <row r="1084" spans="1:7" x14ac:dyDescent="0.25">
      <c r="A1084">
        <v>2963</v>
      </c>
      <c r="B1084">
        <v>645</v>
      </c>
      <c r="C1084" t="s">
        <v>898</v>
      </c>
      <c r="D1084" t="s">
        <v>4737</v>
      </c>
      <c r="F1084" t="s">
        <v>4733</v>
      </c>
      <c r="G1084" t="s">
        <v>1457</v>
      </c>
    </row>
    <row r="1085" spans="1:7" x14ac:dyDescent="0.25">
      <c r="A1085">
        <v>2964</v>
      </c>
      <c r="B1085">
        <v>645</v>
      </c>
      <c r="C1085" t="s">
        <v>898</v>
      </c>
      <c r="D1085" t="s">
        <v>4738</v>
      </c>
      <c r="F1085" t="s">
        <v>4733</v>
      </c>
      <c r="G1085" t="s">
        <v>4464</v>
      </c>
    </row>
    <row r="1086" spans="1:7" x14ac:dyDescent="0.25">
      <c r="A1086">
        <v>2965</v>
      </c>
      <c r="B1086">
        <v>646</v>
      </c>
      <c r="C1086" t="s">
        <v>898</v>
      </c>
      <c r="D1086" t="s">
        <v>1137</v>
      </c>
      <c r="F1086" t="s">
        <v>4735</v>
      </c>
      <c r="G1086" t="s">
        <v>4444</v>
      </c>
    </row>
    <row r="1087" spans="1:7" x14ac:dyDescent="0.25">
      <c r="A1087">
        <v>2966</v>
      </c>
      <c r="B1087">
        <v>646</v>
      </c>
      <c r="C1087" t="s">
        <v>898</v>
      </c>
      <c r="D1087" t="s">
        <v>4739</v>
      </c>
      <c r="F1087" t="s">
        <v>4735</v>
      </c>
      <c r="G1087" t="s">
        <v>919</v>
      </c>
    </row>
    <row r="1088" spans="1:7" x14ac:dyDescent="0.25">
      <c r="A1088">
        <v>2967</v>
      </c>
      <c r="B1088">
        <v>646</v>
      </c>
      <c r="C1088" t="s">
        <v>894</v>
      </c>
      <c r="D1088" t="s">
        <v>4740</v>
      </c>
      <c r="E1088" t="s">
        <v>4741</v>
      </c>
      <c r="F1088" t="s">
        <v>4735</v>
      </c>
      <c r="G1088" t="s">
        <v>4447</v>
      </c>
    </row>
    <row r="1089" spans="1:7" x14ac:dyDescent="0.25">
      <c r="A1089">
        <v>2968</v>
      </c>
      <c r="B1089">
        <v>646</v>
      </c>
      <c r="C1089" t="s">
        <v>898</v>
      </c>
      <c r="D1089" t="s">
        <v>4742</v>
      </c>
      <c r="F1089" t="s">
        <v>4735</v>
      </c>
      <c r="G1089" t="s">
        <v>4447</v>
      </c>
    </row>
    <row r="1090" spans="1:7" x14ac:dyDescent="0.25">
      <c r="A1090">
        <v>2969</v>
      </c>
      <c r="B1090">
        <v>646</v>
      </c>
      <c r="C1090" t="s">
        <v>898</v>
      </c>
      <c r="D1090" t="s">
        <v>4743</v>
      </c>
      <c r="F1090" t="s">
        <v>4735</v>
      </c>
      <c r="G1090" t="s">
        <v>4447</v>
      </c>
    </row>
    <row r="1091" spans="1:7" x14ac:dyDescent="0.25">
      <c r="A1091">
        <v>2970</v>
      </c>
      <c r="B1091">
        <v>647</v>
      </c>
      <c r="C1091" t="s">
        <v>898</v>
      </c>
      <c r="D1091" t="s">
        <v>4744</v>
      </c>
      <c r="F1091" t="s">
        <v>4745</v>
      </c>
      <c r="G1091" t="s">
        <v>4441</v>
      </c>
    </row>
    <row r="1092" spans="1:7" x14ac:dyDescent="0.25">
      <c r="A1092">
        <v>2971</v>
      </c>
      <c r="B1092">
        <v>647</v>
      </c>
      <c r="C1092" t="s">
        <v>898</v>
      </c>
      <c r="D1092" t="s">
        <v>1980</v>
      </c>
      <c r="F1092" t="s">
        <v>4745</v>
      </c>
      <c r="G1092" t="s">
        <v>4441</v>
      </c>
    </row>
    <row r="1093" spans="1:7" x14ac:dyDescent="0.25">
      <c r="A1093">
        <v>2974</v>
      </c>
      <c r="B1093">
        <v>647</v>
      </c>
      <c r="C1093" t="s">
        <v>898</v>
      </c>
      <c r="D1093" t="s">
        <v>4746</v>
      </c>
      <c r="F1093" t="s">
        <v>4745</v>
      </c>
      <c r="G1093" t="s">
        <v>1262</v>
      </c>
    </row>
    <row r="1094" spans="1:7" x14ac:dyDescent="0.25">
      <c r="A1094">
        <v>2975</v>
      </c>
      <c r="B1094">
        <v>647</v>
      </c>
      <c r="C1094" t="s">
        <v>898</v>
      </c>
      <c r="D1094" t="s">
        <v>1137</v>
      </c>
      <c r="F1094" t="s">
        <v>4745</v>
      </c>
      <c r="G1094" t="s">
        <v>4444</v>
      </c>
    </row>
    <row r="1095" spans="1:7" x14ac:dyDescent="0.25">
      <c r="A1095">
        <v>2976</v>
      </c>
      <c r="B1095">
        <v>647</v>
      </c>
      <c r="C1095" t="s">
        <v>898</v>
      </c>
      <c r="D1095" t="s">
        <v>1224</v>
      </c>
      <c r="F1095" t="s">
        <v>4747</v>
      </c>
      <c r="G1095" t="s">
        <v>919</v>
      </c>
    </row>
    <row r="1096" spans="1:7" x14ac:dyDescent="0.25">
      <c r="A1096">
        <v>2977</v>
      </c>
      <c r="B1096">
        <v>647</v>
      </c>
      <c r="C1096" t="s">
        <v>898</v>
      </c>
      <c r="D1096" t="s">
        <v>4748</v>
      </c>
      <c r="F1096" t="s">
        <v>4745</v>
      </c>
      <c r="G1096" t="s">
        <v>1670</v>
      </c>
    </row>
    <row r="1097" spans="1:7" x14ac:dyDescent="0.25">
      <c r="A1097">
        <v>2978</v>
      </c>
      <c r="B1097">
        <v>647</v>
      </c>
      <c r="C1097" t="s">
        <v>898</v>
      </c>
      <c r="D1097" t="s">
        <v>4749</v>
      </c>
      <c r="F1097" t="s">
        <v>4745</v>
      </c>
      <c r="G1097" t="s">
        <v>4442</v>
      </c>
    </row>
    <row r="1098" spans="1:7" x14ac:dyDescent="0.25">
      <c r="A1098">
        <v>2979</v>
      </c>
      <c r="B1098">
        <v>647</v>
      </c>
      <c r="C1098" t="s">
        <v>898</v>
      </c>
      <c r="D1098" t="s">
        <v>4750</v>
      </c>
      <c r="F1098" t="s">
        <v>4745</v>
      </c>
      <c r="G1098" t="s">
        <v>4442</v>
      </c>
    </row>
    <row r="1099" spans="1:7" x14ac:dyDescent="0.25">
      <c r="A1099">
        <v>2980</v>
      </c>
      <c r="B1099">
        <v>647</v>
      </c>
      <c r="C1099" t="s">
        <v>898</v>
      </c>
      <c r="D1099" t="s">
        <v>4751</v>
      </c>
      <c r="F1099" t="s">
        <v>4745</v>
      </c>
      <c r="G1099" t="s">
        <v>4443</v>
      </c>
    </row>
    <row r="1100" spans="1:7" x14ac:dyDescent="0.25">
      <c r="A1100">
        <v>2981</v>
      </c>
      <c r="B1100">
        <v>647</v>
      </c>
      <c r="C1100" t="s">
        <v>898</v>
      </c>
      <c r="D1100" t="s">
        <v>4752</v>
      </c>
      <c r="F1100" t="s">
        <v>4747</v>
      </c>
      <c r="G1100" t="s">
        <v>4447</v>
      </c>
    </row>
    <row r="1101" spans="1:7" x14ac:dyDescent="0.25">
      <c r="A1101">
        <v>2983</v>
      </c>
      <c r="B1101">
        <v>648</v>
      </c>
      <c r="C1101" t="s">
        <v>898</v>
      </c>
      <c r="D1101" t="s">
        <v>2710</v>
      </c>
      <c r="E1101" t="s">
        <v>4753</v>
      </c>
      <c r="F1101" t="s">
        <v>4754</v>
      </c>
      <c r="G1101" t="s">
        <v>4444</v>
      </c>
    </row>
    <row r="1102" spans="1:7" x14ac:dyDescent="0.25">
      <c r="A1102">
        <v>2984</v>
      </c>
      <c r="B1102">
        <v>648</v>
      </c>
      <c r="C1102" t="s">
        <v>898</v>
      </c>
      <c r="D1102" t="s">
        <v>2425</v>
      </c>
      <c r="E1102" t="s">
        <v>4755</v>
      </c>
      <c r="F1102" t="s">
        <v>4754</v>
      </c>
      <c r="G1102" t="s">
        <v>919</v>
      </c>
    </row>
    <row r="1103" spans="1:7" x14ac:dyDescent="0.25">
      <c r="A1103">
        <v>2985</v>
      </c>
      <c r="B1103">
        <v>648</v>
      </c>
      <c r="C1103" t="s">
        <v>898</v>
      </c>
      <c r="D1103" t="s">
        <v>1228</v>
      </c>
      <c r="E1103" t="s">
        <v>4756</v>
      </c>
      <c r="F1103" t="s">
        <v>4754</v>
      </c>
      <c r="G1103" t="s">
        <v>4447</v>
      </c>
    </row>
    <row r="1104" spans="1:7" x14ac:dyDescent="0.25">
      <c r="A1104">
        <v>2986</v>
      </c>
      <c r="B1104">
        <v>648</v>
      </c>
      <c r="C1104" t="s">
        <v>898</v>
      </c>
      <c r="D1104" t="s">
        <v>4757</v>
      </c>
      <c r="E1104" t="s">
        <v>4758</v>
      </c>
      <c r="F1104" t="s">
        <v>4754</v>
      </c>
      <c r="G1104" t="s">
        <v>4447</v>
      </c>
    </row>
    <row r="1105" spans="1:7" x14ac:dyDescent="0.25">
      <c r="A1105">
        <v>2987</v>
      </c>
      <c r="B1105">
        <v>648</v>
      </c>
      <c r="C1105" t="s">
        <v>898</v>
      </c>
      <c r="D1105" t="s">
        <v>1980</v>
      </c>
      <c r="E1105" t="s">
        <v>4759</v>
      </c>
      <c r="F1105" t="s">
        <v>4754</v>
      </c>
      <c r="G1105" t="s">
        <v>4441</v>
      </c>
    </row>
    <row r="1106" spans="1:7" x14ac:dyDescent="0.25">
      <c r="A1106">
        <v>2988</v>
      </c>
      <c r="B1106">
        <v>648</v>
      </c>
      <c r="C1106" t="s">
        <v>898</v>
      </c>
      <c r="D1106" t="s">
        <v>4760</v>
      </c>
      <c r="E1106" t="s">
        <v>4761</v>
      </c>
      <c r="F1106" t="s">
        <v>4754</v>
      </c>
      <c r="G1106" t="s">
        <v>4453</v>
      </c>
    </row>
    <row r="1107" spans="1:7" x14ac:dyDescent="0.25">
      <c r="A1107">
        <v>2989</v>
      </c>
      <c r="B1107">
        <v>649</v>
      </c>
      <c r="C1107" t="s">
        <v>898</v>
      </c>
      <c r="D1107" t="s">
        <v>1137</v>
      </c>
      <c r="E1107" t="s">
        <v>4762</v>
      </c>
      <c r="F1107" t="s">
        <v>4763</v>
      </c>
      <c r="G1107" t="s">
        <v>4444</v>
      </c>
    </row>
    <row r="1108" spans="1:7" x14ac:dyDescent="0.25">
      <c r="A1108">
        <v>2990</v>
      </c>
      <c r="B1108">
        <v>649</v>
      </c>
      <c r="C1108" t="s">
        <v>898</v>
      </c>
      <c r="D1108" t="s">
        <v>4764</v>
      </c>
      <c r="F1108" t="s">
        <v>4763</v>
      </c>
      <c r="G1108" t="s">
        <v>919</v>
      </c>
    </row>
    <row r="1109" spans="1:7" x14ac:dyDescent="0.25">
      <c r="A1109">
        <v>2992</v>
      </c>
      <c r="B1109">
        <v>649</v>
      </c>
      <c r="C1109" t="s">
        <v>898</v>
      </c>
      <c r="D1109" t="s">
        <v>4765</v>
      </c>
      <c r="E1109" t="s">
        <v>4766</v>
      </c>
      <c r="F1109" t="s">
        <v>4763</v>
      </c>
      <c r="G1109" t="s">
        <v>4442</v>
      </c>
    </row>
    <row r="1110" spans="1:7" x14ac:dyDescent="0.25">
      <c r="A1110">
        <v>2993</v>
      </c>
      <c r="B1110">
        <v>649</v>
      </c>
      <c r="C1110" t="s">
        <v>898</v>
      </c>
      <c r="D1110" t="s">
        <v>1228</v>
      </c>
      <c r="E1110" t="s">
        <v>4767</v>
      </c>
      <c r="F1110" t="s">
        <v>4763</v>
      </c>
      <c r="G1110" t="s">
        <v>4447</v>
      </c>
    </row>
    <row r="1111" spans="1:7" x14ac:dyDescent="0.25">
      <c r="A1111">
        <v>2994</v>
      </c>
      <c r="B1111">
        <v>649</v>
      </c>
      <c r="C1111" t="s">
        <v>898</v>
      </c>
      <c r="D1111" t="s">
        <v>4768</v>
      </c>
      <c r="E1111" t="s">
        <v>4769</v>
      </c>
      <c r="F1111" t="s">
        <v>4763</v>
      </c>
      <c r="G1111" t="s">
        <v>4447</v>
      </c>
    </row>
    <row r="1112" spans="1:7" x14ac:dyDescent="0.25">
      <c r="A1112">
        <v>2995</v>
      </c>
      <c r="B1112">
        <v>649</v>
      </c>
      <c r="C1112" t="s">
        <v>898</v>
      </c>
      <c r="D1112" t="s">
        <v>4770</v>
      </c>
      <c r="E1112" t="s">
        <v>4771</v>
      </c>
      <c r="F1112" t="s">
        <v>4763</v>
      </c>
      <c r="G1112" t="s">
        <v>4441</v>
      </c>
    </row>
    <row r="1113" spans="1:7" x14ac:dyDescent="0.25">
      <c r="A1113">
        <v>2996</v>
      </c>
      <c r="B1113">
        <v>650</v>
      </c>
      <c r="C1113" t="s">
        <v>898</v>
      </c>
      <c r="D1113" t="s">
        <v>4772</v>
      </c>
      <c r="E1113" t="s">
        <v>4773</v>
      </c>
      <c r="F1113" t="s">
        <v>4774</v>
      </c>
      <c r="G1113" t="s">
        <v>1670</v>
      </c>
    </row>
    <row r="1114" spans="1:7" x14ac:dyDescent="0.25">
      <c r="A1114">
        <v>2997</v>
      </c>
      <c r="B1114">
        <v>650</v>
      </c>
      <c r="C1114" t="s">
        <v>898</v>
      </c>
      <c r="D1114" t="s">
        <v>2642</v>
      </c>
      <c r="E1114" t="s">
        <v>4775</v>
      </c>
      <c r="F1114" t="s">
        <v>4774</v>
      </c>
      <c r="G1114" t="s">
        <v>4445</v>
      </c>
    </row>
    <row r="1115" spans="1:7" x14ac:dyDescent="0.25">
      <c r="A1115">
        <v>3000</v>
      </c>
      <c r="B1115">
        <v>650</v>
      </c>
      <c r="C1115" t="s">
        <v>898</v>
      </c>
      <c r="D1115" t="s">
        <v>4776</v>
      </c>
      <c r="E1115" t="s">
        <v>4777</v>
      </c>
      <c r="F1115" t="s">
        <v>4774</v>
      </c>
      <c r="G1115" t="s">
        <v>1262</v>
      </c>
    </row>
    <row r="1116" spans="1:7" x14ac:dyDescent="0.25">
      <c r="A1116">
        <v>3002</v>
      </c>
      <c r="B1116">
        <v>650</v>
      </c>
      <c r="C1116" t="s">
        <v>898</v>
      </c>
      <c r="D1116" t="s">
        <v>1815</v>
      </c>
      <c r="E1116" t="s">
        <v>4778</v>
      </c>
      <c r="F1116" t="s">
        <v>4774</v>
      </c>
      <c r="G1116" t="s">
        <v>4441</v>
      </c>
    </row>
    <row r="1117" spans="1:7" x14ac:dyDescent="0.25">
      <c r="A1117">
        <v>3004</v>
      </c>
      <c r="B1117">
        <v>650</v>
      </c>
      <c r="C1117" t="s">
        <v>898</v>
      </c>
      <c r="D1117" t="s">
        <v>4779</v>
      </c>
      <c r="E1117" t="s">
        <v>4780</v>
      </c>
      <c r="F1117" t="s">
        <v>4774</v>
      </c>
      <c r="G1117" t="s">
        <v>2758</v>
      </c>
    </row>
    <row r="1118" spans="1:7" x14ac:dyDescent="0.25">
      <c r="A1118">
        <v>3005</v>
      </c>
      <c r="B1118">
        <v>650</v>
      </c>
      <c r="C1118" t="s">
        <v>898</v>
      </c>
      <c r="D1118" t="s">
        <v>4781</v>
      </c>
      <c r="E1118" t="s">
        <v>4782</v>
      </c>
      <c r="F1118" t="s">
        <v>4774</v>
      </c>
      <c r="G1118" t="s">
        <v>4444</v>
      </c>
    </row>
    <row r="1119" spans="1:7" x14ac:dyDescent="0.25">
      <c r="A1119">
        <v>3006</v>
      </c>
      <c r="B1119">
        <v>650</v>
      </c>
      <c r="C1119" t="s">
        <v>898</v>
      </c>
      <c r="D1119" t="s">
        <v>4783</v>
      </c>
      <c r="E1119" t="s">
        <v>4784</v>
      </c>
      <c r="F1119" t="s">
        <v>4774</v>
      </c>
      <c r="G1119" t="s">
        <v>919</v>
      </c>
    </row>
    <row r="1120" spans="1:7" x14ac:dyDescent="0.25">
      <c r="A1120">
        <v>3007</v>
      </c>
      <c r="B1120">
        <v>651</v>
      </c>
      <c r="C1120" t="s">
        <v>898</v>
      </c>
      <c r="D1120" t="s">
        <v>4785</v>
      </c>
      <c r="E1120" t="s">
        <v>4786</v>
      </c>
      <c r="F1120" t="s">
        <v>4787</v>
      </c>
      <c r="G1120" t="s">
        <v>919</v>
      </c>
    </row>
    <row r="1121" spans="1:7" x14ac:dyDescent="0.25">
      <c r="A1121">
        <v>3008</v>
      </c>
      <c r="B1121">
        <v>651</v>
      </c>
      <c r="C1121" t="s">
        <v>898</v>
      </c>
      <c r="D1121" t="s">
        <v>1137</v>
      </c>
      <c r="E1121" t="s">
        <v>4786</v>
      </c>
      <c r="F1121" t="s">
        <v>4787</v>
      </c>
      <c r="G1121" t="s">
        <v>4444</v>
      </c>
    </row>
    <row r="1122" spans="1:7" x14ac:dyDescent="0.25">
      <c r="A1122">
        <v>3010</v>
      </c>
      <c r="B1122">
        <v>651</v>
      </c>
      <c r="C1122" t="s">
        <v>898</v>
      </c>
      <c r="D1122" t="s">
        <v>4788</v>
      </c>
      <c r="F1122" t="s">
        <v>4787</v>
      </c>
      <c r="G1122" t="s">
        <v>4448</v>
      </c>
    </row>
    <row r="1123" spans="1:7" x14ac:dyDescent="0.25">
      <c r="A1123">
        <v>3011</v>
      </c>
      <c r="B1123">
        <v>651</v>
      </c>
      <c r="C1123" t="s">
        <v>898</v>
      </c>
      <c r="D1123" t="s">
        <v>4789</v>
      </c>
      <c r="F1123" t="s">
        <v>4787</v>
      </c>
      <c r="G1123" t="s">
        <v>4442</v>
      </c>
    </row>
    <row r="1124" spans="1:7" x14ac:dyDescent="0.25">
      <c r="A1124">
        <v>3012</v>
      </c>
      <c r="B1124">
        <v>651</v>
      </c>
      <c r="C1124" t="s">
        <v>898</v>
      </c>
      <c r="D1124" t="s">
        <v>4790</v>
      </c>
      <c r="F1124" t="s">
        <v>4787</v>
      </c>
      <c r="G1124" t="s">
        <v>4442</v>
      </c>
    </row>
    <row r="1125" spans="1:7" x14ac:dyDescent="0.25">
      <c r="A1125">
        <v>3013</v>
      </c>
      <c r="B1125">
        <v>651</v>
      </c>
      <c r="C1125" t="s">
        <v>898</v>
      </c>
      <c r="D1125" t="s">
        <v>4791</v>
      </c>
      <c r="F1125" t="s">
        <v>4787</v>
      </c>
      <c r="G1125" t="s">
        <v>4447</v>
      </c>
    </row>
    <row r="1126" spans="1:7" x14ac:dyDescent="0.25">
      <c r="A1126">
        <v>3014</v>
      </c>
      <c r="B1126">
        <v>651</v>
      </c>
      <c r="C1126" t="s">
        <v>898</v>
      </c>
      <c r="D1126" t="s">
        <v>4792</v>
      </c>
      <c r="E1126" t="s">
        <v>4793</v>
      </c>
      <c r="F1126" t="s">
        <v>4787</v>
      </c>
      <c r="G1126" t="s">
        <v>4447</v>
      </c>
    </row>
    <row r="1127" spans="1:7" x14ac:dyDescent="0.25">
      <c r="A1127">
        <v>3016</v>
      </c>
      <c r="B1127">
        <v>651</v>
      </c>
      <c r="C1127" t="s">
        <v>898</v>
      </c>
      <c r="D1127" t="s">
        <v>4794</v>
      </c>
      <c r="F1127" t="s">
        <v>4787</v>
      </c>
      <c r="G1127" t="s">
        <v>1457</v>
      </c>
    </row>
    <row r="1128" spans="1:7" x14ac:dyDescent="0.25">
      <c r="A1128">
        <v>3017</v>
      </c>
      <c r="B1128">
        <v>651</v>
      </c>
      <c r="C1128" t="s">
        <v>898</v>
      </c>
      <c r="D1128" t="s">
        <v>4746</v>
      </c>
      <c r="F1128" t="s">
        <v>4787</v>
      </c>
      <c r="G1128" t="s">
        <v>1262</v>
      </c>
    </row>
    <row r="1129" spans="1:7" x14ac:dyDescent="0.25">
      <c r="A1129">
        <v>3018</v>
      </c>
      <c r="B1129">
        <v>651</v>
      </c>
      <c r="C1129" t="s">
        <v>898</v>
      </c>
      <c r="D1129" t="s">
        <v>4795</v>
      </c>
      <c r="F1129" t="s">
        <v>4787</v>
      </c>
      <c r="G1129" t="s">
        <v>4440</v>
      </c>
    </row>
    <row r="1130" spans="1:7" x14ac:dyDescent="0.25">
      <c r="A1130">
        <v>3020</v>
      </c>
      <c r="B1130">
        <v>651</v>
      </c>
      <c r="C1130" t="s">
        <v>898</v>
      </c>
      <c r="D1130" t="s">
        <v>4796</v>
      </c>
      <c r="F1130" t="s">
        <v>4787</v>
      </c>
      <c r="G1130" t="s">
        <v>4445</v>
      </c>
    </row>
    <row r="1131" spans="1:7" x14ac:dyDescent="0.25">
      <c r="A1131">
        <v>3023</v>
      </c>
      <c r="B1131">
        <v>652</v>
      </c>
      <c r="C1131" t="s">
        <v>898</v>
      </c>
      <c r="D1131" t="s">
        <v>4797</v>
      </c>
      <c r="F1131" t="s">
        <v>4798</v>
      </c>
      <c r="G1131" t="s">
        <v>2758</v>
      </c>
    </row>
    <row r="1132" spans="1:7" x14ac:dyDescent="0.25">
      <c r="A1132">
        <v>3024</v>
      </c>
      <c r="B1132">
        <v>652</v>
      </c>
      <c r="C1132" t="s">
        <v>898</v>
      </c>
      <c r="D1132" t="s">
        <v>4799</v>
      </c>
      <c r="F1132" t="s">
        <v>4798</v>
      </c>
      <c r="G1132" t="s">
        <v>4442</v>
      </c>
    </row>
    <row r="1133" spans="1:7" x14ac:dyDescent="0.25">
      <c r="A1133">
        <v>3025</v>
      </c>
      <c r="B1133">
        <v>652</v>
      </c>
      <c r="C1133" t="s">
        <v>898</v>
      </c>
      <c r="D1133" t="s">
        <v>4800</v>
      </c>
      <c r="F1133" t="s">
        <v>4798</v>
      </c>
      <c r="G1133" t="s">
        <v>4442</v>
      </c>
    </row>
    <row r="1134" spans="1:7" x14ac:dyDescent="0.25">
      <c r="A1134">
        <v>3026</v>
      </c>
      <c r="B1134">
        <v>652</v>
      </c>
      <c r="C1134" t="s">
        <v>898</v>
      </c>
      <c r="D1134" t="s">
        <v>1137</v>
      </c>
      <c r="F1134" t="s">
        <v>4798</v>
      </c>
      <c r="G1134" t="s">
        <v>4444</v>
      </c>
    </row>
    <row r="1135" spans="1:7" x14ac:dyDescent="0.25">
      <c r="A1135">
        <v>3027</v>
      </c>
      <c r="B1135">
        <v>652</v>
      </c>
      <c r="C1135" t="s">
        <v>898</v>
      </c>
      <c r="D1135" t="s">
        <v>4783</v>
      </c>
      <c r="F1135" t="s">
        <v>4798</v>
      </c>
      <c r="G1135" t="s">
        <v>919</v>
      </c>
    </row>
    <row r="1136" spans="1:7" x14ac:dyDescent="0.25">
      <c r="A1136">
        <v>3028</v>
      </c>
      <c r="B1136">
        <v>652</v>
      </c>
      <c r="C1136" t="s">
        <v>898</v>
      </c>
      <c r="D1136" t="s">
        <v>1376</v>
      </c>
      <c r="F1136" t="s">
        <v>4798</v>
      </c>
      <c r="G1136" t="s">
        <v>4447</v>
      </c>
    </row>
    <row r="1137" spans="1:7" x14ac:dyDescent="0.25">
      <c r="A1137">
        <v>3029</v>
      </c>
      <c r="B1137">
        <v>652</v>
      </c>
      <c r="C1137" t="s">
        <v>898</v>
      </c>
      <c r="D1137" t="s">
        <v>4801</v>
      </c>
      <c r="F1137" t="s">
        <v>4798</v>
      </c>
      <c r="G1137" t="s">
        <v>4447</v>
      </c>
    </row>
    <row r="1138" spans="1:7" x14ac:dyDescent="0.25">
      <c r="A1138">
        <v>3030</v>
      </c>
      <c r="B1138">
        <v>652</v>
      </c>
      <c r="C1138" t="s">
        <v>898</v>
      </c>
      <c r="D1138" t="s">
        <v>4802</v>
      </c>
      <c r="F1138" t="s">
        <v>4798</v>
      </c>
      <c r="G1138" t="s">
        <v>4447</v>
      </c>
    </row>
    <row r="1139" spans="1:7" x14ac:dyDescent="0.25">
      <c r="A1139">
        <v>3031</v>
      </c>
      <c r="B1139">
        <v>652</v>
      </c>
      <c r="C1139" t="s">
        <v>898</v>
      </c>
      <c r="D1139" t="s">
        <v>4803</v>
      </c>
      <c r="F1139" t="s">
        <v>4798</v>
      </c>
      <c r="G1139" t="s">
        <v>4447</v>
      </c>
    </row>
    <row r="1140" spans="1:7" x14ac:dyDescent="0.25">
      <c r="A1140">
        <v>3032</v>
      </c>
      <c r="B1140">
        <v>652</v>
      </c>
      <c r="C1140" t="s">
        <v>898</v>
      </c>
      <c r="D1140" t="s">
        <v>1707</v>
      </c>
      <c r="F1140" t="s">
        <v>4798</v>
      </c>
      <c r="G1140" t="s">
        <v>4447</v>
      </c>
    </row>
    <row r="1141" spans="1:7" x14ac:dyDescent="0.25">
      <c r="A1141">
        <v>3033</v>
      </c>
      <c r="B1141">
        <v>652</v>
      </c>
      <c r="C1141" t="s">
        <v>898</v>
      </c>
      <c r="D1141" t="s">
        <v>1815</v>
      </c>
      <c r="F1141" t="s">
        <v>4798</v>
      </c>
      <c r="G1141" t="s">
        <v>4441</v>
      </c>
    </row>
    <row r="1142" spans="1:7" x14ac:dyDescent="0.25">
      <c r="A1142">
        <v>3034</v>
      </c>
      <c r="B1142">
        <v>652</v>
      </c>
      <c r="C1142" t="s">
        <v>898</v>
      </c>
      <c r="D1142" t="s">
        <v>4804</v>
      </c>
      <c r="F1142" t="s">
        <v>4798</v>
      </c>
      <c r="G1142" t="s">
        <v>4441</v>
      </c>
    </row>
    <row r="1143" spans="1:7" x14ac:dyDescent="0.25">
      <c r="A1143">
        <v>3035</v>
      </c>
      <c r="B1143">
        <v>652</v>
      </c>
      <c r="C1143" t="s">
        <v>898</v>
      </c>
      <c r="D1143" t="s">
        <v>4805</v>
      </c>
      <c r="F1143" t="s">
        <v>4798</v>
      </c>
      <c r="G1143" t="s">
        <v>4456</v>
      </c>
    </row>
    <row r="1144" spans="1:7" x14ac:dyDescent="0.25">
      <c r="A1144">
        <v>3036</v>
      </c>
      <c r="B1144">
        <v>652</v>
      </c>
      <c r="C1144" t="s">
        <v>898</v>
      </c>
      <c r="D1144" t="s">
        <v>2669</v>
      </c>
      <c r="F1144" t="s">
        <v>4798</v>
      </c>
    </row>
    <row r="1145" spans="1:7" x14ac:dyDescent="0.25">
      <c r="A1145">
        <v>3037</v>
      </c>
      <c r="B1145">
        <v>652</v>
      </c>
      <c r="C1145" t="s">
        <v>898</v>
      </c>
      <c r="D1145" t="s">
        <v>1818</v>
      </c>
      <c r="F1145" t="s">
        <v>4798</v>
      </c>
    </row>
    <row r="1146" spans="1:7" x14ac:dyDescent="0.25">
      <c r="A1146">
        <v>3038</v>
      </c>
      <c r="B1146">
        <v>652</v>
      </c>
      <c r="C1146" t="s">
        <v>898</v>
      </c>
      <c r="D1146" t="s">
        <v>1924</v>
      </c>
      <c r="F1146" t="s">
        <v>4798</v>
      </c>
      <c r="G1146" t="s">
        <v>4453</v>
      </c>
    </row>
    <row r="1147" spans="1:7" x14ac:dyDescent="0.25">
      <c r="A1147">
        <v>3039</v>
      </c>
      <c r="B1147">
        <v>652</v>
      </c>
      <c r="C1147" t="s">
        <v>898</v>
      </c>
      <c r="D1147" t="s">
        <v>4806</v>
      </c>
      <c r="F1147" t="s">
        <v>4798</v>
      </c>
      <c r="G1147" t="s">
        <v>1262</v>
      </c>
    </row>
    <row r="1148" spans="1:7" x14ac:dyDescent="0.25">
      <c r="A1148">
        <v>3040</v>
      </c>
      <c r="B1148">
        <v>652</v>
      </c>
      <c r="C1148" t="s">
        <v>898</v>
      </c>
      <c r="D1148" t="s">
        <v>2645</v>
      </c>
      <c r="F1148" t="s">
        <v>4798</v>
      </c>
      <c r="G1148" t="s">
        <v>4440</v>
      </c>
    </row>
    <row r="1149" spans="1:7" x14ac:dyDescent="0.25">
      <c r="A1149">
        <v>3041</v>
      </c>
      <c r="B1149">
        <v>300</v>
      </c>
      <c r="C1149" t="s">
        <v>894</v>
      </c>
      <c r="D1149" t="s">
        <v>895</v>
      </c>
      <c r="E1149" t="s">
        <v>4807</v>
      </c>
      <c r="F1149" t="s">
        <v>1476</v>
      </c>
      <c r="G1149" t="s">
        <v>4448</v>
      </c>
    </row>
    <row r="1150" spans="1:7" x14ac:dyDescent="0.25">
      <c r="A1150">
        <v>3042</v>
      </c>
      <c r="B1150">
        <v>300</v>
      </c>
      <c r="C1150" t="s">
        <v>894</v>
      </c>
      <c r="D1150" t="s">
        <v>4808</v>
      </c>
      <c r="E1150" t="s">
        <v>4809</v>
      </c>
      <c r="F1150" t="s">
        <v>1476</v>
      </c>
      <c r="G1150" t="s">
        <v>4447</v>
      </c>
    </row>
    <row r="1151" spans="1:7" x14ac:dyDescent="0.25">
      <c r="A1151">
        <v>3043</v>
      </c>
      <c r="B1151">
        <v>300</v>
      </c>
      <c r="C1151" t="s">
        <v>894</v>
      </c>
      <c r="D1151" t="s">
        <v>4810</v>
      </c>
      <c r="E1151" t="s">
        <v>4811</v>
      </c>
      <c r="F1151" t="s">
        <v>1476</v>
      </c>
      <c r="G1151" t="s">
        <v>4447</v>
      </c>
    </row>
    <row r="1152" spans="1:7" x14ac:dyDescent="0.25">
      <c r="A1152">
        <v>3044</v>
      </c>
      <c r="B1152">
        <v>300</v>
      </c>
      <c r="C1152" t="s">
        <v>894</v>
      </c>
      <c r="D1152" t="s">
        <v>4812</v>
      </c>
      <c r="E1152" t="s">
        <v>4813</v>
      </c>
      <c r="F1152" t="s">
        <v>1476</v>
      </c>
      <c r="G1152" t="s">
        <v>919</v>
      </c>
    </row>
    <row r="1153" spans="1:7" x14ac:dyDescent="0.25">
      <c r="A1153">
        <v>3045</v>
      </c>
      <c r="B1153">
        <v>300</v>
      </c>
      <c r="C1153" t="s">
        <v>894</v>
      </c>
      <c r="D1153" t="s">
        <v>4814</v>
      </c>
      <c r="E1153" t="s">
        <v>4815</v>
      </c>
      <c r="F1153" t="s">
        <v>1476</v>
      </c>
      <c r="G1153" t="s">
        <v>4442</v>
      </c>
    </row>
    <row r="1154" spans="1:7" x14ac:dyDescent="0.25">
      <c r="A1154">
        <v>3046</v>
      </c>
      <c r="B1154">
        <v>300</v>
      </c>
      <c r="C1154" t="s">
        <v>894</v>
      </c>
      <c r="D1154" t="s">
        <v>1468</v>
      </c>
      <c r="E1154" t="s">
        <v>4816</v>
      </c>
      <c r="F1154" t="s">
        <v>1476</v>
      </c>
      <c r="G1154" t="s">
        <v>1262</v>
      </c>
    </row>
    <row r="1155" spans="1:7" x14ac:dyDescent="0.25">
      <c r="A1155">
        <v>3048</v>
      </c>
      <c r="B1155">
        <v>487</v>
      </c>
      <c r="C1155" t="s">
        <v>898</v>
      </c>
      <c r="D1155" t="s">
        <v>4817</v>
      </c>
      <c r="F1155" t="s">
        <v>2066</v>
      </c>
      <c r="G1155" t="s">
        <v>1670</v>
      </c>
    </row>
    <row r="1156" spans="1:7" x14ac:dyDescent="0.25">
      <c r="A1156">
        <v>3049</v>
      </c>
      <c r="B1156">
        <v>487</v>
      </c>
      <c r="C1156" t="s">
        <v>898</v>
      </c>
      <c r="D1156" t="s">
        <v>4818</v>
      </c>
      <c r="E1156" t="s">
        <v>4819</v>
      </c>
      <c r="F1156" t="s">
        <v>2066</v>
      </c>
      <c r="G1156" t="s">
        <v>4454</v>
      </c>
    </row>
    <row r="1157" spans="1:7" x14ac:dyDescent="0.25">
      <c r="A1157">
        <v>3050</v>
      </c>
      <c r="B1157">
        <v>487</v>
      </c>
      <c r="C1157" t="s">
        <v>898</v>
      </c>
      <c r="D1157" t="s">
        <v>4820</v>
      </c>
      <c r="F1157" t="s">
        <v>2066</v>
      </c>
      <c r="G1157" t="s">
        <v>4441</v>
      </c>
    </row>
    <row r="1158" spans="1:7" x14ac:dyDescent="0.25">
      <c r="A1158">
        <v>3051</v>
      </c>
      <c r="B1158">
        <v>487</v>
      </c>
      <c r="C1158" t="s">
        <v>898</v>
      </c>
      <c r="D1158" t="s">
        <v>4821</v>
      </c>
      <c r="F1158" t="s">
        <v>2066</v>
      </c>
      <c r="G1158" t="s">
        <v>4456</v>
      </c>
    </row>
    <row r="1159" spans="1:7" x14ac:dyDescent="0.25">
      <c r="A1159">
        <v>3052</v>
      </c>
      <c r="B1159">
        <v>487</v>
      </c>
      <c r="C1159" t="s">
        <v>898</v>
      </c>
      <c r="D1159" t="s">
        <v>4822</v>
      </c>
      <c r="F1159" t="s">
        <v>2066</v>
      </c>
      <c r="G1159" t="s">
        <v>4440</v>
      </c>
    </row>
    <row r="1160" spans="1:7" x14ac:dyDescent="0.25">
      <c r="A1160">
        <v>3053</v>
      </c>
      <c r="B1160">
        <v>487</v>
      </c>
      <c r="C1160" t="s">
        <v>898</v>
      </c>
      <c r="D1160" t="s">
        <v>4823</v>
      </c>
      <c r="F1160" t="s">
        <v>2066</v>
      </c>
      <c r="G1160" t="s">
        <v>2756</v>
      </c>
    </row>
    <row r="1161" spans="1:7" x14ac:dyDescent="0.25">
      <c r="A1161">
        <v>3054</v>
      </c>
      <c r="B1161">
        <v>653</v>
      </c>
      <c r="C1161" t="s">
        <v>898</v>
      </c>
      <c r="D1161" t="s">
        <v>4824</v>
      </c>
      <c r="E1161" t="s">
        <v>4825</v>
      </c>
      <c r="F1161" t="s">
        <v>4826</v>
      </c>
      <c r="G1161" t="s">
        <v>4447</v>
      </c>
    </row>
    <row r="1162" spans="1:7" x14ac:dyDescent="0.25">
      <c r="A1162">
        <v>3055</v>
      </c>
      <c r="B1162">
        <v>653</v>
      </c>
      <c r="C1162" t="s">
        <v>898</v>
      </c>
      <c r="D1162" t="s">
        <v>4746</v>
      </c>
      <c r="E1162" t="s">
        <v>4827</v>
      </c>
      <c r="F1162" t="s">
        <v>4826</v>
      </c>
      <c r="G1162" t="s">
        <v>1262</v>
      </c>
    </row>
    <row r="1163" spans="1:7" x14ac:dyDescent="0.25">
      <c r="A1163">
        <v>3056</v>
      </c>
      <c r="B1163">
        <v>653</v>
      </c>
      <c r="C1163" t="s">
        <v>898</v>
      </c>
      <c r="D1163" t="s">
        <v>4828</v>
      </c>
      <c r="E1163" t="s">
        <v>4829</v>
      </c>
      <c r="F1163" t="s">
        <v>4826</v>
      </c>
      <c r="G1163" t="s">
        <v>2758</v>
      </c>
    </row>
    <row r="1164" spans="1:7" x14ac:dyDescent="0.25">
      <c r="A1164">
        <v>3057</v>
      </c>
      <c r="B1164">
        <v>653</v>
      </c>
      <c r="C1164" t="s">
        <v>898</v>
      </c>
      <c r="D1164" t="s">
        <v>1973</v>
      </c>
      <c r="E1164" t="s">
        <v>4830</v>
      </c>
      <c r="F1164" t="s">
        <v>4826</v>
      </c>
      <c r="G1164" t="s">
        <v>919</v>
      </c>
    </row>
    <row r="1165" spans="1:7" x14ac:dyDescent="0.25">
      <c r="A1165">
        <v>3058</v>
      </c>
      <c r="B1165">
        <v>653</v>
      </c>
      <c r="C1165" t="s">
        <v>898</v>
      </c>
      <c r="D1165" t="s">
        <v>4831</v>
      </c>
      <c r="E1165" t="s">
        <v>4832</v>
      </c>
      <c r="F1165" t="s">
        <v>4826</v>
      </c>
      <c r="G1165" t="s">
        <v>4444</v>
      </c>
    </row>
    <row r="1166" spans="1:7" x14ac:dyDescent="0.25">
      <c r="A1166">
        <v>3059</v>
      </c>
      <c r="B1166">
        <v>653</v>
      </c>
      <c r="C1166" t="s">
        <v>898</v>
      </c>
      <c r="D1166" t="s">
        <v>4833</v>
      </c>
      <c r="E1166" t="s">
        <v>4834</v>
      </c>
      <c r="F1166" t="s">
        <v>4826</v>
      </c>
      <c r="G1166" t="s">
        <v>1125</v>
      </c>
    </row>
    <row r="1167" spans="1:7" ht="105" x14ac:dyDescent="0.25">
      <c r="A1167">
        <v>3060</v>
      </c>
      <c r="B1167">
        <v>119</v>
      </c>
      <c r="C1167" t="s">
        <v>898</v>
      </c>
      <c r="D1167" t="s">
        <v>4835</v>
      </c>
      <c r="E1167" s="1" t="s">
        <v>4836</v>
      </c>
      <c r="F1167" t="s">
        <v>1738</v>
      </c>
      <c r="G1167" t="s">
        <v>4447</v>
      </c>
    </row>
    <row r="1168" spans="1:7" x14ac:dyDescent="0.25">
      <c r="A1168">
        <v>3061</v>
      </c>
      <c r="B1168">
        <v>119</v>
      </c>
      <c r="C1168" t="s">
        <v>898</v>
      </c>
      <c r="D1168" t="s">
        <v>4837</v>
      </c>
      <c r="E1168" t="s">
        <v>4838</v>
      </c>
      <c r="F1168" t="s">
        <v>4839</v>
      </c>
    </row>
    <row r="1169" spans="1:7" x14ac:dyDescent="0.25">
      <c r="A1169">
        <v>3062</v>
      </c>
      <c r="B1169">
        <v>119</v>
      </c>
      <c r="C1169" t="s">
        <v>898</v>
      </c>
      <c r="D1169" t="s">
        <v>4840</v>
      </c>
      <c r="E1169" t="s">
        <v>4841</v>
      </c>
      <c r="F1169" t="s">
        <v>1817</v>
      </c>
      <c r="G1169" t="s">
        <v>4441</v>
      </c>
    </row>
    <row r="1170" spans="1:7" x14ac:dyDescent="0.25">
      <c r="A1170">
        <v>3063</v>
      </c>
      <c r="B1170">
        <v>119</v>
      </c>
      <c r="C1170" t="s">
        <v>898</v>
      </c>
      <c r="D1170" t="s">
        <v>4805</v>
      </c>
      <c r="E1170" t="s">
        <v>4842</v>
      </c>
      <c r="F1170" t="s">
        <v>1817</v>
      </c>
      <c r="G1170" t="s">
        <v>4456</v>
      </c>
    </row>
    <row r="1171" spans="1:7" x14ac:dyDescent="0.25">
      <c r="A1171">
        <v>3064</v>
      </c>
      <c r="B1171">
        <v>119</v>
      </c>
      <c r="C1171" t="s">
        <v>898</v>
      </c>
      <c r="D1171" t="s">
        <v>4843</v>
      </c>
      <c r="E1171" t="s">
        <v>4844</v>
      </c>
      <c r="F1171" t="s">
        <v>1817</v>
      </c>
      <c r="G1171" t="s">
        <v>4451</v>
      </c>
    </row>
    <row r="1172" spans="1:7" ht="60" x14ac:dyDescent="0.25">
      <c r="A1172">
        <v>3065</v>
      </c>
      <c r="B1172">
        <v>119</v>
      </c>
      <c r="C1172" t="s">
        <v>898</v>
      </c>
      <c r="D1172" t="s">
        <v>4845</v>
      </c>
      <c r="E1172" s="1" t="s">
        <v>4846</v>
      </c>
      <c r="F1172" t="s">
        <v>1817</v>
      </c>
      <c r="G1172" t="s">
        <v>4440</v>
      </c>
    </row>
    <row r="1173" spans="1:7" ht="60" x14ac:dyDescent="0.25">
      <c r="A1173">
        <v>3066</v>
      </c>
      <c r="B1173">
        <v>119</v>
      </c>
      <c r="C1173" t="s">
        <v>898</v>
      </c>
      <c r="D1173" t="s">
        <v>2642</v>
      </c>
      <c r="E1173" s="1" t="s">
        <v>4847</v>
      </c>
      <c r="F1173" t="s">
        <v>1817</v>
      </c>
      <c r="G1173" t="s">
        <v>4445</v>
      </c>
    </row>
    <row r="1174" spans="1:7" ht="120" x14ac:dyDescent="0.25">
      <c r="A1174">
        <v>3067</v>
      </c>
      <c r="B1174">
        <v>119</v>
      </c>
      <c r="C1174" t="s">
        <v>898</v>
      </c>
      <c r="D1174" t="s">
        <v>4848</v>
      </c>
      <c r="E1174" s="1" t="s">
        <v>4849</v>
      </c>
      <c r="F1174" t="s">
        <v>4850</v>
      </c>
      <c r="G1174" t="s">
        <v>4454</v>
      </c>
    </row>
    <row r="1175" spans="1:7" ht="150" x14ac:dyDescent="0.25">
      <c r="A1175">
        <v>3068</v>
      </c>
      <c r="B1175">
        <v>119</v>
      </c>
      <c r="C1175" t="s">
        <v>898</v>
      </c>
      <c r="D1175" t="s">
        <v>4851</v>
      </c>
      <c r="E1175" s="1" t="s">
        <v>4852</v>
      </c>
      <c r="F1175" t="s">
        <v>4850</v>
      </c>
      <c r="G1175" t="s">
        <v>4454</v>
      </c>
    </row>
    <row r="1176" spans="1:7" x14ac:dyDescent="0.25">
      <c r="A1176">
        <v>3069</v>
      </c>
      <c r="B1176">
        <v>119</v>
      </c>
      <c r="C1176" t="s">
        <v>898</v>
      </c>
      <c r="D1176" t="s">
        <v>4853</v>
      </c>
      <c r="E1176" t="s">
        <v>4854</v>
      </c>
      <c r="F1176" t="s">
        <v>4855</v>
      </c>
      <c r="G1176" t="s">
        <v>2755</v>
      </c>
    </row>
    <row r="1177" spans="1:7" x14ac:dyDescent="0.25">
      <c r="A1177">
        <v>3072</v>
      </c>
      <c r="B1177">
        <v>655</v>
      </c>
      <c r="C1177" t="s">
        <v>898</v>
      </c>
      <c r="D1177" t="s">
        <v>1137</v>
      </c>
      <c r="F1177" t="s">
        <v>4856</v>
      </c>
      <c r="G1177" t="s">
        <v>4444</v>
      </c>
    </row>
    <row r="1178" spans="1:7" x14ac:dyDescent="0.25">
      <c r="A1178">
        <v>3073</v>
      </c>
      <c r="B1178">
        <v>655</v>
      </c>
      <c r="C1178" t="s">
        <v>898</v>
      </c>
      <c r="D1178" t="s">
        <v>4857</v>
      </c>
      <c r="F1178" t="s">
        <v>4856</v>
      </c>
      <c r="G1178" t="s">
        <v>919</v>
      </c>
    </row>
    <row r="1179" spans="1:7" x14ac:dyDescent="0.25">
      <c r="A1179">
        <v>3074</v>
      </c>
      <c r="B1179">
        <v>655</v>
      </c>
      <c r="C1179" t="s">
        <v>898</v>
      </c>
      <c r="D1179" t="s">
        <v>1972</v>
      </c>
      <c r="E1179" t="s">
        <v>4858</v>
      </c>
      <c r="F1179" t="s">
        <v>4856</v>
      </c>
      <c r="G1179" t="s">
        <v>4447</v>
      </c>
    </row>
    <row r="1180" spans="1:7" x14ac:dyDescent="0.25">
      <c r="A1180">
        <v>3075</v>
      </c>
      <c r="B1180">
        <v>655</v>
      </c>
      <c r="C1180" t="s">
        <v>898</v>
      </c>
      <c r="D1180" t="s">
        <v>1228</v>
      </c>
      <c r="E1180" t="s">
        <v>4859</v>
      </c>
      <c r="F1180" t="s">
        <v>4856</v>
      </c>
      <c r="G1180" t="s">
        <v>4447</v>
      </c>
    </row>
    <row r="1181" spans="1:7" x14ac:dyDescent="0.25">
      <c r="A1181">
        <v>3076</v>
      </c>
      <c r="B1181">
        <v>655</v>
      </c>
      <c r="C1181" t="s">
        <v>898</v>
      </c>
      <c r="D1181" t="s">
        <v>4860</v>
      </c>
      <c r="F1181" t="s">
        <v>4856</v>
      </c>
      <c r="G1181" t="s">
        <v>4442</v>
      </c>
    </row>
    <row r="1182" spans="1:7" x14ac:dyDescent="0.25">
      <c r="A1182">
        <v>3078</v>
      </c>
      <c r="B1182">
        <v>509</v>
      </c>
      <c r="C1182" t="s">
        <v>898</v>
      </c>
      <c r="D1182" t="s">
        <v>4861</v>
      </c>
      <c r="E1182" t="s">
        <v>4862</v>
      </c>
      <c r="F1182" t="s">
        <v>4863</v>
      </c>
      <c r="G1182" t="s">
        <v>4448</v>
      </c>
    </row>
    <row r="1183" spans="1:7" x14ac:dyDescent="0.25">
      <c r="A1183">
        <v>3079</v>
      </c>
      <c r="B1183">
        <v>509</v>
      </c>
      <c r="C1183" t="s">
        <v>898</v>
      </c>
      <c r="D1183" t="s">
        <v>4864</v>
      </c>
      <c r="E1183" t="s">
        <v>4865</v>
      </c>
      <c r="F1183" t="s">
        <v>4866</v>
      </c>
      <c r="G1183" t="s">
        <v>4446</v>
      </c>
    </row>
    <row r="1184" spans="1:7" x14ac:dyDescent="0.25">
      <c r="A1184">
        <v>3082</v>
      </c>
      <c r="B1184">
        <v>690</v>
      </c>
      <c r="C1184" t="s">
        <v>898</v>
      </c>
      <c r="D1184" t="s">
        <v>4867</v>
      </c>
      <c r="E1184" t="s">
        <v>4868</v>
      </c>
      <c r="F1184" t="s">
        <v>4869</v>
      </c>
      <c r="G1184" t="s">
        <v>1262</v>
      </c>
    </row>
    <row r="1185" spans="1:7" x14ac:dyDescent="0.25">
      <c r="A1185">
        <v>3083</v>
      </c>
      <c r="B1185">
        <v>509</v>
      </c>
      <c r="C1185" t="s">
        <v>898</v>
      </c>
      <c r="D1185" t="s">
        <v>4870</v>
      </c>
      <c r="E1185" t="s">
        <v>4871</v>
      </c>
      <c r="F1185" t="s">
        <v>4872</v>
      </c>
      <c r="G1185" t="s">
        <v>1125</v>
      </c>
    </row>
    <row r="1186" spans="1:7" x14ac:dyDescent="0.25">
      <c r="A1186">
        <v>3084</v>
      </c>
      <c r="B1186">
        <v>509</v>
      </c>
      <c r="C1186" t="s">
        <v>898</v>
      </c>
      <c r="D1186" t="s">
        <v>4873</v>
      </c>
      <c r="E1186" t="s">
        <v>4874</v>
      </c>
      <c r="F1186" t="s">
        <v>4875</v>
      </c>
      <c r="G1186" t="s">
        <v>1125</v>
      </c>
    </row>
    <row r="1187" spans="1:7" x14ac:dyDescent="0.25">
      <c r="A1187">
        <v>3085</v>
      </c>
      <c r="B1187">
        <v>656</v>
      </c>
      <c r="C1187" t="s">
        <v>898</v>
      </c>
      <c r="D1187" t="s">
        <v>4876</v>
      </c>
      <c r="E1187" t="s">
        <v>4877</v>
      </c>
      <c r="F1187" t="s">
        <v>4878</v>
      </c>
      <c r="G1187" t="s">
        <v>4453</v>
      </c>
    </row>
    <row r="1188" spans="1:7" x14ac:dyDescent="0.25">
      <c r="A1188">
        <v>3086</v>
      </c>
      <c r="B1188">
        <v>656</v>
      </c>
      <c r="C1188" t="s">
        <v>898</v>
      </c>
      <c r="D1188" t="s">
        <v>4879</v>
      </c>
      <c r="E1188" t="s">
        <v>4880</v>
      </c>
      <c r="F1188" t="s">
        <v>4878</v>
      </c>
      <c r="G1188" t="s">
        <v>4448</v>
      </c>
    </row>
    <row r="1189" spans="1:7" x14ac:dyDescent="0.25">
      <c r="A1189">
        <v>3088</v>
      </c>
      <c r="B1189">
        <v>656</v>
      </c>
      <c r="C1189" t="s">
        <v>898</v>
      </c>
      <c r="D1189" t="s">
        <v>1479</v>
      </c>
      <c r="E1189" t="s">
        <v>4881</v>
      </c>
      <c r="F1189" t="s">
        <v>4878</v>
      </c>
      <c r="G1189" t="s">
        <v>2758</v>
      </c>
    </row>
    <row r="1190" spans="1:7" x14ac:dyDescent="0.25">
      <c r="A1190">
        <v>3089</v>
      </c>
      <c r="B1190">
        <v>656</v>
      </c>
      <c r="C1190" t="s">
        <v>898</v>
      </c>
      <c r="D1190" t="s">
        <v>4882</v>
      </c>
      <c r="E1190" t="s">
        <v>4883</v>
      </c>
      <c r="F1190" t="s">
        <v>4878</v>
      </c>
      <c r="G1190" t="s">
        <v>4442</v>
      </c>
    </row>
    <row r="1191" spans="1:7" x14ac:dyDescent="0.25">
      <c r="A1191">
        <v>3090</v>
      </c>
      <c r="B1191">
        <v>656</v>
      </c>
      <c r="C1191" t="s">
        <v>898</v>
      </c>
      <c r="D1191" t="s">
        <v>4884</v>
      </c>
      <c r="F1191" t="s">
        <v>4878</v>
      </c>
      <c r="G1191" t="s">
        <v>919</v>
      </c>
    </row>
    <row r="1192" spans="1:7" x14ac:dyDescent="0.25">
      <c r="A1192">
        <v>3091</v>
      </c>
      <c r="B1192">
        <v>656</v>
      </c>
      <c r="C1192" t="s">
        <v>898</v>
      </c>
      <c r="D1192" t="s">
        <v>1221</v>
      </c>
      <c r="E1192" t="s">
        <v>4885</v>
      </c>
      <c r="F1192" t="s">
        <v>4878</v>
      </c>
      <c r="G1192" t="s">
        <v>4444</v>
      </c>
    </row>
    <row r="1193" spans="1:7" x14ac:dyDescent="0.25">
      <c r="A1193">
        <v>3093</v>
      </c>
      <c r="B1193">
        <v>656</v>
      </c>
      <c r="C1193" t="s">
        <v>898</v>
      </c>
      <c r="D1193" t="s">
        <v>4886</v>
      </c>
      <c r="E1193" t="s">
        <v>4887</v>
      </c>
      <c r="F1193" t="s">
        <v>4878</v>
      </c>
      <c r="G1193" t="s">
        <v>4447</v>
      </c>
    </row>
    <row r="1194" spans="1:7" x14ac:dyDescent="0.25">
      <c r="A1194">
        <v>3094</v>
      </c>
      <c r="B1194">
        <v>656</v>
      </c>
      <c r="C1194" t="s">
        <v>898</v>
      </c>
      <c r="D1194" t="s">
        <v>4888</v>
      </c>
      <c r="E1194" t="s">
        <v>4889</v>
      </c>
      <c r="F1194" t="s">
        <v>4878</v>
      </c>
      <c r="G1194" t="s">
        <v>1457</v>
      </c>
    </row>
    <row r="1195" spans="1:7" x14ac:dyDescent="0.25">
      <c r="A1195">
        <v>3097</v>
      </c>
      <c r="B1195">
        <v>656</v>
      </c>
      <c r="C1195" t="s">
        <v>898</v>
      </c>
      <c r="D1195" t="s">
        <v>2757</v>
      </c>
      <c r="E1195" t="s">
        <v>4890</v>
      </c>
      <c r="F1195" t="s">
        <v>4878</v>
      </c>
      <c r="G1195" t="s">
        <v>4441</v>
      </c>
    </row>
    <row r="1196" spans="1:7" x14ac:dyDescent="0.25">
      <c r="A1196">
        <v>3098</v>
      </c>
      <c r="B1196">
        <v>656</v>
      </c>
      <c r="C1196" t="s">
        <v>898</v>
      </c>
      <c r="D1196" t="s">
        <v>4891</v>
      </c>
      <c r="F1196" t="s">
        <v>4878</v>
      </c>
      <c r="G1196" t="s">
        <v>4462</v>
      </c>
    </row>
    <row r="1197" spans="1:7" x14ac:dyDescent="0.25">
      <c r="A1197">
        <v>3099</v>
      </c>
      <c r="B1197">
        <v>656</v>
      </c>
      <c r="C1197" t="s">
        <v>898</v>
      </c>
      <c r="D1197" t="s">
        <v>1820</v>
      </c>
      <c r="E1197" t="s">
        <v>4892</v>
      </c>
      <c r="F1197" t="s">
        <v>4878</v>
      </c>
      <c r="G1197" t="s">
        <v>4450</v>
      </c>
    </row>
    <row r="1198" spans="1:7" x14ac:dyDescent="0.25">
      <c r="A1198">
        <v>3100</v>
      </c>
      <c r="B1198">
        <v>656</v>
      </c>
      <c r="C1198" t="s">
        <v>898</v>
      </c>
      <c r="D1198" t="s">
        <v>4893</v>
      </c>
      <c r="E1198" t="s">
        <v>4894</v>
      </c>
      <c r="F1198" t="s">
        <v>4878</v>
      </c>
      <c r="G1198" t="s">
        <v>4440</v>
      </c>
    </row>
    <row r="1199" spans="1:7" x14ac:dyDescent="0.25">
      <c r="A1199">
        <v>3101</v>
      </c>
      <c r="B1199">
        <v>656</v>
      </c>
      <c r="C1199" t="s">
        <v>898</v>
      </c>
      <c r="D1199" t="s">
        <v>4895</v>
      </c>
      <c r="E1199" t="s">
        <v>4896</v>
      </c>
      <c r="F1199" t="s">
        <v>4878</v>
      </c>
    </row>
    <row r="1200" spans="1:7" x14ac:dyDescent="0.25">
      <c r="A1200">
        <v>3102</v>
      </c>
      <c r="B1200">
        <v>656</v>
      </c>
      <c r="C1200" t="s">
        <v>898</v>
      </c>
      <c r="D1200" t="s">
        <v>4897</v>
      </c>
      <c r="E1200" t="s">
        <v>4898</v>
      </c>
      <c r="F1200" t="s">
        <v>4878</v>
      </c>
      <c r="G1200" t="s">
        <v>4441</v>
      </c>
    </row>
    <row r="1201" spans="1:7" x14ac:dyDescent="0.25">
      <c r="A1201">
        <v>3106</v>
      </c>
      <c r="B1201">
        <v>657</v>
      </c>
      <c r="C1201" t="s">
        <v>898</v>
      </c>
      <c r="D1201" t="s">
        <v>1221</v>
      </c>
      <c r="E1201" t="s">
        <v>4899</v>
      </c>
      <c r="F1201" t="s">
        <v>4900</v>
      </c>
      <c r="G1201" t="s">
        <v>4444</v>
      </c>
    </row>
    <row r="1202" spans="1:7" x14ac:dyDescent="0.25">
      <c r="A1202">
        <v>3107</v>
      </c>
      <c r="B1202">
        <v>657</v>
      </c>
      <c r="C1202" t="s">
        <v>898</v>
      </c>
      <c r="D1202" t="s">
        <v>1479</v>
      </c>
      <c r="E1202" t="s">
        <v>4901</v>
      </c>
      <c r="F1202" t="s">
        <v>4900</v>
      </c>
      <c r="G1202" t="s">
        <v>2758</v>
      </c>
    </row>
    <row r="1203" spans="1:7" x14ac:dyDescent="0.25">
      <c r="A1203">
        <v>3108</v>
      </c>
      <c r="B1203">
        <v>657</v>
      </c>
      <c r="C1203" t="s">
        <v>898</v>
      </c>
      <c r="D1203" t="s">
        <v>4902</v>
      </c>
      <c r="E1203" t="s">
        <v>4903</v>
      </c>
      <c r="F1203" t="s">
        <v>4900</v>
      </c>
      <c r="G1203" t="s">
        <v>4443</v>
      </c>
    </row>
    <row r="1204" spans="1:7" x14ac:dyDescent="0.25">
      <c r="A1204">
        <v>3110</v>
      </c>
      <c r="B1204">
        <v>657</v>
      </c>
      <c r="C1204" t="s">
        <v>898</v>
      </c>
      <c r="D1204" t="s">
        <v>1815</v>
      </c>
      <c r="E1204" t="s">
        <v>4904</v>
      </c>
      <c r="F1204" t="s">
        <v>4900</v>
      </c>
      <c r="G1204" t="s">
        <v>4441</v>
      </c>
    </row>
    <row r="1205" spans="1:7" x14ac:dyDescent="0.25">
      <c r="A1205">
        <v>3111</v>
      </c>
      <c r="B1205">
        <v>658</v>
      </c>
      <c r="C1205" t="s">
        <v>898</v>
      </c>
      <c r="D1205" t="s">
        <v>2664</v>
      </c>
      <c r="E1205" t="s">
        <v>4905</v>
      </c>
      <c r="F1205" t="s">
        <v>4906</v>
      </c>
      <c r="G1205" t="s">
        <v>2758</v>
      </c>
    </row>
    <row r="1206" spans="1:7" x14ac:dyDescent="0.25">
      <c r="A1206">
        <v>3112</v>
      </c>
      <c r="B1206">
        <v>658</v>
      </c>
      <c r="C1206" t="s">
        <v>898</v>
      </c>
      <c r="D1206" t="s">
        <v>4907</v>
      </c>
      <c r="E1206" t="s">
        <v>4908</v>
      </c>
      <c r="F1206" t="s">
        <v>4906</v>
      </c>
      <c r="G1206" t="s">
        <v>4442</v>
      </c>
    </row>
    <row r="1207" spans="1:7" x14ac:dyDescent="0.25">
      <c r="A1207">
        <v>3113</v>
      </c>
      <c r="B1207">
        <v>658</v>
      </c>
      <c r="C1207" t="s">
        <v>898</v>
      </c>
      <c r="D1207" t="s">
        <v>4909</v>
      </c>
      <c r="E1207" t="s">
        <v>4910</v>
      </c>
      <c r="F1207" t="s">
        <v>4906</v>
      </c>
      <c r="G1207" t="s">
        <v>4447</v>
      </c>
    </row>
    <row r="1208" spans="1:7" x14ac:dyDescent="0.25">
      <c r="A1208">
        <v>3114</v>
      </c>
      <c r="B1208">
        <v>658</v>
      </c>
      <c r="C1208" t="s">
        <v>898</v>
      </c>
      <c r="D1208" t="s">
        <v>1972</v>
      </c>
      <c r="E1208" t="s">
        <v>4911</v>
      </c>
      <c r="F1208" t="s">
        <v>4906</v>
      </c>
      <c r="G1208" t="s">
        <v>4447</v>
      </c>
    </row>
    <row r="1209" spans="1:7" x14ac:dyDescent="0.25">
      <c r="A1209">
        <v>3115</v>
      </c>
      <c r="B1209">
        <v>658</v>
      </c>
      <c r="C1209" t="s">
        <v>898</v>
      </c>
      <c r="D1209" t="s">
        <v>1137</v>
      </c>
      <c r="E1209" t="s">
        <v>4912</v>
      </c>
      <c r="F1209" t="s">
        <v>4906</v>
      </c>
      <c r="G1209" t="s">
        <v>4444</v>
      </c>
    </row>
    <row r="1210" spans="1:7" x14ac:dyDescent="0.25">
      <c r="A1210">
        <v>3116</v>
      </c>
      <c r="B1210">
        <v>658</v>
      </c>
      <c r="C1210" t="s">
        <v>898</v>
      </c>
      <c r="D1210" t="s">
        <v>4783</v>
      </c>
      <c r="E1210" t="s">
        <v>4912</v>
      </c>
      <c r="F1210" t="s">
        <v>4906</v>
      </c>
      <c r="G1210" t="s">
        <v>919</v>
      </c>
    </row>
    <row r="1211" spans="1:7" x14ac:dyDescent="0.25">
      <c r="A1211">
        <v>3117</v>
      </c>
      <c r="B1211">
        <v>659</v>
      </c>
      <c r="C1211" t="s">
        <v>898</v>
      </c>
      <c r="D1211" t="s">
        <v>1224</v>
      </c>
      <c r="E1211" t="s">
        <v>4913</v>
      </c>
      <c r="F1211" t="s">
        <v>4914</v>
      </c>
      <c r="G1211" t="s">
        <v>919</v>
      </c>
    </row>
    <row r="1212" spans="1:7" x14ac:dyDescent="0.25">
      <c r="A1212">
        <v>3118</v>
      </c>
      <c r="B1212">
        <v>659</v>
      </c>
      <c r="C1212" t="s">
        <v>894</v>
      </c>
      <c r="D1212" t="s">
        <v>1221</v>
      </c>
      <c r="E1212" t="s">
        <v>4915</v>
      </c>
      <c r="F1212" t="s">
        <v>4916</v>
      </c>
      <c r="G1212" t="s">
        <v>4444</v>
      </c>
    </row>
    <row r="1213" spans="1:7" x14ac:dyDescent="0.25">
      <c r="A1213">
        <v>3119</v>
      </c>
      <c r="B1213">
        <v>659</v>
      </c>
      <c r="C1213" t="s">
        <v>898</v>
      </c>
      <c r="D1213" t="s">
        <v>1972</v>
      </c>
      <c r="E1213" t="s">
        <v>4917</v>
      </c>
      <c r="F1213" t="s">
        <v>4918</v>
      </c>
      <c r="G1213" t="s">
        <v>4447</v>
      </c>
    </row>
    <row r="1214" spans="1:7" x14ac:dyDescent="0.25">
      <c r="A1214">
        <v>3120</v>
      </c>
      <c r="B1214">
        <v>659</v>
      </c>
      <c r="C1214" t="s">
        <v>898</v>
      </c>
      <c r="D1214" t="s">
        <v>4919</v>
      </c>
      <c r="E1214" t="s">
        <v>4920</v>
      </c>
      <c r="F1214" t="s">
        <v>4921</v>
      </c>
      <c r="G1214" t="s">
        <v>4447</v>
      </c>
    </row>
    <row r="1215" spans="1:7" x14ac:dyDescent="0.25">
      <c r="A1215">
        <v>3121</v>
      </c>
      <c r="B1215">
        <v>659</v>
      </c>
      <c r="C1215" t="s">
        <v>898</v>
      </c>
      <c r="D1215" t="s">
        <v>4922</v>
      </c>
      <c r="E1215" t="s">
        <v>4923</v>
      </c>
      <c r="F1215" t="s">
        <v>4924</v>
      </c>
      <c r="G1215" t="s">
        <v>1457</v>
      </c>
    </row>
    <row r="1216" spans="1:7" x14ac:dyDescent="0.25">
      <c r="A1216">
        <v>3122</v>
      </c>
      <c r="B1216">
        <v>659</v>
      </c>
      <c r="C1216" t="s">
        <v>898</v>
      </c>
      <c r="D1216" t="s">
        <v>4925</v>
      </c>
      <c r="E1216" t="s">
        <v>4926</v>
      </c>
      <c r="F1216" t="s">
        <v>4927</v>
      </c>
      <c r="G1216" t="s">
        <v>4440</v>
      </c>
    </row>
    <row r="1217" spans="1:7" x14ac:dyDescent="0.25">
      <c r="A1217">
        <v>3123</v>
      </c>
      <c r="B1217">
        <v>659</v>
      </c>
      <c r="C1217" t="s">
        <v>898</v>
      </c>
      <c r="D1217" t="s">
        <v>4928</v>
      </c>
      <c r="E1217" t="s">
        <v>4929</v>
      </c>
      <c r="F1217" t="s">
        <v>4930</v>
      </c>
      <c r="G1217" t="s">
        <v>4441</v>
      </c>
    </row>
    <row r="1218" spans="1:7" x14ac:dyDescent="0.25">
      <c r="A1218">
        <v>3124</v>
      </c>
      <c r="B1218">
        <v>111</v>
      </c>
      <c r="C1218" t="s">
        <v>898</v>
      </c>
      <c r="D1218" t="s">
        <v>4931</v>
      </c>
      <c r="E1218" t="s">
        <v>2718</v>
      </c>
      <c r="F1218" t="s">
        <v>2719</v>
      </c>
      <c r="G1218" t="s">
        <v>4442</v>
      </c>
    </row>
    <row r="1219" spans="1:7" x14ac:dyDescent="0.25">
      <c r="A1219">
        <v>3125</v>
      </c>
      <c r="B1219">
        <v>661</v>
      </c>
      <c r="C1219" t="s">
        <v>898</v>
      </c>
      <c r="D1219" t="s">
        <v>4932</v>
      </c>
      <c r="E1219" t="s">
        <v>4933</v>
      </c>
      <c r="F1219" t="s">
        <v>4934</v>
      </c>
    </row>
    <row r="1220" spans="1:7" x14ac:dyDescent="0.25">
      <c r="A1220">
        <v>3126</v>
      </c>
      <c r="B1220">
        <v>661</v>
      </c>
      <c r="C1220" t="s">
        <v>898</v>
      </c>
      <c r="D1220" t="s">
        <v>4935</v>
      </c>
      <c r="E1220" t="s">
        <v>4936</v>
      </c>
      <c r="F1220" t="s">
        <v>4937</v>
      </c>
      <c r="G1220" t="s">
        <v>4442</v>
      </c>
    </row>
    <row r="1221" spans="1:7" x14ac:dyDescent="0.25">
      <c r="A1221">
        <v>3127</v>
      </c>
      <c r="B1221">
        <v>661</v>
      </c>
      <c r="C1221" t="s">
        <v>898</v>
      </c>
      <c r="D1221" t="s">
        <v>4909</v>
      </c>
      <c r="E1221" t="s">
        <v>4938</v>
      </c>
      <c r="F1221" t="s">
        <v>4937</v>
      </c>
      <c r="G1221" t="s">
        <v>4447</v>
      </c>
    </row>
    <row r="1222" spans="1:7" x14ac:dyDescent="0.25">
      <c r="A1222">
        <v>3128</v>
      </c>
      <c r="B1222">
        <v>661</v>
      </c>
      <c r="C1222" t="s">
        <v>898</v>
      </c>
      <c r="D1222" t="s">
        <v>4939</v>
      </c>
      <c r="F1222" t="s">
        <v>4937</v>
      </c>
      <c r="G1222" t="s">
        <v>4447</v>
      </c>
    </row>
    <row r="1223" spans="1:7" x14ac:dyDescent="0.25">
      <c r="A1223">
        <v>3129</v>
      </c>
      <c r="B1223">
        <v>661</v>
      </c>
      <c r="C1223" t="s">
        <v>898</v>
      </c>
      <c r="D1223" t="s">
        <v>1137</v>
      </c>
      <c r="F1223" t="s">
        <v>4937</v>
      </c>
      <c r="G1223" t="s">
        <v>4444</v>
      </c>
    </row>
    <row r="1224" spans="1:7" x14ac:dyDescent="0.25">
      <c r="A1224">
        <v>3130</v>
      </c>
      <c r="B1224">
        <v>661</v>
      </c>
      <c r="C1224" t="s">
        <v>898</v>
      </c>
      <c r="D1224" t="s">
        <v>1224</v>
      </c>
      <c r="F1224" t="s">
        <v>4937</v>
      </c>
      <c r="G1224" t="s">
        <v>919</v>
      </c>
    </row>
    <row r="1225" spans="1:7" x14ac:dyDescent="0.25">
      <c r="A1225">
        <v>3131</v>
      </c>
      <c r="B1225">
        <v>661</v>
      </c>
      <c r="C1225" t="s">
        <v>898</v>
      </c>
      <c r="D1225" t="s">
        <v>4940</v>
      </c>
      <c r="F1225" t="s">
        <v>4937</v>
      </c>
      <c r="G1225" t="s">
        <v>4442</v>
      </c>
    </row>
    <row r="1226" spans="1:7" x14ac:dyDescent="0.25">
      <c r="A1226">
        <v>3132</v>
      </c>
      <c r="B1226">
        <v>661</v>
      </c>
      <c r="C1226" t="s">
        <v>898</v>
      </c>
      <c r="D1226" t="s">
        <v>4941</v>
      </c>
      <c r="F1226" t="s">
        <v>4937</v>
      </c>
      <c r="G1226" t="s">
        <v>4442</v>
      </c>
    </row>
    <row r="1227" spans="1:7" x14ac:dyDescent="0.25">
      <c r="A1227">
        <v>3133</v>
      </c>
      <c r="B1227">
        <v>661</v>
      </c>
      <c r="C1227" t="s">
        <v>898</v>
      </c>
      <c r="D1227" t="s">
        <v>4942</v>
      </c>
      <c r="F1227" t="s">
        <v>4937</v>
      </c>
      <c r="G1227" t="s">
        <v>4441</v>
      </c>
    </row>
    <row r="1228" spans="1:7" x14ac:dyDescent="0.25">
      <c r="A1228">
        <v>3134</v>
      </c>
      <c r="B1228">
        <v>662</v>
      </c>
      <c r="C1228" t="s">
        <v>898</v>
      </c>
      <c r="D1228" t="s">
        <v>4943</v>
      </c>
      <c r="F1228" t="s">
        <v>4944</v>
      </c>
      <c r="G1228" t="s">
        <v>4448</v>
      </c>
    </row>
    <row r="1229" spans="1:7" x14ac:dyDescent="0.25">
      <c r="A1229">
        <v>3135</v>
      </c>
      <c r="B1229">
        <v>662</v>
      </c>
      <c r="C1229" t="s">
        <v>898</v>
      </c>
      <c r="D1229" t="s">
        <v>4945</v>
      </c>
      <c r="F1229" t="s">
        <v>4944</v>
      </c>
      <c r="G1229" t="s">
        <v>4447</v>
      </c>
    </row>
    <row r="1230" spans="1:7" x14ac:dyDescent="0.25">
      <c r="A1230">
        <v>3136</v>
      </c>
      <c r="B1230">
        <v>662</v>
      </c>
      <c r="C1230" t="s">
        <v>898</v>
      </c>
      <c r="D1230" t="s">
        <v>4757</v>
      </c>
      <c r="E1230" t="s">
        <v>4946</v>
      </c>
      <c r="F1230" t="s">
        <v>4944</v>
      </c>
      <c r="G1230" t="s">
        <v>4447</v>
      </c>
    </row>
    <row r="1231" spans="1:7" x14ac:dyDescent="0.25">
      <c r="A1231">
        <v>3137</v>
      </c>
      <c r="B1231">
        <v>662</v>
      </c>
      <c r="C1231" t="s">
        <v>898</v>
      </c>
      <c r="D1231" t="s">
        <v>1219</v>
      </c>
      <c r="F1231" t="s">
        <v>4944</v>
      </c>
      <c r="G1231" t="s">
        <v>919</v>
      </c>
    </row>
    <row r="1232" spans="1:7" x14ac:dyDescent="0.25">
      <c r="A1232">
        <v>3138</v>
      </c>
      <c r="B1232">
        <v>662</v>
      </c>
      <c r="C1232" t="s">
        <v>898</v>
      </c>
      <c r="D1232" t="s">
        <v>1137</v>
      </c>
      <c r="F1232" t="s">
        <v>4937</v>
      </c>
      <c r="G1232" t="s">
        <v>4444</v>
      </c>
    </row>
    <row r="1233" spans="1:7" x14ac:dyDescent="0.25">
      <c r="A1233">
        <v>3139</v>
      </c>
      <c r="B1233">
        <v>662</v>
      </c>
      <c r="C1233" t="s">
        <v>898</v>
      </c>
      <c r="D1233" t="s">
        <v>4947</v>
      </c>
      <c r="F1233" t="s">
        <v>4944</v>
      </c>
      <c r="G1233" t="s">
        <v>1125</v>
      </c>
    </row>
    <row r="1234" spans="1:7" x14ac:dyDescent="0.25">
      <c r="A1234">
        <v>3140</v>
      </c>
      <c r="B1234">
        <v>663</v>
      </c>
      <c r="C1234" t="s">
        <v>898</v>
      </c>
      <c r="D1234" t="s">
        <v>4948</v>
      </c>
      <c r="E1234" t="s">
        <v>4949</v>
      </c>
      <c r="F1234" t="s">
        <v>4950</v>
      </c>
      <c r="G1234" t="s">
        <v>4441</v>
      </c>
    </row>
    <row r="1235" spans="1:7" x14ac:dyDescent="0.25">
      <c r="A1235">
        <v>3141</v>
      </c>
      <c r="B1235">
        <v>663</v>
      </c>
      <c r="C1235" t="s">
        <v>898</v>
      </c>
      <c r="D1235" t="s">
        <v>4951</v>
      </c>
      <c r="E1235" t="s">
        <v>4952</v>
      </c>
      <c r="F1235" t="s">
        <v>4950</v>
      </c>
      <c r="G1235" t="s">
        <v>919</v>
      </c>
    </row>
    <row r="1236" spans="1:7" x14ac:dyDescent="0.25">
      <c r="A1236">
        <v>3142</v>
      </c>
      <c r="B1236">
        <v>663</v>
      </c>
      <c r="C1236" t="s">
        <v>898</v>
      </c>
      <c r="D1236" t="s">
        <v>4953</v>
      </c>
      <c r="E1236" t="s">
        <v>4954</v>
      </c>
      <c r="F1236" t="s">
        <v>4950</v>
      </c>
    </row>
    <row r="1237" spans="1:7" x14ac:dyDescent="0.25">
      <c r="A1237">
        <v>3143</v>
      </c>
      <c r="B1237">
        <v>663</v>
      </c>
      <c r="C1237" t="s">
        <v>898</v>
      </c>
      <c r="D1237" t="s">
        <v>4955</v>
      </c>
      <c r="E1237" t="s">
        <v>4954</v>
      </c>
      <c r="F1237" t="s">
        <v>4950</v>
      </c>
      <c r="G1237" t="s">
        <v>4447</v>
      </c>
    </row>
    <row r="1238" spans="1:7" x14ac:dyDescent="0.25">
      <c r="A1238">
        <v>3144</v>
      </c>
      <c r="B1238">
        <v>663</v>
      </c>
      <c r="C1238" t="s">
        <v>898</v>
      </c>
      <c r="D1238" t="s">
        <v>2710</v>
      </c>
      <c r="E1238" t="s">
        <v>4954</v>
      </c>
      <c r="F1238" t="s">
        <v>4950</v>
      </c>
      <c r="G1238" t="s">
        <v>4444</v>
      </c>
    </row>
    <row r="1239" spans="1:7" x14ac:dyDescent="0.25">
      <c r="A1239">
        <v>3145</v>
      </c>
      <c r="B1239">
        <v>663</v>
      </c>
      <c r="C1239" t="s">
        <v>898</v>
      </c>
      <c r="D1239" t="s">
        <v>1930</v>
      </c>
      <c r="E1239" t="s">
        <v>4954</v>
      </c>
      <c r="F1239" t="s">
        <v>4950</v>
      </c>
      <c r="G1239" t="s">
        <v>4442</v>
      </c>
    </row>
    <row r="1240" spans="1:7" x14ac:dyDescent="0.25">
      <c r="A1240">
        <v>3146</v>
      </c>
      <c r="B1240">
        <v>663</v>
      </c>
      <c r="C1240" t="s">
        <v>898</v>
      </c>
      <c r="D1240" t="s">
        <v>1084</v>
      </c>
      <c r="E1240" t="s">
        <v>4954</v>
      </c>
      <c r="F1240" t="s">
        <v>4950</v>
      </c>
    </row>
    <row r="1241" spans="1:7" x14ac:dyDescent="0.25">
      <c r="A1241">
        <v>3147</v>
      </c>
      <c r="B1241">
        <v>664</v>
      </c>
      <c r="C1241" t="s">
        <v>898</v>
      </c>
      <c r="D1241" t="s">
        <v>1137</v>
      </c>
      <c r="F1241" t="s">
        <v>4956</v>
      </c>
      <c r="G1241" t="s">
        <v>4444</v>
      </c>
    </row>
    <row r="1242" spans="1:7" x14ac:dyDescent="0.25">
      <c r="A1242">
        <v>3148</v>
      </c>
      <c r="B1242">
        <v>664</v>
      </c>
      <c r="C1242" t="s">
        <v>898</v>
      </c>
      <c r="D1242" t="s">
        <v>4764</v>
      </c>
      <c r="F1242" t="s">
        <v>4956</v>
      </c>
      <c r="G1242" t="s">
        <v>919</v>
      </c>
    </row>
    <row r="1243" spans="1:7" x14ac:dyDescent="0.25">
      <c r="A1243">
        <v>3149</v>
      </c>
      <c r="B1243">
        <v>664</v>
      </c>
      <c r="C1243" t="s">
        <v>898</v>
      </c>
      <c r="D1243" t="s">
        <v>4957</v>
      </c>
      <c r="F1243" t="s">
        <v>4956</v>
      </c>
      <c r="G1243" t="s">
        <v>1309</v>
      </c>
    </row>
    <row r="1244" spans="1:7" x14ac:dyDescent="0.25">
      <c r="A1244">
        <v>3150</v>
      </c>
      <c r="B1244">
        <v>403</v>
      </c>
      <c r="C1244" t="s">
        <v>898</v>
      </c>
      <c r="D1244" t="s">
        <v>4958</v>
      </c>
      <c r="E1244" t="s">
        <v>4959</v>
      </c>
      <c r="F1244" t="s">
        <v>4960</v>
      </c>
    </row>
    <row r="1245" spans="1:7" x14ac:dyDescent="0.25">
      <c r="A1245">
        <v>3151</v>
      </c>
      <c r="B1245">
        <v>403</v>
      </c>
      <c r="C1245" t="s">
        <v>898</v>
      </c>
      <c r="D1245" t="s">
        <v>4757</v>
      </c>
      <c r="E1245" t="s">
        <v>4961</v>
      </c>
      <c r="F1245" t="s">
        <v>4962</v>
      </c>
      <c r="G1245" t="s">
        <v>4447</v>
      </c>
    </row>
    <row r="1246" spans="1:7" x14ac:dyDescent="0.25">
      <c r="A1246">
        <v>3152</v>
      </c>
      <c r="B1246">
        <v>403</v>
      </c>
      <c r="C1246" t="s">
        <v>898</v>
      </c>
      <c r="D1246" t="s">
        <v>4963</v>
      </c>
      <c r="E1246" t="s">
        <v>4964</v>
      </c>
      <c r="F1246" t="s">
        <v>4965</v>
      </c>
      <c r="G1246" t="s">
        <v>2756</v>
      </c>
    </row>
    <row r="1247" spans="1:7" x14ac:dyDescent="0.25">
      <c r="A1247">
        <v>3153</v>
      </c>
      <c r="B1247">
        <v>403</v>
      </c>
      <c r="C1247" t="s">
        <v>898</v>
      </c>
      <c r="D1247" t="s">
        <v>4966</v>
      </c>
      <c r="E1247" t="s">
        <v>4967</v>
      </c>
      <c r="F1247" t="s">
        <v>4968</v>
      </c>
      <c r="G1247" t="s">
        <v>1125</v>
      </c>
    </row>
    <row r="1248" spans="1:7" x14ac:dyDescent="0.25">
      <c r="A1248">
        <v>3154</v>
      </c>
      <c r="B1248">
        <v>403</v>
      </c>
      <c r="C1248" t="s">
        <v>898</v>
      </c>
      <c r="D1248" t="s">
        <v>4966</v>
      </c>
      <c r="E1248" t="s">
        <v>4969</v>
      </c>
      <c r="F1248" t="s">
        <v>4970</v>
      </c>
      <c r="G1248" t="s">
        <v>1125</v>
      </c>
    </row>
    <row r="1249" spans="1:7" x14ac:dyDescent="0.25">
      <c r="A1249">
        <v>3156</v>
      </c>
      <c r="B1249">
        <v>403</v>
      </c>
      <c r="C1249" t="s">
        <v>898</v>
      </c>
      <c r="D1249" t="s">
        <v>4971</v>
      </c>
      <c r="E1249" t="s">
        <v>4972</v>
      </c>
      <c r="F1249" t="s">
        <v>4973</v>
      </c>
      <c r="G1249" t="s">
        <v>4440</v>
      </c>
    </row>
    <row r="1250" spans="1:7" x14ac:dyDescent="0.25">
      <c r="A1250">
        <v>3157</v>
      </c>
      <c r="B1250">
        <v>403</v>
      </c>
      <c r="C1250" t="s">
        <v>898</v>
      </c>
      <c r="D1250" t="s">
        <v>4974</v>
      </c>
      <c r="E1250" t="s">
        <v>4975</v>
      </c>
      <c r="F1250" t="s">
        <v>4976</v>
      </c>
      <c r="G1250" t="s">
        <v>4451</v>
      </c>
    </row>
    <row r="1251" spans="1:7" x14ac:dyDescent="0.25">
      <c r="A1251">
        <v>3159</v>
      </c>
      <c r="B1251">
        <v>403</v>
      </c>
      <c r="C1251" t="s">
        <v>898</v>
      </c>
      <c r="D1251" t="s">
        <v>4977</v>
      </c>
      <c r="E1251" t="s">
        <v>4978</v>
      </c>
      <c r="F1251" t="s">
        <v>4979</v>
      </c>
      <c r="G1251" t="s">
        <v>4450</v>
      </c>
    </row>
    <row r="1252" spans="1:7" x14ac:dyDescent="0.25">
      <c r="A1252">
        <v>3160</v>
      </c>
      <c r="B1252">
        <v>403</v>
      </c>
      <c r="C1252" t="s">
        <v>898</v>
      </c>
      <c r="D1252" t="s">
        <v>4980</v>
      </c>
      <c r="E1252" t="s">
        <v>4981</v>
      </c>
      <c r="F1252" t="s">
        <v>4982</v>
      </c>
      <c r="G1252" t="s">
        <v>4452</v>
      </c>
    </row>
    <row r="1253" spans="1:7" x14ac:dyDescent="0.25">
      <c r="A1253">
        <v>3161</v>
      </c>
      <c r="B1253">
        <v>403</v>
      </c>
      <c r="C1253" t="s">
        <v>898</v>
      </c>
      <c r="D1253" t="s">
        <v>4983</v>
      </c>
      <c r="E1253" t="s">
        <v>4984</v>
      </c>
      <c r="F1253" t="s">
        <v>4985</v>
      </c>
      <c r="G1253" t="s">
        <v>4441</v>
      </c>
    </row>
    <row r="1254" spans="1:7" x14ac:dyDescent="0.25">
      <c r="A1254">
        <v>3162</v>
      </c>
      <c r="B1254">
        <v>403</v>
      </c>
      <c r="C1254" t="s">
        <v>898</v>
      </c>
      <c r="D1254" t="s">
        <v>4986</v>
      </c>
      <c r="E1254" t="s">
        <v>4987</v>
      </c>
      <c r="F1254" t="s">
        <v>4988</v>
      </c>
      <c r="G1254" t="s">
        <v>4456</v>
      </c>
    </row>
    <row r="1255" spans="1:7" x14ac:dyDescent="0.25">
      <c r="A1255">
        <v>3163</v>
      </c>
      <c r="B1255">
        <v>665</v>
      </c>
      <c r="C1255" t="s">
        <v>898</v>
      </c>
      <c r="D1255" t="s">
        <v>1221</v>
      </c>
      <c r="E1255" t="s">
        <v>4989</v>
      </c>
      <c r="F1255" t="s">
        <v>4990</v>
      </c>
      <c r="G1255" t="s">
        <v>4444</v>
      </c>
    </row>
    <row r="1256" spans="1:7" x14ac:dyDescent="0.25">
      <c r="A1256">
        <v>3164</v>
      </c>
      <c r="B1256">
        <v>665</v>
      </c>
      <c r="C1256" t="s">
        <v>898</v>
      </c>
      <c r="D1256" t="s">
        <v>1857</v>
      </c>
      <c r="E1256" t="s">
        <v>4991</v>
      </c>
      <c r="F1256" t="s">
        <v>4990</v>
      </c>
      <c r="G1256" t="s">
        <v>919</v>
      </c>
    </row>
    <row r="1257" spans="1:7" x14ac:dyDescent="0.25">
      <c r="A1257">
        <v>3165</v>
      </c>
      <c r="B1257">
        <v>665</v>
      </c>
      <c r="C1257" t="s">
        <v>898</v>
      </c>
      <c r="D1257" t="s">
        <v>4992</v>
      </c>
      <c r="E1257" t="s">
        <v>4993</v>
      </c>
      <c r="F1257" t="s">
        <v>4990</v>
      </c>
      <c r="G1257" t="s">
        <v>1670</v>
      </c>
    </row>
    <row r="1258" spans="1:7" x14ac:dyDescent="0.25">
      <c r="A1258">
        <v>3166</v>
      </c>
      <c r="B1258">
        <v>665</v>
      </c>
      <c r="C1258" t="s">
        <v>898</v>
      </c>
      <c r="D1258" t="s">
        <v>4994</v>
      </c>
      <c r="E1258" t="s">
        <v>4995</v>
      </c>
      <c r="F1258" t="s">
        <v>4990</v>
      </c>
      <c r="G1258" t="s">
        <v>4447</v>
      </c>
    </row>
    <row r="1259" spans="1:7" x14ac:dyDescent="0.25">
      <c r="A1259">
        <v>3167</v>
      </c>
      <c r="B1259">
        <v>665</v>
      </c>
      <c r="C1259" t="s">
        <v>898</v>
      </c>
      <c r="D1259" t="s">
        <v>4996</v>
      </c>
      <c r="E1259" t="s">
        <v>4997</v>
      </c>
      <c r="F1259" t="s">
        <v>4990</v>
      </c>
      <c r="G1259" t="s">
        <v>4447</v>
      </c>
    </row>
    <row r="1260" spans="1:7" x14ac:dyDescent="0.25">
      <c r="A1260">
        <v>3168</v>
      </c>
      <c r="B1260">
        <v>665</v>
      </c>
      <c r="C1260" t="s">
        <v>898</v>
      </c>
      <c r="D1260" t="s">
        <v>2628</v>
      </c>
      <c r="E1260" t="s">
        <v>4998</v>
      </c>
      <c r="F1260" t="s">
        <v>4990</v>
      </c>
      <c r="G1260" t="s">
        <v>4442</v>
      </c>
    </row>
    <row r="1261" spans="1:7" x14ac:dyDescent="0.25">
      <c r="A1261">
        <v>3169</v>
      </c>
      <c r="B1261">
        <v>665</v>
      </c>
      <c r="C1261" t="s">
        <v>898</v>
      </c>
      <c r="D1261" t="s">
        <v>1925</v>
      </c>
      <c r="E1261" t="s">
        <v>4999</v>
      </c>
      <c r="F1261" t="s">
        <v>4990</v>
      </c>
      <c r="G1261" t="s">
        <v>4442</v>
      </c>
    </row>
    <row r="1262" spans="1:7" x14ac:dyDescent="0.25">
      <c r="A1262">
        <v>3170</v>
      </c>
      <c r="B1262">
        <v>665</v>
      </c>
      <c r="C1262" t="s">
        <v>898</v>
      </c>
      <c r="D1262" t="s">
        <v>4893</v>
      </c>
      <c r="E1262" t="s">
        <v>5000</v>
      </c>
      <c r="F1262" t="s">
        <v>4990</v>
      </c>
      <c r="G1262" t="s">
        <v>4440</v>
      </c>
    </row>
    <row r="1263" spans="1:7" x14ac:dyDescent="0.25">
      <c r="A1263">
        <v>3171</v>
      </c>
      <c r="B1263">
        <v>665</v>
      </c>
      <c r="C1263" t="s">
        <v>898</v>
      </c>
      <c r="D1263" t="s">
        <v>2757</v>
      </c>
      <c r="E1263" t="s">
        <v>5001</v>
      </c>
      <c r="F1263" t="s">
        <v>4990</v>
      </c>
      <c r="G1263" t="s">
        <v>4441</v>
      </c>
    </row>
    <row r="1264" spans="1:7" x14ac:dyDescent="0.25">
      <c r="A1264">
        <v>3172</v>
      </c>
      <c r="B1264">
        <v>665</v>
      </c>
      <c r="C1264" t="s">
        <v>898</v>
      </c>
      <c r="D1264" t="s">
        <v>5002</v>
      </c>
      <c r="E1264" t="s">
        <v>5003</v>
      </c>
      <c r="F1264" t="s">
        <v>4990</v>
      </c>
      <c r="G1264" t="s">
        <v>4441</v>
      </c>
    </row>
    <row r="1265" spans="1:7" x14ac:dyDescent="0.25">
      <c r="A1265">
        <v>3173</v>
      </c>
      <c r="B1265">
        <v>665</v>
      </c>
      <c r="C1265" t="s">
        <v>898</v>
      </c>
      <c r="D1265" t="s">
        <v>5004</v>
      </c>
      <c r="E1265" t="s">
        <v>5005</v>
      </c>
      <c r="F1265" t="s">
        <v>4990</v>
      </c>
      <c r="G1265" t="s">
        <v>4450</v>
      </c>
    </row>
    <row r="1266" spans="1:7" x14ac:dyDescent="0.25">
      <c r="A1266">
        <v>3174</v>
      </c>
      <c r="B1266">
        <v>665</v>
      </c>
      <c r="C1266" t="s">
        <v>898</v>
      </c>
      <c r="D1266" t="s">
        <v>5006</v>
      </c>
      <c r="E1266" t="s">
        <v>5007</v>
      </c>
      <c r="F1266" t="s">
        <v>4990</v>
      </c>
      <c r="G1266" t="s">
        <v>4450</v>
      </c>
    </row>
    <row r="1267" spans="1:7" x14ac:dyDescent="0.25">
      <c r="A1267">
        <v>3175</v>
      </c>
      <c r="B1267">
        <v>666</v>
      </c>
      <c r="C1267" t="s">
        <v>898</v>
      </c>
      <c r="D1267" t="s">
        <v>5008</v>
      </c>
      <c r="E1267" t="s">
        <v>5009</v>
      </c>
      <c r="F1267" t="s">
        <v>5010</v>
      </c>
      <c r="G1267" t="s">
        <v>2758</v>
      </c>
    </row>
    <row r="1268" spans="1:7" x14ac:dyDescent="0.25">
      <c r="A1268">
        <v>3176</v>
      </c>
      <c r="B1268">
        <v>666</v>
      </c>
      <c r="C1268" t="s">
        <v>898</v>
      </c>
      <c r="D1268" t="s">
        <v>5011</v>
      </c>
      <c r="E1268" t="s">
        <v>5012</v>
      </c>
      <c r="F1268" t="s">
        <v>5010</v>
      </c>
      <c r="G1268" t="s">
        <v>4446</v>
      </c>
    </row>
    <row r="1269" spans="1:7" x14ac:dyDescent="0.25">
      <c r="A1269">
        <v>3177</v>
      </c>
      <c r="B1269">
        <v>667</v>
      </c>
      <c r="C1269" t="s">
        <v>898</v>
      </c>
      <c r="D1269" t="s">
        <v>1137</v>
      </c>
      <c r="E1269" t="s">
        <v>5013</v>
      </c>
      <c r="F1269" t="s">
        <v>5014</v>
      </c>
      <c r="G1269" t="s">
        <v>4444</v>
      </c>
    </row>
    <row r="1270" spans="1:7" x14ac:dyDescent="0.25">
      <c r="A1270">
        <v>3178</v>
      </c>
      <c r="B1270">
        <v>667</v>
      </c>
      <c r="C1270" t="s">
        <v>898</v>
      </c>
      <c r="D1270" t="s">
        <v>4857</v>
      </c>
      <c r="E1270" t="s">
        <v>5015</v>
      </c>
      <c r="F1270" t="s">
        <v>5014</v>
      </c>
      <c r="G1270" t="s">
        <v>919</v>
      </c>
    </row>
    <row r="1271" spans="1:7" x14ac:dyDescent="0.25">
      <c r="A1271">
        <v>3179</v>
      </c>
      <c r="B1271">
        <v>667</v>
      </c>
      <c r="C1271" t="s">
        <v>898</v>
      </c>
      <c r="D1271" t="s">
        <v>1228</v>
      </c>
      <c r="E1271" t="s">
        <v>5016</v>
      </c>
      <c r="F1271" t="s">
        <v>5014</v>
      </c>
      <c r="G1271" t="s">
        <v>4447</v>
      </c>
    </row>
    <row r="1272" spans="1:7" x14ac:dyDescent="0.25">
      <c r="A1272">
        <v>3180</v>
      </c>
      <c r="B1272">
        <v>667</v>
      </c>
      <c r="C1272" t="s">
        <v>898</v>
      </c>
      <c r="D1272" t="s">
        <v>1972</v>
      </c>
      <c r="E1272" t="s">
        <v>5017</v>
      </c>
      <c r="F1272" t="s">
        <v>5014</v>
      </c>
      <c r="G1272" t="s">
        <v>4447</v>
      </c>
    </row>
    <row r="1273" spans="1:7" x14ac:dyDescent="0.25">
      <c r="A1273">
        <v>3181</v>
      </c>
      <c r="B1273">
        <v>667</v>
      </c>
      <c r="C1273" t="s">
        <v>898</v>
      </c>
      <c r="D1273" t="s">
        <v>4860</v>
      </c>
      <c r="E1273" t="s">
        <v>5018</v>
      </c>
      <c r="F1273" t="s">
        <v>5014</v>
      </c>
      <c r="G1273" t="s">
        <v>4442</v>
      </c>
    </row>
    <row r="1274" spans="1:7" x14ac:dyDescent="0.25">
      <c r="A1274">
        <v>3182</v>
      </c>
      <c r="B1274">
        <v>667</v>
      </c>
      <c r="C1274" t="s">
        <v>898</v>
      </c>
      <c r="D1274" t="s">
        <v>4928</v>
      </c>
      <c r="E1274" t="s">
        <v>5019</v>
      </c>
      <c r="F1274" t="s">
        <v>5014</v>
      </c>
      <c r="G1274" t="s">
        <v>4441</v>
      </c>
    </row>
    <row r="1275" spans="1:7" x14ac:dyDescent="0.25">
      <c r="A1275">
        <v>3183</v>
      </c>
      <c r="B1275">
        <v>667</v>
      </c>
      <c r="C1275" t="s">
        <v>898</v>
      </c>
      <c r="D1275" t="s">
        <v>5020</v>
      </c>
      <c r="E1275" t="s">
        <v>5021</v>
      </c>
      <c r="F1275" t="s">
        <v>5014</v>
      </c>
      <c r="G1275" t="s">
        <v>4442</v>
      </c>
    </row>
    <row r="1276" spans="1:7" x14ac:dyDescent="0.25">
      <c r="A1276">
        <v>3184</v>
      </c>
      <c r="B1276">
        <v>667</v>
      </c>
      <c r="C1276" t="s">
        <v>898</v>
      </c>
      <c r="D1276" t="s">
        <v>5022</v>
      </c>
      <c r="E1276" t="s">
        <v>5023</v>
      </c>
      <c r="G1276" t="s">
        <v>4448</v>
      </c>
    </row>
    <row r="1277" spans="1:7" x14ac:dyDescent="0.25">
      <c r="A1277">
        <v>3185</v>
      </c>
      <c r="B1277">
        <v>668</v>
      </c>
      <c r="C1277" t="s">
        <v>898</v>
      </c>
      <c r="D1277" t="s">
        <v>4857</v>
      </c>
      <c r="E1277" t="s">
        <v>5024</v>
      </c>
      <c r="F1277" t="s">
        <v>5025</v>
      </c>
      <c r="G1277" t="s">
        <v>919</v>
      </c>
    </row>
    <row r="1278" spans="1:7" x14ac:dyDescent="0.25">
      <c r="A1278">
        <v>3187</v>
      </c>
      <c r="B1278">
        <v>668</v>
      </c>
      <c r="C1278" t="s">
        <v>898</v>
      </c>
      <c r="D1278" t="s">
        <v>5026</v>
      </c>
      <c r="F1278" t="s">
        <v>5025</v>
      </c>
      <c r="G1278" t="s">
        <v>4447</v>
      </c>
    </row>
    <row r="1279" spans="1:7" x14ac:dyDescent="0.25">
      <c r="A1279">
        <v>3188</v>
      </c>
      <c r="B1279">
        <v>668</v>
      </c>
      <c r="C1279" t="s">
        <v>898</v>
      </c>
      <c r="D1279" t="s">
        <v>5027</v>
      </c>
      <c r="E1279" t="s">
        <v>5028</v>
      </c>
      <c r="F1279" t="s">
        <v>5025</v>
      </c>
      <c r="G1279" t="s">
        <v>4441</v>
      </c>
    </row>
    <row r="1280" spans="1:7" x14ac:dyDescent="0.25">
      <c r="A1280">
        <v>3189</v>
      </c>
      <c r="B1280">
        <v>668</v>
      </c>
      <c r="C1280" t="s">
        <v>898</v>
      </c>
      <c r="D1280" t="s">
        <v>5029</v>
      </c>
      <c r="E1280" t="s">
        <v>5030</v>
      </c>
      <c r="F1280" t="s">
        <v>5025</v>
      </c>
      <c r="G1280" t="s">
        <v>4448</v>
      </c>
    </row>
    <row r="1281" spans="1:7" x14ac:dyDescent="0.25">
      <c r="A1281">
        <v>3190</v>
      </c>
      <c r="B1281">
        <v>668</v>
      </c>
      <c r="C1281" t="s">
        <v>898</v>
      </c>
      <c r="D1281" t="s">
        <v>5031</v>
      </c>
      <c r="F1281" t="s">
        <v>5025</v>
      </c>
    </row>
    <row r="1282" spans="1:7" x14ac:dyDescent="0.25">
      <c r="A1282">
        <v>3191</v>
      </c>
      <c r="B1282">
        <v>668</v>
      </c>
      <c r="C1282" t="s">
        <v>898</v>
      </c>
      <c r="D1282" t="s">
        <v>5032</v>
      </c>
      <c r="E1282" t="s">
        <v>5033</v>
      </c>
      <c r="F1282" t="s">
        <v>5025</v>
      </c>
      <c r="G1282" t="s">
        <v>4442</v>
      </c>
    </row>
    <row r="1283" spans="1:7" x14ac:dyDescent="0.25">
      <c r="A1283">
        <v>3192</v>
      </c>
      <c r="B1283">
        <v>668</v>
      </c>
      <c r="C1283" t="s">
        <v>898</v>
      </c>
      <c r="D1283" t="s">
        <v>1137</v>
      </c>
      <c r="E1283" t="s">
        <v>5034</v>
      </c>
      <c r="F1283" t="s">
        <v>5025</v>
      </c>
      <c r="G1283" t="s">
        <v>4444</v>
      </c>
    </row>
    <row r="1284" spans="1:7" x14ac:dyDescent="0.25">
      <c r="A1284">
        <v>3193</v>
      </c>
      <c r="B1284">
        <v>668</v>
      </c>
      <c r="C1284" t="s">
        <v>898</v>
      </c>
      <c r="D1284" t="s">
        <v>5035</v>
      </c>
      <c r="E1284" t="s">
        <v>5036</v>
      </c>
      <c r="F1284" t="s">
        <v>5025</v>
      </c>
    </row>
    <row r="1285" spans="1:7" x14ac:dyDescent="0.25">
      <c r="A1285">
        <v>3194</v>
      </c>
      <c r="B1285">
        <v>668</v>
      </c>
      <c r="C1285" t="s">
        <v>898</v>
      </c>
      <c r="D1285" t="s">
        <v>5037</v>
      </c>
      <c r="E1285" t="s">
        <v>5038</v>
      </c>
      <c r="F1285" t="s">
        <v>5025</v>
      </c>
      <c r="G1285" t="s">
        <v>4441</v>
      </c>
    </row>
    <row r="1286" spans="1:7" x14ac:dyDescent="0.25">
      <c r="A1286">
        <v>3195</v>
      </c>
      <c r="B1286">
        <v>668</v>
      </c>
      <c r="C1286" t="s">
        <v>898</v>
      </c>
      <c r="D1286" t="s">
        <v>5039</v>
      </c>
      <c r="E1286" t="s">
        <v>5040</v>
      </c>
      <c r="F1286" t="s">
        <v>5025</v>
      </c>
      <c r="G1286" t="s">
        <v>4441</v>
      </c>
    </row>
    <row r="1287" spans="1:7" x14ac:dyDescent="0.25">
      <c r="A1287">
        <v>3196</v>
      </c>
      <c r="B1287">
        <v>668</v>
      </c>
      <c r="C1287" t="s">
        <v>898</v>
      </c>
      <c r="D1287" t="s">
        <v>5041</v>
      </c>
      <c r="E1287" t="s">
        <v>5042</v>
      </c>
      <c r="F1287" t="s">
        <v>5025</v>
      </c>
    </row>
    <row r="1288" spans="1:7" x14ac:dyDescent="0.25">
      <c r="A1288">
        <v>3197</v>
      </c>
      <c r="B1288">
        <v>668</v>
      </c>
      <c r="C1288" t="s">
        <v>898</v>
      </c>
      <c r="D1288" t="s">
        <v>2642</v>
      </c>
      <c r="E1288" t="s">
        <v>5043</v>
      </c>
      <c r="F1288" t="s">
        <v>5025</v>
      </c>
      <c r="G1288" t="s">
        <v>4445</v>
      </c>
    </row>
    <row r="1289" spans="1:7" x14ac:dyDescent="0.25">
      <c r="A1289">
        <v>3198</v>
      </c>
      <c r="B1289">
        <v>783</v>
      </c>
      <c r="C1289" t="s">
        <v>898</v>
      </c>
      <c r="D1289" t="s">
        <v>4783</v>
      </c>
      <c r="F1289" t="s">
        <v>5044</v>
      </c>
      <c r="G1289" t="s">
        <v>919</v>
      </c>
    </row>
    <row r="1290" spans="1:7" x14ac:dyDescent="0.25">
      <c r="A1290">
        <v>3199</v>
      </c>
      <c r="B1290">
        <v>666</v>
      </c>
      <c r="C1290" t="s">
        <v>898</v>
      </c>
      <c r="D1290" t="s">
        <v>5045</v>
      </c>
      <c r="E1290" t="s">
        <v>5046</v>
      </c>
      <c r="F1290" t="s">
        <v>5010</v>
      </c>
      <c r="G1290" t="s">
        <v>4442</v>
      </c>
    </row>
    <row r="1291" spans="1:7" x14ac:dyDescent="0.25">
      <c r="A1291">
        <v>3200</v>
      </c>
      <c r="B1291">
        <v>666</v>
      </c>
      <c r="C1291" t="s">
        <v>898</v>
      </c>
      <c r="D1291" t="s">
        <v>4909</v>
      </c>
      <c r="E1291" t="s">
        <v>5047</v>
      </c>
      <c r="F1291" t="s">
        <v>5010</v>
      </c>
      <c r="G1291" t="s">
        <v>4447</v>
      </c>
    </row>
    <row r="1292" spans="1:7" x14ac:dyDescent="0.25">
      <c r="A1292">
        <v>3201</v>
      </c>
      <c r="B1292">
        <v>666</v>
      </c>
      <c r="C1292" t="s">
        <v>898</v>
      </c>
      <c r="D1292" t="s">
        <v>1972</v>
      </c>
      <c r="E1292" t="s">
        <v>5048</v>
      </c>
      <c r="F1292" t="s">
        <v>5010</v>
      </c>
      <c r="G1292" t="s">
        <v>4447</v>
      </c>
    </row>
    <row r="1293" spans="1:7" x14ac:dyDescent="0.25">
      <c r="A1293">
        <v>3202</v>
      </c>
      <c r="B1293">
        <v>666</v>
      </c>
      <c r="C1293" t="s">
        <v>898</v>
      </c>
      <c r="D1293" t="s">
        <v>5049</v>
      </c>
      <c r="E1293" t="s">
        <v>5050</v>
      </c>
      <c r="F1293" t="s">
        <v>5010</v>
      </c>
      <c r="G1293" t="s">
        <v>919</v>
      </c>
    </row>
    <row r="1294" spans="1:7" x14ac:dyDescent="0.25">
      <c r="A1294">
        <v>3203</v>
      </c>
      <c r="B1294">
        <v>666</v>
      </c>
      <c r="C1294" t="s">
        <v>898</v>
      </c>
      <c r="D1294" t="s">
        <v>1084</v>
      </c>
      <c r="E1294" t="s">
        <v>5051</v>
      </c>
      <c r="F1294" t="s">
        <v>5010</v>
      </c>
      <c r="G1294" t="s">
        <v>4442</v>
      </c>
    </row>
    <row r="1295" spans="1:7" x14ac:dyDescent="0.25">
      <c r="A1295">
        <v>3204</v>
      </c>
      <c r="B1295">
        <v>666</v>
      </c>
      <c r="C1295" t="s">
        <v>898</v>
      </c>
      <c r="D1295" t="s">
        <v>5052</v>
      </c>
      <c r="E1295" t="s">
        <v>5053</v>
      </c>
      <c r="F1295" t="s">
        <v>5010</v>
      </c>
      <c r="G1295" t="s">
        <v>4440</v>
      </c>
    </row>
    <row r="1296" spans="1:7" x14ac:dyDescent="0.25">
      <c r="A1296">
        <v>3205</v>
      </c>
      <c r="B1296">
        <v>666</v>
      </c>
      <c r="C1296" t="s">
        <v>898</v>
      </c>
      <c r="D1296" t="s">
        <v>5054</v>
      </c>
      <c r="E1296" t="s">
        <v>5055</v>
      </c>
      <c r="F1296" t="s">
        <v>5010</v>
      </c>
      <c r="G1296" t="s">
        <v>4441</v>
      </c>
    </row>
    <row r="1297" spans="1:7" x14ac:dyDescent="0.25">
      <c r="A1297">
        <v>3206</v>
      </c>
      <c r="B1297">
        <v>666</v>
      </c>
      <c r="C1297" t="s">
        <v>898</v>
      </c>
      <c r="D1297" t="s">
        <v>2416</v>
      </c>
      <c r="E1297" t="s">
        <v>5056</v>
      </c>
      <c r="F1297" t="s">
        <v>5010</v>
      </c>
      <c r="G1297" t="s">
        <v>4441</v>
      </c>
    </row>
    <row r="1298" spans="1:7" x14ac:dyDescent="0.25">
      <c r="A1298">
        <v>3207</v>
      </c>
      <c r="B1298">
        <v>669</v>
      </c>
      <c r="C1298" t="s">
        <v>898</v>
      </c>
      <c r="D1298" t="s">
        <v>1815</v>
      </c>
      <c r="F1298" t="s">
        <v>5057</v>
      </c>
      <c r="G1298" t="s">
        <v>4441</v>
      </c>
    </row>
    <row r="1299" spans="1:7" x14ac:dyDescent="0.25">
      <c r="A1299">
        <v>3208</v>
      </c>
      <c r="B1299">
        <v>670</v>
      </c>
      <c r="C1299" t="s">
        <v>898</v>
      </c>
      <c r="D1299" t="s">
        <v>5058</v>
      </c>
      <c r="F1299" t="s">
        <v>5059</v>
      </c>
      <c r="G1299" t="s">
        <v>1457</v>
      </c>
    </row>
    <row r="1300" spans="1:7" x14ac:dyDescent="0.25">
      <c r="A1300">
        <v>3210</v>
      </c>
      <c r="B1300">
        <v>670</v>
      </c>
      <c r="C1300" t="s">
        <v>898</v>
      </c>
      <c r="D1300" t="s">
        <v>1221</v>
      </c>
      <c r="E1300" t="s">
        <v>5060</v>
      </c>
      <c r="F1300" t="s">
        <v>5059</v>
      </c>
      <c r="G1300" t="s">
        <v>4444</v>
      </c>
    </row>
    <row r="1301" spans="1:7" x14ac:dyDescent="0.25">
      <c r="A1301">
        <v>3211</v>
      </c>
      <c r="B1301">
        <v>670</v>
      </c>
      <c r="C1301" t="s">
        <v>898</v>
      </c>
      <c r="D1301" t="s">
        <v>1973</v>
      </c>
      <c r="E1301" t="s">
        <v>5061</v>
      </c>
      <c r="F1301" t="s">
        <v>5059</v>
      </c>
      <c r="G1301" t="s">
        <v>919</v>
      </c>
    </row>
    <row r="1302" spans="1:7" x14ac:dyDescent="0.25">
      <c r="A1302">
        <v>3212</v>
      </c>
      <c r="B1302">
        <v>670</v>
      </c>
      <c r="C1302" t="s">
        <v>898</v>
      </c>
      <c r="D1302" t="s">
        <v>5062</v>
      </c>
      <c r="E1302" t="s">
        <v>5063</v>
      </c>
      <c r="F1302" t="s">
        <v>5059</v>
      </c>
      <c r="G1302" t="s">
        <v>4447</v>
      </c>
    </row>
    <row r="1303" spans="1:7" x14ac:dyDescent="0.25">
      <c r="A1303">
        <v>3213</v>
      </c>
      <c r="B1303">
        <v>670</v>
      </c>
      <c r="C1303" t="s">
        <v>898</v>
      </c>
      <c r="D1303" t="s">
        <v>5064</v>
      </c>
      <c r="E1303" t="s">
        <v>5065</v>
      </c>
      <c r="F1303" t="s">
        <v>5059</v>
      </c>
      <c r="G1303" t="s">
        <v>4440</v>
      </c>
    </row>
    <row r="1304" spans="1:7" x14ac:dyDescent="0.25">
      <c r="A1304">
        <v>3214</v>
      </c>
      <c r="B1304">
        <v>670</v>
      </c>
      <c r="C1304" t="s">
        <v>898</v>
      </c>
      <c r="D1304" t="s">
        <v>5066</v>
      </c>
      <c r="F1304" t="s">
        <v>5059</v>
      </c>
      <c r="G1304" t="s">
        <v>4440</v>
      </c>
    </row>
    <row r="1305" spans="1:7" x14ac:dyDescent="0.25">
      <c r="A1305">
        <v>3215</v>
      </c>
      <c r="B1305">
        <v>670</v>
      </c>
      <c r="C1305" t="s">
        <v>898</v>
      </c>
      <c r="D1305" t="s">
        <v>5067</v>
      </c>
      <c r="E1305" t="s">
        <v>5068</v>
      </c>
      <c r="F1305" t="s">
        <v>5059</v>
      </c>
      <c r="G1305" t="s">
        <v>4447</v>
      </c>
    </row>
    <row r="1306" spans="1:7" x14ac:dyDescent="0.25">
      <c r="A1306">
        <v>3217</v>
      </c>
      <c r="B1306">
        <v>670</v>
      </c>
      <c r="C1306" t="s">
        <v>898</v>
      </c>
      <c r="D1306" t="s">
        <v>5069</v>
      </c>
      <c r="F1306" t="s">
        <v>5059</v>
      </c>
      <c r="G1306" t="s">
        <v>4445</v>
      </c>
    </row>
    <row r="1307" spans="1:7" x14ac:dyDescent="0.25">
      <c r="A1307">
        <v>3218</v>
      </c>
      <c r="B1307">
        <v>671</v>
      </c>
      <c r="C1307" t="s">
        <v>898</v>
      </c>
      <c r="D1307" t="s">
        <v>5070</v>
      </c>
      <c r="F1307" t="s">
        <v>5071</v>
      </c>
      <c r="G1307" t="s">
        <v>919</v>
      </c>
    </row>
    <row r="1308" spans="1:7" x14ac:dyDescent="0.25">
      <c r="A1308">
        <v>3219</v>
      </c>
      <c r="B1308">
        <v>671</v>
      </c>
      <c r="C1308" t="s">
        <v>898</v>
      </c>
      <c r="D1308" t="s">
        <v>5072</v>
      </c>
      <c r="F1308" t="s">
        <v>5071</v>
      </c>
      <c r="G1308" t="s">
        <v>4444</v>
      </c>
    </row>
    <row r="1309" spans="1:7" x14ac:dyDescent="0.25">
      <c r="A1309">
        <v>3220</v>
      </c>
      <c r="B1309">
        <v>671</v>
      </c>
      <c r="C1309" t="s">
        <v>898</v>
      </c>
      <c r="D1309" t="s">
        <v>5073</v>
      </c>
      <c r="F1309" t="s">
        <v>5071</v>
      </c>
      <c r="G1309" t="s">
        <v>4447</v>
      </c>
    </row>
    <row r="1310" spans="1:7" x14ac:dyDescent="0.25">
      <c r="A1310">
        <v>3221</v>
      </c>
      <c r="B1310">
        <v>671</v>
      </c>
      <c r="C1310" t="s">
        <v>898</v>
      </c>
      <c r="D1310" t="s">
        <v>1815</v>
      </c>
      <c r="F1310" t="s">
        <v>5071</v>
      </c>
      <c r="G1310" t="s">
        <v>4441</v>
      </c>
    </row>
    <row r="1311" spans="1:7" x14ac:dyDescent="0.25">
      <c r="A1311">
        <v>3222</v>
      </c>
      <c r="B1311">
        <v>672</v>
      </c>
      <c r="C1311" t="s">
        <v>898</v>
      </c>
      <c r="D1311" t="s">
        <v>1894</v>
      </c>
      <c r="E1311" t="s">
        <v>5074</v>
      </c>
      <c r="F1311" t="s">
        <v>5075</v>
      </c>
      <c r="G1311" t="s">
        <v>4448</v>
      </c>
    </row>
    <row r="1312" spans="1:7" x14ac:dyDescent="0.25">
      <c r="A1312">
        <v>3223</v>
      </c>
      <c r="B1312">
        <v>672</v>
      </c>
      <c r="C1312" t="s">
        <v>898</v>
      </c>
      <c r="D1312" t="s">
        <v>1137</v>
      </c>
      <c r="E1312" t="s">
        <v>5076</v>
      </c>
      <c r="F1312" t="s">
        <v>5075</v>
      </c>
      <c r="G1312" t="s">
        <v>4444</v>
      </c>
    </row>
    <row r="1313" spans="1:7" x14ac:dyDescent="0.25">
      <c r="A1313">
        <v>3224</v>
      </c>
      <c r="B1313">
        <v>672</v>
      </c>
      <c r="C1313" t="s">
        <v>898</v>
      </c>
      <c r="D1313" t="s">
        <v>5077</v>
      </c>
      <c r="E1313" t="s">
        <v>5078</v>
      </c>
      <c r="F1313" t="s">
        <v>5075</v>
      </c>
      <c r="G1313" t="s">
        <v>4448</v>
      </c>
    </row>
    <row r="1314" spans="1:7" x14ac:dyDescent="0.25">
      <c r="A1314">
        <v>3225</v>
      </c>
      <c r="B1314">
        <v>672</v>
      </c>
      <c r="C1314" t="s">
        <v>898</v>
      </c>
      <c r="D1314" t="s">
        <v>2416</v>
      </c>
      <c r="E1314" t="s">
        <v>5079</v>
      </c>
      <c r="F1314" t="s">
        <v>5080</v>
      </c>
      <c r="G1314" t="s">
        <v>4441</v>
      </c>
    </row>
    <row r="1315" spans="1:7" x14ac:dyDescent="0.25">
      <c r="A1315">
        <v>3226</v>
      </c>
      <c r="B1315">
        <v>402</v>
      </c>
      <c r="C1315" t="s">
        <v>898</v>
      </c>
      <c r="D1315" t="s">
        <v>5081</v>
      </c>
      <c r="E1315" t="s">
        <v>1941</v>
      </c>
      <c r="F1315" t="s">
        <v>1931</v>
      </c>
      <c r="G1315" t="s">
        <v>4451</v>
      </c>
    </row>
    <row r="1316" spans="1:7" x14ac:dyDescent="0.25">
      <c r="A1316">
        <v>3232</v>
      </c>
      <c r="B1316">
        <v>673</v>
      </c>
      <c r="C1316" t="s">
        <v>898</v>
      </c>
      <c r="D1316" t="s">
        <v>5082</v>
      </c>
      <c r="F1316" t="s">
        <v>5083</v>
      </c>
      <c r="G1316" t="s">
        <v>4440</v>
      </c>
    </row>
    <row r="1317" spans="1:7" x14ac:dyDescent="0.25">
      <c r="A1317">
        <v>3233</v>
      </c>
      <c r="B1317">
        <v>673</v>
      </c>
      <c r="C1317" t="s">
        <v>898</v>
      </c>
      <c r="D1317" t="s">
        <v>5084</v>
      </c>
      <c r="F1317" t="s">
        <v>5085</v>
      </c>
      <c r="G1317" t="s">
        <v>4451</v>
      </c>
    </row>
    <row r="1318" spans="1:7" x14ac:dyDescent="0.25">
      <c r="A1318">
        <v>3235</v>
      </c>
      <c r="B1318">
        <v>673</v>
      </c>
      <c r="C1318" t="s">
        <v>898</v>
      </c>
      <c r="D1318" t="s">
        <v>5086</v>
      </c>
      <c r="F1318" t="s">
        <v>5083</v>
      </c>
      <c r="G1318" t="s">
        <v>4448</v>
      </c>
    </row>
    <row r="1319" spans="1:7" x14ac:dyDescent="0.25">
      <c r="A1319">
        <v>3239</v>
      </c>
      <c r="B1319">
        <v>673</v>
      </c>
      <c r="C1319" t="s">
        <v>898</v>
      </c>
      <c r="D1319" t="s">
        <v>1137</v>
      </c>
      <c r="F1319" t="s">
        <v>5083</v>
      </c>
      <c r="G1319" t="s">
        <v>4444</v>
      </c>
    </row>
    <row r="1320" spans="1:7" x14ac:dyDescent="0.25">
      <c r="A1320">
        <v>3240</v>
      </c>
      <c r="B1320">
        <v>673</v>
      </c>
      <c r="C1320" t="s">
        <v>898</v>
      </c>
      <c r="D1320" t="s">
        <v>1219</v>
      </c>
      <c r="F1320" t="s">
        <v>5083</v>
      </c>
      <c r="G1320" t="s">
        <v>919</v>
      </c>
    </row>
    <row r="1321" spans="1:7" x14ac:dyDescent="0.25">
      <c r="A1321">
        <v>3241</v>
      </c>
      <c r="B1321">
        <v>673</v>
      </c>
      <c r="C1321" t="s">
        <v>898</v>
      </c>
      <c r="D1321" t="s">
        <v>4772</v>
      </c>
      <c r="F1321" t="s">
        <v>5083</v>
      </c>
      <c r="G1321" t="s">
        <v>1670</v>
      </c>
    </row>
    <row r="1322" spans="1:7" x14ac:dyDescent="0.25">
      <c r="A1322">
        <v>3242</v>
      </c>
      <c r="B1322">
        <v>673</v>
      </c>
      <c r="C1322" t="s">
        <v>898</v>
      </c>
      <c r="D1322" t="s">
        <v>5087</v>
      </c>
      <c r="F1322" t="s">
        <v>5083</v>
      </c>
      <c r="G1322" t="s">
        <v>4447</v>
      </c>
    </row>
    <row r="1323" spans="1:7" x14ac:dyDescent="0.25">
      <c r="A1323">
        <v>3244</v>
      </c>
      <c r="B1323">
        <v>673</v>
      </c>
      <c r="C1323" t="s">
        <v>898</v>
      </c>
      <c r="D1323" t="s">
        <v>1378</v>
      </c>
      <c r="E1323" t="s">
        <v>5088</v>
      </c>
      <c r="F1323" t="s">
        <v>5083</v>
      </c>
      <c r="G1323" t="s">
        <v>4442</v>
      </c>
    </row>
    <row r="1324" spans="1:7" x14ac:dyDescent="0.25">
      <c r="A1324">
        <v>3245</v>
      </c>
      <c r="B1324">
        <v>673</v>
      </c>
      <c r="C1324" t="s">
        <v>898</v>
      </c>
      <c r="D1324" t="s">
        <v>5089</v>
      </c>
      <c r="F1324" t="s">
        <v>5083</v>
      </c>
      <c r="G1324" t="s">
        <v>4442</v>
      </c>
    </row>
    <row r="1325" spans="1:7" x14ac:dyDescent="0.25">
      <c r="A1325">
        <v>3249</v>
      </c>
      <c r="B1325">
        <v>673</v>
      </c>
      <c r="C1325" t="s">
        <v>898</v>
      </c>
      <c r="D1325" t="s">
        <v>5090</v>
      </c>
      <c r="F1325" t="s">
        <v>5083</v>
      </c>
    </row>
    <row r="1326" spans="1:7" x14ac:dyDescent="0.25">
      <c r="A1326">
        <v>3256</v>
      </c>
      <c r="B1326">
        <v>675</v>
      </c>
      <c r="C1326" t="s">
        <v>898</v>
      </c>
      <c r="D1326" t="s">
        <v>1137</v>
      </c>
      <c r="F1326" t="s">
        <v>5091</v>
      </c>
      <c r="G1326" t="s">
        <v>4444</v>
      </c>
    </row>
    <row r="1327" spans="1:7" x14ac:dyDescent="0.25">
      <c r="A1327">
        <v>3257</v>
      </c>
      <c r="B1327">
        <v>675</v>
      </c>
      <c r="C1327" t="s">
        <v>898</v>
      </c>
      <c r="D1327" t="s">
        <v>4783</v>
      </c>
      <c r="F1327" t="s">
        <v>5091</v>
      </c>
      <c r="G1327" t="s">
        <v>919</v>
      </c>
    </row>
    <row r="1328" spans="1:7" x14ac:dyDescent="0.25">
      <c r="A1328">
        <v>3260</v>
      </c>
      <c r="B1328">
        <v>675</v>
      </c>
      <c r="C1328" t="s">
        <v>898</v>
      </c>
      <c r="D1328" t="s">
        <v>2664</v>
      </c>
      <c r="F1328" t="s">
        <v>5091</v>
      </c>
      <c r="G1328" t="s">
        <v>2758</v>
      </c>
    </row>
    <row r="1329" spans="1:7" x14ac:dyDescent="0.25">
      <c r="A1329">
        <v>3261</v>
      </c>
      <c r="B1329">
        <v>675</v>
      </c>
      <c r="C1329" t="s">
        <v>898</v>
      </c>
      <c r="D1329" t="s">
        <v>5092</v>
      </c>
      <c r="F1329" t="s">
        <v>5093</v>
      </c>
      <c r="G1329" t="s">
        <v>1262</v>
      </c>
    </row>
    <row r="1330" spans="1:7" x14ac:dyDescent="0.25">
      <c r="A1330">
        <v>3262</v>
      </c>
      <c r="B1330">
        <v>675</v>
      </c>
      <c r="C1330" t="s">
        <v>898</v>
      </c>
      <c r="D1330" t="s">
        <v>5094</v>
      </c>
      <c r="F1330" t="s">
        <v>5095</v>
      </c>
      <c r="G1330" t="s">
        <v>2755</v>
      </c>
    </row>
    <row r="1331" spans="1:7" x14ac:dyDescent="0.25">
      <c r="A1331">
        <v>3263</v>
      </c>
      <c r="B1331">
        <v>675</v>
      </c>
      <c r="C1331" t="s">
        <v>898</v>
      </c>
      <c r="D1331" t="s">
        <v>5096</v>
      </c>
      <c r="E1331" t="s">
        <v>5097</v>
      </c>
      <c r="F1331" t="s">
        <v>5095</v>
      </c>
      <c r="G1331" t="s">
        <v>4449</v>
      </c>
    </row>
    <row r="1332" spans="1:7" x14ac:dyDescent="0.25">
      <c r="A1332">
        <v>3264</v>
      </c>
      <c r="B1332">
        <v>675</v>
      </c>
      <c r="C1332" t="s">
        <v>898</v>
      </c>
      <c r="D1332" t="s">
        <v>1815</v>
      </c>
      <c r="E1332" t="s">
        <v>5098</v>
      </c>
      <c r="F1332" t="s">
        <v>5099</v>
      </c>
      <c r="G1332" t="s">
        <v>4441</v>
      </c>
    </row>
    <row r="1333" spans="1:7" x14ac:dyDescent="0.25">
      <c r="A1333">
        <v>3265</v>
      </c>
      <c r="B1333">
        <v>675</v>
      </c>
      <c r="C1333" t="s">
        <v>898</v>
      </c>
      <c r="D1333" t="s">
        <v>5100</v>
      </c>
      <c r="E1333" t="s">
        <v>5098</v>
      </c>
      <c r="F1333" t="s">
        <v>5099</v>
      </c>
      <c r="G1333" t="s">
        <v>4441</v>
      </c>
    </row>
    <row r="1334" spans="1:7" x14ac:dyDescent="0.25">
      <c r="A1334">
        <v>3266</v>
      </c>
      <c r="B1334">
        <v>675</v>
      </c>
      <c r="C1334" t="s">
        <v>898</v>
      </c>
      <c r="D1334" t="s">
        <v>5101</v>
      </c>
      <c r="F1334" t="s">
        <v>5099</v>
      </c>
      <c r="G1334" t="s">
        <v>4450</v>
      </c>
    </row>
    <row r="1335" spans="1:7" x14ac:dyDescent="0.25">
      <c r="A1335">
        <v>3267</v>
      </c>
      <c r="B1335">
        <v>675</v>
      </c>
      <c r="C1335" t="s">
        <v>898</v>
      </c>
      <c r="D1335" t="s">
        <v>4971</v>
      </c>
      <c r="F1335" t="s">
        <v>5099</v>
      </c>
      <c r="G1335" t="s">
        <v>4440</v>
      </c>
    </row>
    <row r="1336" spans="1:7" x14ac:dyDescent="0.25">
      <c r="A1336">
        <v>3268</v>
      </c>
      <c r="B1336">
        <v>676</v>
      </c>
      <c r="C1336" t="s">
        <v>898</v>
      </c>
      <c r="D1336" t="s">
        <v>4857</v>
      </c>
      <c r="F1336" t="s">
        <v>5102</v>
      </c>
      <c r="G1336" t="s">
        <v>919</v>
      </c>
    </row>
    <row r="1337" spans="1:7" x14ac:dyDescent="0.25">
      <c r="A1337">
        <v>3269</v>
      </c>
      <c r="B1337">
        <v>676</v>
      </c>
      <c r="C1337" t="s">
        <v>898</v>
      </c>
      <c r="D1337" t="s">
        <v>1137</v>
      </c>
      <c r="F1337" t="s">
        <v>5102</v>
      </c>
      <c r="G1337" t="s">
        <v>4444</v>
      </c>
    </row>
    <row r="1338" spans="1:7" x14ac:dyDescent="0.25">
      <c r="A1338">
        <v>3270</v>
      </c>
      <c r="B1338">
        <v>676</v>
      </c>
      <c r="C1338" t="s">
        <v>898</v>
      </c>
      <c r="D1338" t="s">
        <v>5103</v>
      </c>
      <c r="F1338" t="s">
        <v>5102</v>
      </c>
      <c r="G1338" t="s">
        <v>4448</v>
      </c>
    </row>
    <row r="1339" spans="1:7" x14ac:dyDescent="0.25">
      <c r="A1339">
        <v>3271</v>
      </c>
      <c r="B1339">
        <v>677</v>
      </c>
      <c r="C1339" t="s">
        <v>894</v>
      </c>
      <c r="D1339" t="s">
        <v>5104</v>
      </c>
      <c r="E1339" t="s">
        <v>5105</v>
      </c>
      <c r="F1339" t="s">
        <v>5106</v>
      </c>
      <c r="G1339" t="s">
        <v>4445</v>
      </c>
    </row>
    <row r="1340" spans="1:7" x14ac:dyDescent="0.25">
      <c r="A1340">
        <v>3272</v>
      </c>
      <c r="B1340">
        <v>677</v>
      </c>
      <c r="C1340" t="s">
        <v>894</v>
      </c>
      <c r="D1340" t="s">
        <v>5107</v>
      </c>
      <c r="E1340" t="s">
        <v>5108</v>
      </c>
      <c r="F1340" t="s">
        <v>5106</v>
      </c>
      <c r="G1340" t="s">
        <v>1670</v>
      </c>
    </row>
    <row r="1341" spans="1:7" x14ac:dyDescent="0.25">
      <c r="A1341">
        <v>3273</v>
      </c>
      <c r="B1341">
        <v>677</v>
      </c>
      <c r="C1341" t="s">
        <v>894</v>
      </c>
      <c r="D1341" t="s">
        <v>895</v>
      </c>
      <c r="E1341" t="s">
        <v>5109</v>
      </c>
      <c r="F1341" t="s">
        <v>5106</v>
      </c>
      <c r="G1341" t="s">
        <v>4448</v>
      </c>
    </row>
    <row r="1342" spans="1:7" x14ac:dyDescent="0.25">
      <c r="A1342">
        <v>3275</v>
      </c>
      <c r="B1342">
        <v>677</v>
      </c>
      <c r="C1342" t="s">
        <v>894</v>
      </c>
      <c r="D1342" t="s">
        <v>5110</v>
      </c>
      <c r="E1342" t="s">
        <v>5111</v>
      </c>
      <c r="F1342" t="s">
        <v>5106</v>
      </c>
      <c r="G1342" t="s">
        <v>4448</v>
      </c>
    </row>
    <row r="1343" spans="1:7" x14ac:dyDescent="0.25">
      <c r="A1343">
        <v>3277</v>
      </c>
      <c r="B1343">
        <v>677</v>
      </c>
      <c r="C1343" t="s">
        <v>894</v>
      </c>
      <c r="D1343" t="s">
        <v>1294</v>
      </c>
      <c r="E1343" t="s">
        <v>5112</v>
      </c>
      <c r="F1343" t="s">
        <v>5106</v>
      </c>
      <c r="G1343" t="s">
        <v>4443</v>
      </c>
    </row>
    <row r="1344" spans="1:7" x14ac:dyDescent="0.25">
      <c r="A1344">
        <v>3278</v>
      </c>
      <c r="B1344">
        <v>677</v>
      </c>
      <c r="C1344" t="s">
        <v>894</v>
      </c>
      <c r="D1344" t="s">
        <v>5113</v>
      </c>
      <c r="E1344" t="s">
        <v>5114</v>
      </c>
      <c r="F1344" t="s">
        <v>5106</v>
      </c>
      <c r="G1344" t="s">
        <v>4454</v>
      </c>
    </row>
    <row r="1345" spans="1:7" ht="105" x14ac:dyDescent="0.25">
      <c r="A1345">
        <v>3284</v>
      </c>
      <c r="B1345">
        <v>28</v>
      </c>
      <c r="C1345" t="s">
        <v>894</v>
      </c>
      <c r="D1345" t="s">
        <v>5115</v>
      </c>
      <c r="E1345" s="1" t="s">
        <v>5116</v>
      </c>
      <c r="F1345" t="s">
        <v>5117</v>
      </c>
      <c r="G1345" t="s">
        <v>4442</v>
      </c>
    </row>
    <row r="1346" spans="1:7" x14ac:dyDescent="0.25">
      <c r="A1346">
        <v>3285</v>
      </c>
      <c r="B1346">
        <v>678</v>
      </c>
      <c r="C1346" t="s">
        <v>894</v>
      </c>
      <c r="D1346" t="s">
        <v>1028</v>
      </c>
      <c r="E1346" t="s">
        <v>5118</v>
      </c>
      <c r="F1346" t="s">
        <v>5119</v>
      </c>
      <c r="G1346" t="s">
        <v>919</v>
      </c>
    </row>
    <row r="1347" spans="1:7" x14ac:dyDescent="0.25">
      <c r="A1347">
        <v>3286</v>
      </c>
      <c r="B1347">
        <v>678</v>
      </c>
      <c r="C1347" t="s">
        <v>894</v>
      </c>
      <c r="D1347" t="s">
        <v>1709</v>
      </c>
      <c r="E1347" t="s">
        <v>5120</v>
      </c>
      <c r="F1347" t="s">
        <v>5119</v>
      </c>
    </row>
    <row r="1348" spans="1:7" x14ac:dyDescent="0.25">
      <c r="A1348">
        <v>3287</v>
      </c>
      <c r="B1348">
        <v>678</v>
      </c>
      <c r="C1348" t="s">
        <v>894</v>
      </c>
      <c r="D1348" t="s">
        <v>1322</v>
      </c>
      <c r="E1348" t="s">
        <v>5121</v>
      </c>
      <c r="F1348" t="s">
        <v>5119</v>
      </c>
      <c r="G1348" t="s">
        <v>4442</v>
      </c>
    </row>
    <row r="1349" spans="1:7" x14ac:dyDescent="0.25">
      <c r="A1349">
        <v>3288</v>
      </c>
      <c r="B1349">
        <v>678</v>
      </c>
      <c r="C1349" t="s">
        <v>898</v>
      </c>
      <c r="D1349" t="s">
        <v>5122</v>
      </c>
      <c r="E1349" t="s">
        <v>5123</v>
      </c>
      <c r="F1349" t="s">
        <v>5119</v>
      </c>
      <c r="G1349" t="s">
        <v>4447</v>
      </c>
    </row>
    <row r="1350" spans="1:7" x14ac:dyDescent="0.25">
      <c r="A1350">
        <v>3289</v>
      </c>
      <c r="B1350">
        <v>678</v>
      </c>
      <c r="C1350" t="s">
        <v>894</v>
      </c>
      <c r="D1350" t="s">
        <v>5124</v>
      </c>
      <c r="E1350" t="s">
        <v>5125</v>
      </c>
      <c r="F1350" t="s">
        <v>5119</v>
      </c>
      <c r="G1350" t="s">
        <v>4447</v>
      </c>
    </row>
    <row r="1351" spans="1:7" x14ac:dyDescent="0.25">
      <c r="A1351">
        <v>3290</v>
      </c>
      <c r="B1351">
        <v>678</v>
      </c>
      <c r="C1351" t="s">
        <v>894</v>
      </c>
      <c r="D1351" t="s">
        <v>933</v>
      </c>
      <c r="E1351" t="s">
        <v>5121</v>
      </c>
      <c r="F1351" t="s">
        <v>5126</v>
      </c>
      <c r="G1351" t="s">
        <v>4444</v>
      </c>
    </row>
    <row r="1352" spans="1:7" x14ac:dyDescent="0.25">
      <c r="A1352">
        <v>3291</v>
      </c>
      <c r="B1352">
        <v>678</v>
      </c>
      <c r="C1352" t="s">
        <v>894</v>
      </c>
      <c r="D1352" t="s">
        <v>5127</v>
      </c>
      <c r="E1352" t="s">
        <v>5121</v>
      </c>
      <c r="F1352" t="s">
        <v>5119</v>
      </c>
    </row>
    <row r="1353" spans="1:7" x14ac:dyDescent="0.25">
      <c r="A1353">
        <v>3292</v>
      </c>
      <c r="B1353">
        <v>678</v>
      </c>
      <c r="C1353" t="s">
        <v>894</v>
      </c>
      <c r="D1353" t="s">
        <v>5128</v>
      </c>
      <c r="E1353" t="s">
        <v>5121</v>
      </c>
      <c r="F1353" t="s">
        <v>5119</v>
      </c>
      <c r="G1353" t="s">
        <v>4447</v>
      </c>
    </row>
    <row r="1354" spans="1:7" x14ac:dyDescent="0.25">
      <c r="A1354">
        <v>3293</v>
      </c>
      <c r="B1354">
        <v>678</v>
      </c>
      <c r="C1354" t="s">
        <v>894</v>
      </c>
      <c r="D1354" t="s">
        <v>5129</v>
      </c>
      <c r="E1354" t="s">
        <v>5130</v>
      </c>
      <c r="F1354" t="s">
        <v>5119</v>
      </c>
      <c r="G1354" t="s">
        <v>4447</v>
      </c>
    </row>
    <row r="1355" spans="1:7" x14ac:dyDescent="0.25">
      <c r="A1355">
        <v>3294</v>
      </c>
      <c r="B1355">
        <v>61</v>
      </c>
      <c r="C1355" t="s">
        <v>894</v>
      </c>
      <c r="D1355" t="s">
        <v>1697</v>
      </c>
      <c r="E1355" t="s">
        <v>5131</v>
      </c>
      <c r="F1355" t="s">
        <v>1063</v>
      </c>
      <c r="G1355" t="s">
        <v>4447</v>
      </c>
    </row>
    <row r="1356" spans="1:7" x14ac:dyDescent="0.25">
      <c r="A1356">
        <v>3295</v>
      </c>
      <c r="B1356">
        <v>61</v>
      </c>
      <c r="C1356" t="s">
        <v>894</v>
      </c>
      <c r="D1356" t="s">
        <v>5132</v>
      </c>
      <c r="E1356" t="s">
        <v>5133</v>
      </c>
      <c r="F1356" t="s">
        <v>1063</v>
      </c>
      <c r="G1356" t="s">
        <v>4447</v>
      </c>
    </row>
    <row r="1357" spans="1:7" x14ac:dyDescent="0.25">
      <c r="A1357">
        <v>3298</v>
      </c>
      <c r="B1357">
        <v>680</v>
      </c>
      <c r="C1357" t="s">
        <v>898</v>
      </c>
      <c r="D1357" t="s">
        <v>5134</v>
      </c>
      <c r="E1357" t="s">
        <v>5135</v>
      </c>
      <c r="F1357" t="s">
        <v>5136</v>
      </c>
    </row>
    <row r="1358" spans="1:7" x14ac:dyDescent="0.25">
      <c r="A1358">
        <v>3299</v>
      </c>
      <c r="B1358">
        <v>680</v>
      </c>
      <c r="C1358" t="s">
        <v>898</v>
      </c>
      <c r="D1358" t="s">
        <v>5137</v>
      </c>
      <c r="E1358" t="s">
        <v>5138</v>
      </c>
      <c r="F1358" t="s">
        <v>5139</v>
      </c>
    </row>
    <row r="1359" spans="1:7" x14ac:dyDescent="0.25">
      <c r="A1359">
        <v>3301</v>
      </c>
      <c r="B1359">
        <v>852</v>
      </c>
      <c r="C1359" t="s">
        <v>898</v>
      </c>
      <c r="D1359" t="s">
        <v>5140</v>
      </c>
      <c r="E1359" t="s">
        <v>5141</v>
      </c>
      <c r="F1359" t="s">
        <v>5142</v>
      </c>
    </row>
    <row r="1360" spans="1:7" x14ac:dyDescent="0.25">
      <c r="A1360">
        <v>3306</v>
      </c>
      <c r="B1360">
        <v>58</v>
      </c>
      <c r="C1360" t="s">
        <v>894</v>
      </c>
      <c r="D1360" t="s">
        <v>5143</v>
      </c>
      <c r="F1360" t="s">
        <v>1029</v>
      </c>
      <c r="G1360" t="s">
        <v>4444</v>
      </c>
    </row>
    <row r="1361" spans="1:8" x14ac:dyDescent="0.25">
      <c r="A1361">
        <v>3307</v>
      </c>
      <c r="B1361">
        <v>112</v>
      </c>
      <c r="C1361" t="s">
        <v>898</v>
      </c>
      <c r="D1361" t="s">
        <v>5144</v>
      </c>
      <c r="E1361" t="s">
        <v>5145</v>
      </c>
      <c r="F1361" t="s">
        <v>1850</v>
      </c>
      <c r="G1361" t="s">
        <v>919</v>
      </c>
    </row>
    <row r="1362" spans="1:8" x14ac:dyDescent="0.25">
      <c r="A1362">
        <v>3308</v>
      </c>
      <c r="B1362">
        <v>112</v>
      </c>
      <c r="C1362" t="s">
        <v>898</v>
      </c>
      <c r="D1362" t="s">
        <v>5146</v>
      </c>
      <c r="E1362" t="s">
        <v>5147</v>
      </c>
      <c r="F1362" t="s">
        <v>1850</v>
      </c>
      <c r="G1362" t="s">
        <v>4442</v>
      </c>
    </row>
    <row r="1363" spans="1:8" x14ac:dyDescent="0.25">
      <c r="A1363">
        <v>3309</v>
      </c>
      <c r="B1363">
        <v>112</v>
      </c>
      <c r="C1363" t="s">
        <v>898</v>
      </c>
      <c r="D1363" t="s">
        <v>5148</v>
      </c>
      <c r="E1363" t="s">
        <v>5149</v>
      </c>
      <c r="F1363" t="s">
        <v>1850</v>
      </c>
      <c r="G1363" t="s">
        <v>4442</v>
      </c>
    </row>
    <row r="1364" spans="1:8" x14ac:dyDescent="0.25">
      <c r="A1364">
        <v>3311</v>
      </c>
      <c r="B1364">
        <v>112</v>
      </c>
      <c r="C1364" t="s">
        <v>898</v>
      </c>
      <c r="D1364" t="s">
        <v>5150</v>
      </c>
      <c r="E1364" t="s">
        <v>5151</v>
      </c>
      <c r="F1364" t="s">
        <v>1853</v>
      </c>
      <c r="G1364" t="s">
        <v>4440</v>
      </c>
    </row>
    <row r="1365" spans="1:8" x14ac:dyDescent="0.25">
      <c r="A1365">
        <v>3313</v>
      </c>
      <c r="B1365">
        <v>684</v>
      </c>
      <c r="C1365" t="s">
        <v>898</v>
      </c>
      <c r="D1365" t="s">
        <v>5152</v>
      </c>
      <c r="E1365" t="s">
        <v>5153</v>
      </c>
      <c r="F1365" t="s">
        <v>2377</v>
      </c>
    </row>
    <row r="1366" spans="1:8" x14ac:dyDescent="0.25">
      <c r="A1366">
        <v>3319</v>
      </c>
      <c r="B1366">
        <v>686</v>
      </c>
      <c r="C1366" t="s">
        <v>894</v>
      </c>
      <c r="D1366" t="s">
        <v>923</v>
      </c>
      <c r="E1366" t="s">
        <v>5154</v>
      </c>
      <c r="F1366" t="s">
        <v>5155</v>
      </c>
      <c r="G1366" t="s">
        <v>4444</v>
      </c>
    </row>
    <row r="1367" spans="1:8" x14ac:dyDescent="0.25">
      <c r="A1367">
        <v>3320</v>
      </c>
      <c r="B1367">
        <v>686</v>
      </c>
      <c r="C1367" t="s">
        <v>894</v>
      </c>
      <c r="D1367" t="s">
        <v>917</v>
      </c>
      <c r="E1367" t="s">
        <v>5156</v>
      </c>
      <c r="F1367" t="s">
        <v>5155</v>
      </c>
      <c r="G1367" t="s">
        <v>919</v>
      </c>
    </row>
    <row r="1368" spans="1:8" x14ac:dyDescent="0.25">
      <c r="A1368">
        <v>3321</v>
      </c>
      <c r="B1368">
        <v>686</v>
      </c>
      <c r="C1368" t="s">
        <v>894</v>
      </c>
      <c r="D1368" t="s">
        <v>960</v>
      </c>
      <c r="E1368" t="s">
        <v>5157</v>
      </c>
      <c r="F1368" t="s">
        <v>5155</v>
      </c>
      <c r="G1368" t="s">
        <v>4447</v>
      </c>
    </row>
    <row r="1369" spans="1:8" x14ac:dyDescent="0.25">
      <c r="A1369">
        <v>3322</v>
      </c>
      <c r="B1369">
        <v>686</v>
      </c>
      <c r="C1369" t="s">
        <v>894</v>
      </c>
      <c r="D1369" t="s">
        <v>5158</v>
      </c>
      <c r="E1369" t="s">
        <v>5159</v>
      </c>
      <c r="F1369" t="s">
        <v>5155</v>
      </c>
      <c r="G1369" t="s">
        <v>1670</v>
      </c>
    </row>
    <row r="1370" spans="1:8" x14ac:dyDescent="0.25">
      <c r="A1370">
        <v>3326</v>
      </c>
      <c r="B1370">
        <v>102</v>
      </c>
      <c r="C1370" t="s">
        <v>898</v>
      </c>
      <c r="D1370" t="s">
        <v>5160</v>
      </c>
      <c r="E1370" t="s">
        <v>5161</v>
      </c>
      <c r="F1370" t="s">
        <v>1142</v>
      </c>
      <c r="G1370" t="s">
        <v>4442</v>
      </c>
    </row>
    <row r="1371" spans="1:8" x14ac:dyDescent="0.25">
      <c r="A1371">
        <v>3330</v>
      </c>
      <c r="B1371">
        <v>467</v>
      </c>
      <c r="C1371" t="s">
        <v>898</v>
      </c>
      <c r="D1371" t="s">
        <v>5162</v>
      </c>
      <c r="E1371" t="s">
        <v>5163</v>
      </c>
      <c r="F1371" t="s">
        <v>4615</v>
      </c>
    </row>
    <row r="1372" spans="1:8" x14ac:dyDescent="0.25">
      <c r="A1372">
        <v>3338</v>
      </c>
      <c r="B1372">
        <v>643</v>
      </c>
      <c r="C1372" t="s">
        <v>1188</v>
      </c>
      <c r="D1372" t="s">
        <v>5164</v>
      </c>
      <c r="E1372" t="s">
        <v>5165</v>
      </c>
      <c r="F1372" t="s">
        <v>1191</v>
      </c>
      <c r="G1372" t="s">
        <v>4442</v>
      </c>
    </row>
    <row r="1373" spans="1:8" x14ac:dyDescent="0.25">
      <c r="A1373">
        <v>3339</v>
      </c>
      <c r="B1373">
        <v>643</v>
      </c>
      <c r="C1373" t="s">
        <v>1188</v>
      </c>
      <c r="D1373" t="s">
        <v>5166</v>
      </c>
      <c r="E1373" t="s">
        <v>5167</v>
      </c>
      <c r="F1373" t="s">
        <v>1191</v>
      </c>
      <c r="G1373" t="s">
        <v>2758</v>
      </c>
      <c r="H1373">
        <v>500</v>
      </c>
    </row>
    <row r="1374" spans="1:8" x14ac:dyDescent="0.25">
      <c r="A1374">
        <v>3340</v>
      </c>
      <c r="B1374">
        <v>643</v>
      </c>
      <c r="C1374" t="s">
        <v>1188</v>
      </c>
      <c r="D1374" t="s">
        <v>5168</v>
      </c>
      <c r="E1374" t="s">
        <v>5169</v>
      </c>
      <c r="F1374" t="s">
        <v>1191</v>
      </c>
    </row>
    <row r="1375" spans="1:8" x14ac:dyDescent="0.25">
      <c r="A1375">
        <v>3341</v>
      </c>
      <c r="B1375">
        <v>643</v>
      </c>
      <c r="C1375" t="s">
        <v>1188</v>
      </c>
      <c r="D1375" t="s">
        <v>5170</v>
      </c>
      <c r="E1375" t="s">
        <v>5171</v>
      </c>
      <c r="F1375" t="s">
        <v>1191</v>
      </c>
      <c r="G1375" t="s">
        <v>4447</v>
      </c>
    </row>
    <row r="1376" spans="1:8" x14ac:dyDescent="0.25">
      <c r="A1376">
        <v>3343</v>
      </c>
      <c r="B1376">
        <v>35</v>
      </c>
      <c r="C1376" t="s">
        <v>898</v>
      </c>
      <c r="D1376" t="s">
        <v>5172</v>
      </c>
      <c r="E1376" t="s">
        <v>5173</v>
      </c>
      <c r="F1376" t="s">
        <v>5174</v>
      </c>
    </row>
    <row r="1377" spans="1:7" x14ac:dyDescent="0.25">
      <c r="A1377">
        <v>3348</v>
      </c>
      <c r="B1377">
        <v>694</v>
      </c>
      <c r="C1377" t="s">
        <v>1188</v>
      </c>
      <c r="D1377" t="s">
        <v>5175</v>
      </c>
      <c r="E1377" t="s">
        <v>5176</v>
      </c>
      <c r="F1377" t="s">
        <v>5177</v>
      </c>
      <c r="G1377" t="s">
        <v>4447</v>
      </c>
    </row>
    <row r="1378" spans="1:7" x14ac:dyDescent="0.25">
      <c r="A1378">
        <v>3349</v>
      </c>
      <c r="B1378">
        <v>694</v>
      </c>
      <c r="C1378" t="s">
        <v>1188</v>
      </c>
      <c r="D1378" t="s">
        <v>5178</v>
      </c>
      <c r="F1378" t="s">
        <v>5177</v>
      </c>
      <c r="G1378" t="s">
        <v>4447</v>
      </c>
    </row>
    <row r="1379" spans="1:7" x14ac:dyDescent="0.25">
      <c r="A1379">
        <v>3350</v>
      </c>
      <c r="B1379">
        <v>694</v>
      </c>
      <c r="C1379" t="s">
        <v>1188</v>
      </c>
      <c r="D1379" t="s">
        <v>5179</v>
      </c>
      <c r="F1379" t="s">
        <v>5177</v>
      </c>
      <c r="G1379" t="s">
        <v>4447</v>
      </c>
    </row>
    <row r="1380" spans="1:7" x14ac:dyDescent="0.25">
      <c r="A1380">
        <v>3351</v>
      </c>
      <c r="B1380">
        <v>694</v>
      </c>
      <c r="C1380" t="s">
        <v>1188</v>
      </c>
      <c r="D1380" t="s">
        <v>5180</v>
      </c>
      <c r="E1380" t="s">
        <v>5181</v>
      </c>
      <c r="F1380" t="s">
        <v>5177</v>
      </c>
      <c r="G1380" t="s">
        <v>919</v>
      </c>
    </row>
    <row r="1381" spans="1:7" x14ac:dyDescent="0.25">
      <c r="A1381">
        <v>3352</v>
      </c>
      <c r="B1381">
        <v>694</v>
      </c>
      <c r="C1381" t="s">
        <v>1188</v>
      </c>
      <c r="D1381" t="s">
        <v>5182</v>
      </c>
      <c r="F1381" t="s">
        <v>5177</v>
      </c>
      <c r="G1381" t="s">
        <v>4442</v>
      </c>
    </row>
    <row r="1382" spans="1:7" x14ac:dyDescent="0.25">
      <c r="A1382">
        <v>3353</v>
      </c>
      <c r="B1382">
        <v>694</v>
      </c>
      <c r="C1382" t="s">
        <v>1188</v>
      </c>
      <c r="D1382" t="s">
        <v>1879</v>
      </c>
      <c r="F1382" t="s">
        <v>5177</v>
      </c>
      <c r="G1382" t="s">
        <v>4444</v>
      </c>
    </row>
    <row r="1383" spans="1:7" x14ac:dyDescent="0.25">
      <c r="A1383">
        <v>3354</v>
      </c>
      <c r="B1383">
        <v>695</v>
      </c>
      <c r="C1383" t="s">
        <v>1188</v>
      </c>
      <c r="D1383" t="s">
        <v>5183</v>
      </c>
      <c r="F1383" t="s">
        <v>5184</v>
      </c>
      <c r="G1383" t="s">
        <v>4442</v>
      </c>
    </row>
    <row r="1384" spans="1:7" x14ac:dyDescent="0.25">
      <c r="A1384">
        <v>3355</v>
      </c>
      <c r="B1384">
        <v>695</v>
      </c>
      <c r="C1384" t="s">
        <v>1188</v>
      </c>
      <c r="D1384" t="s">
        <v>5185</v>
      </c>
      <c r="F1384" t="s">
        <v>5186</v>
      </c>
      <c r="G1384" t="s">
        <v>4447</v>
      </c>
    </row>
    <row r="1385" spans="1:7" x14ac:dyDescent="0.25">
      <c r="A1385">
        <v>3357</v>
      </c>
      <c r="B1385">
        <v>696</v>
      </c>
      <c r="C1385" t="s">
        <v>1188</v>
      </c>
      <c r="D1385" t="s">
        <v>5187</v>
      </c>
      <c r="F1385" t="s">
        <v>5188</v>
      </c>
      <c r="G1385" t="s">
        <v>4442</v>
      </c>
    </row>
    <row r="1386" spans="1:7" x14ac:dyDescent="0.25">
      <c r="A1386">
        <v>3358</v>
      </c>
      <c r="B1386">
        <v>696</v>
      </c>
      <c r="C1386" t="s">
        <v>1188</v>
      </c>
      <c r="D1386" t="s">
        <v>5189</v>
      </c>
      <c r="F1386" t="s">
        <v>5188</v>
      </c>
      <c r="G1386" t="s">
        <v>4444</v>
      </c>
    </row>
    <row r="1387" spans="1:7" x14ac:dyDescent="0.25">
      <c r="A1387">
        <v>3359</v>
      </c>
      <c r="B1387">
        <v>696</v>
      </c>
      <c r="C1387" t="s">
        <v>1188</v>
      </c>
      <c r="D1387" t="s">
        <v>5190</v>
      </c>
      <c r="F1387" t="s">
        <v>5188</v>
      </c>
      <c r="G1387" t="s">
        <v>919</v>
      </c>
    </row>
    <row r="1388" spans="1:7" x14ac:dyDescent="0.25">
      <c r="A1388">
        <v>3360</v>
      </c>
      <c r="B1388">
        <v>697</v>
      </c>
      <c r="C1388" t="s">
        <v>1188</v>
      </c>
      <c r="D1388" t="s">
        <v>5191</v>
      </c>
      <c r="F1388" t="s">
        <v>5192</v>
      </c>
      <c r="G1388" t="s">
        <v>2758</v>
      </c>
    </row>
    <row r="1389" spans="1:7" x14ac:dyDescent="0.25">
      <c r="A1389">
        <v>3361</v>
      </c>
      <c r="B1389">
        <v>697</v>
      </c>
      <c r="C1389" t="s">
        <v>1188</v>
      </c>
      <c r="D1389" t="s">
        <v>5193</v>
      </c>
      <c r="F1389" t="s">
        <v>5192</v>
      </c>
      <c r="G1389" t="s">
        <v>4447</v>
      </c>
    </row>
    <row r="1390" spans="1:7" x14ac:dyDescent="0.25">
      <c r="A1390">
        <v>3362</v>
      </c>
      <c r="B1390">
        <v>697</v>
      </c>
      <c r="C1390" t="s">
        <v>1188</v>
      </c>
      <c r="D1390" t="s">
        <v>5194</v>
      </c>
      <c r="F1390" t="s">
        <v>5192</v>
      </c>
      <c r="G1390" t="s">
        <v>4451</v>
      </c>
    </row>
    <row r="1391" spans="1:7" x14ac:dyDescent="0.25">
      <c r="A1391">
        <v>3363</v>
      </c>
      <c r="B1391">
        <v>697</v>
      </c>
      <c r="C1391" t="s">
        <v>1188</v>
      </c>
      <c r="D1391" t="s">
        <v>5195</v>
      </c>
      <c r="F1391" t="s">
        <v>5192</v>
      </c>
      <c r="G1391" t="s">
        <v>4445</v>
      </c>
    </row>
    <row r="1392" spans="1:7" x14ac:dyDescent="0.25">
      <c r="A1392">
        <v>3364</v>
      </c>
      <c r="B1392">
        <v>697</v>
      </c>
      <c r="C1392" t="s">
        <v>1188</v>
      </c>
      <c r="D1392" t="s">
        <v>1795</v>
      </c>
      <c r="F1392" t="s">
        <v>5192</v>
      </c>
      <c r="G1392" t="s">
        <v>4441</v>
      </c>
    </row>
    <row r="1393" spans="1:7" x14ac:dyDescent="0.25">
      <c r="A1393">
        <v>3365</v>
      </c>
      <c r="B1393">
        <v>698</v>
      </c>
      <c r="C1393" t="s">
        <v>1188</v>
      </c>
      <c r="D1393" t="s">
        <v>5196</v>
      </c>
      <c r="F1393" t="s">
        <v>5197</v>
      </c>
      <c r="G1393" t="s">
        <v>4442</v>
      </c>
    </row>
    <row r="1394" spans="1:7" x14ac:dyDescent="0.25">
      <c r="A1394">
        <v>3366</v>
      </c>
      <c r="B1394">
        <v>698</v>
      </c>
      <c r="C1394" t="s">
        <v>1188</v>
      </c>
      <c r="D1394" t="s">
        <v>5198</v>
      </c>
      <c r="F1394" t="s">
        <v>5197</v>
      </c>
    </row>
    <row r="1395" spans="1:7" x14ac:dyDescent="0.25">
      <c r="A1395">
        <v>3367</v>
      </c>
      <c r="B1395">
        <v>698</v>
      </c>
      <c r="C1395" t="s">
        <v>1188</v>
      </c>
      <c r="D1395" t="s">
        <v>5199</v>
      </c>
      <c r="F1395" t="s">
        <v>5197</v>
      </c>
      <c r="G1395" t="s">
        <v>4440</v>
      </c>
    </row>
    <row r="1396" spans="1:7" x14ac:dyDescent="0.25">
      <c r="A1396">
        <v>3368</v>
      </c>
      <c r="B1396">
        <v>698</v>
      </c>
      <c r="C1396" t="s">
        <v>1188</v>
      </c>
      <c r="D1396" t="s">
        <v>5200</v>
      </c>
      <c r="F1396" t="s">
        <v>5197</v>
      </c>
      <c r="G1396" t="s">
        <v>4441</v>
      </c>
    </row>
    <row r="1397" spans="1:7" x14ac:dyDescent="0.25">
      <c r="A1397">
        <v>3372</v>
      </c>
      <c r="B1397">
        <v>701</v>
      </c>
      <c r="C1397" t="s">
        <v>1188</v>
      </c>
      <c r="D1397" t="s">
        <v>5201</v>
      </c>
      <c r="F1397" t="s">
        <v>5202</v>
      </c>
      <c r="G1397" t="s">
        <v>2758</v>
      </c>
    </row>
    <row r="1398" spans="1:7" x14ac:dyDescent="0.25">
      <c r="A1398">
        <v>3373</v>
      </c>
      <c r="B1398">
        <v>701</v>
      </c>
      <c r="C1398" t="s">
        <v>1188</v>
      </c>
      <c r="D1398" t="s">
        <v>5182</v>
      </c>
      <c r="F1398" t="s">
        <v>5202</v>
      </c>
      <c r="G1398" t="s">
        <v>4442</v>
      </c>
    </row>
    <row r="1399" spans="1:7" x14ac:dyDescent="0.25">
      <c r="A1399">
        <v>3374</v>
      </c>
      <c r="B1399">
        <v>701</v>
      </c>
      <c r="C1399" t="s">
        <v>1188</v>
      </c>
      <c r="D1399" t="s">
        <v>5203</v>
      </c>
      <c r="F1399" t="s">
        <v>5202</v>
      </c>
    </row>
    <row r="1400" spans="1:7" x14ac:dyDescent="0.25">
      <c r="A1400">
        <v>3375</v>
      </c>
      <c r="B1400">
        <v>701</v>
      </c>
      <c r="C1400" t="s">
        <v>1188</v>
      </c>
      <c r="D1400" t="s">
        <v>1921</v>
      </c>
      <c r="F1400" t="s">
        <v>5202</v>
      </c>
      <c r="G1400" t="s">
        <v>919</v>
      </c>
    </row>
    <row r="1401" spans="1:7" x14ac:dyDescent="0.25">
      <c r="A1401">
        <v>3376</v>
      </c>
      <c r="B1401">
        <v>701</v>
      </c>
      <c r="C1401" t="s">
        <v>1188</v>
      </c>
      <c r="D1401" t="s">
        <v>1189</v>
      </c>
      <c r="F1401" t="s">
        <v>5202</v>
      </c>
      <c r="G1401" t="s">
        <v>4444</v>
      </c>
    </row>
    <row r="1402" spans="1:7" x14ac:dyDescent="0.25">
      <c r="A1402">
        <v>3377</v>
      </c>
      <c r="B1402">
        <v>701</v>
      </c>
      <c r="C1402" t="s">
        <v>1188</v>
      </c>
      <c r="D1402" t="s">
        <v>1205</v>
      </c>
      <c r="F1402" t="s">
        <v>5202</v>
      </c>
      <c r="G1402" t="s">
        <v>4441</v>
      </c>
    </row>
    <row r="1403" spans="1:7" x14ac:dyDescent="0.25">
      <c r="A1403">
        <v>3378</v>
      </c>
      <c r="B1403">
        <v>701</v>
      </c>
      <c r="C1403" t="s">
        <v>1188</v>
      </c>
      <c r="D1403" t="s">
        <v>5204</v>
      </c>
      <c r="F1403" t="s">
        <v>5202</v>
      </c>
    </row>
    <row r="1404" spans="1:7" x14ac:dyDescent="0.25">
      <c r="A1404">
        <v>3379</v>
      </c>
      <c r="B1404">
        <v>701</v>
      </c>
      <c r="C1404" t="s">
        <v>1188</v>
      </c>
      <c r="D1404" t="s">
        <v>5205</v>
      </c>
      <c r="F1404" t="s">
        <v>5202</v>
      </c>
    </row>
    <row r="1405" spans="1:7" x14ac:dyDescent="0.25">
      <c r="A1405">
        <v>3380</v>
      </c>
      <c r="B1405">
        <v>701</v>
      </c>
      <c r="C1405" t="s">
        <v>1188</v>
      </c>
      <c r="D1405" t="s">
        <v>5206</v>
      </c>
      <c r="F1405" t="s">
        <v>5202</v>
      </c>
      <c r="G1405" t="s">
        <v>1262</v>
      </c>
    </row>
    <row r="1406" spans="1:7" x14ac:dyDescent="0.25">
      <c r="A1406">
        <v>3381</v>
      </c>
      <c r="B1406">
        <v>701</v>
      </c>
      <c r="C1406" t="s">
        <v>1188</v>
      </c>
      <c r="D1406" t="s">
        <v>5207</v>
      </c>
      <c r="F1406" t="s">
        <v>5202</v>
      </c>
      <c r="G1406" t="s">
        <v>4440</v>
      </c>
    </row>
    <row r="1407" spans="1:7" x14ac:dyDescent="0.25">
      <c r="A1407">
        <v>3382</v>
      </c>
      <c r="B1407">
        <v>702</v>
      </c>
      <c r="C1407" t="s">
        <v>1188</v>
      </c>
      <c r="D1407" t="s">
        <v>5208</v>
      </c>
      <c r="F1407" t="s">
        <v>5209</v>
      </c>
      <c r="G1407" t="s">
        <v>2758</v>
      </c>
    </row>
    <row r="1408" spans="1:7" x14ac:dyDescent="0.25">
      <c r="A1408">
        <v>3383</v>
      </c>
      <c r="B1408">
        <v>702</v>
      </c>
      <c r="C1408" t="s">
        <v>1188</v>
      </c>
      <c r="D1408" t="s">
        <v>5182</v>
      </c>
      <c r="F1408" t="s">
        <v>5209</v>
      </c>
      <c r="G1408" t="s">
        <v>4442</v>
      </c>
    </row>
    <row r="1409" spans="1:7" x14ac:dyDescent="0.25">
      <c r="A1409">
        <v>3384</v>
      </c>
      <c r="B1409">
        <v>702</v>
      </c>
      <c r="C1409" t="s">
        <v>1188</v>
      </c>
      <c r="D1409" t="s">
        <v>5210</v>
      </c>
      <c r="F1409" t="s">
        <v>5209</v>
      </c>
      <c r="G1409" t="s">
        <v>4464</v>
      </c>
    </row>
    <row r="1410" spans="1:7" x14ac:dyDescent="0.25">
      <c r="A1410">
        <v>3385</v>
      </c>
      <c r="B1410">
        <v>702</v>
      </c>
      <c r="C1410" t="s">
        <v>1188</v>
      </c>
      <c r="D1410" t="s">
        <v>5211</v>
      </c>
      <c r="F1410" t="s">
        <v>5209</v>
      </c>
      <c r="G1410" t="s">
        <v>919</v>
      </c>
    </row>
    <row r="1411" spans="1:7" x14ac:dyDescent="0.25">
      <c r="A1411">
        <v>3386</v>
      </c>
      <c r="B1411">
        <v>702</v>
      </c>
      <c r="C1411" t="s">
        <v>1188</v>
      </c>
      <c r="D1411" t="s">
        <v>1205</v>
      </c>
      <c r="F1411" t="s">
        <v>5209</v>
      </c>
      <c r="G1411" t="s">
        <v>4441</v>
      </c>
    </row>
    <row r="1412" spans="1:7" x14ac:dyDescent="0.25">
      <c r="A1412">
        <v>3387</v>
      </c>
      <c r="B1412">
        <v>703</v>
      </c>
      <c r="C1412" t="s">
        <v>1188</v>
      </c>
      <c r="D1412" t="s">
        <v>5212</v>
      </c>
      <c r="F1412" t="s">
        <v>5213</v>
      </c>
      <c r="G1412" t="s">
        <v>4440</v>
      </c>
    </row>
    <row r="1413" spans="1:7" x14ac:dyDescent="0.25">
      <c r="A1413">
        <v>3388</v>
      </c>
      <c r="B1413">
        <v>703</v>
      </c>
      <c r="C1413" t="s">
        <v>1188</v>
      </c>
      <c r="D1413" t="s">
        <v>5214</v>
      </c>
      <c r="F1413" t="s">
        <v>5215</v>
      </c>
    </row>
    <row r="1414" spans="1:7" x14ac:dyDescent="0.25">
      <c r="A1414">
        <v>3389</v>
      </c>
      <c r="B1414">
        <v>703</v>
      </c>
      <c r="C1414" t="s">
        <v>1188</v>
      </c>
      <c r="D1414" t="s">
        <v>5216</v>
      </c>
      <c r="F1414" t="s">
        <v>5217</v>
      </c>
    </row>
    <row r="1415" spans="1:7" x14ac:dyDescent="0.25">
      <c r="A1415">
        <v>3390</v>
      </c>
      <c r="B1415">
        <v>703</v>
      </c>
      <c r="C1415" t="s">
        <v>1188</v>
      </c>
      <c r="D1415" t="s">
        <v>5218</v>
      </c>
      <c r="F1415" t="s">
        <v>5219</v>
      </c>
      <c r="G1415" t="s">
        <v>4441</v>
      </c>
    </row>
    <row r="1416" spans="1:7" x14ac:dyDescent="0.25">
      <c r="A1416">
        <v>3391</v>
      </c>
      <c r="B1416">
        <v>703</v>
      </c>
      <c r="C1416" t="s">
        <v>1188</v>
      </c>
      <c r="D1416" t="s">
        <v>5220</v>
      </c>
      <c r="F1416" t="s">
        <v>5221</v>
      </c>
      <c r="G1416" t="s">
        <v>4445</v>
      </c>
    </row>
    <row r="1417" spans="1:7" x14ac:dyDescent="0.25">
      <c r="A1417">
        <v>3392</v>
      </c>
      <c r="B1417">
        <v>703</v>
      </c>
      <c r="C1417" t="s">
        <v>1188</v>
      </c>
      <c r="D1417" t="s">
        <v>5222</v>
      </c>
      <c r="F1417" t="s">
        <v>5221</v>
      </c>
      <c r="G1417" t="s">
        <v>4442</v>
      </c>
    </row>
    <row r="1418" spans="1:7" x14ac:dyDescent="0.25">
      <c r="A1418">
        <v>3393</v>
      </c>
      <c r="B1418">
        <v>703</v>
      </c>
      <c r="C1418" t="s">
        <v>1188</v>
      </c>
      <c r="D1418" t="s">
        <v>5223</v>
      </c>
      <c r="F1418" t="s">
        <v>5221</v>
      </c>
    </row>
    <row r="1419" spans="1:7" x14ac:dyDescent="0.25">
      <c r="A1419">
        <v>3394</v>
      </c>
      <c r="B1419">
        <v>703</v>
      </c>
      <c r="C1419" t="s">
        <v>1188</v>
      </c>
      <c r="D1419" t="s">
        <v>5224</v>
      </c>
      <c r="F1419" t="s">
        <v>5221</v>
      </c>
      <c r="G1419" t="s">
        <v>2758</v>
      </c>
    </row>
    <row r="1420" spans="1:7" x14ac:dyDescent="0.25">
      <c r="A1420">
        <v>3395</v>
      </c>
      <c r="B1420">
        <v>703</v>
      </c>
      <c r="C1420" t="s">
        <v>1188</v>
      </c>
      <c r="D1420" t="s">
        <v>5225</v>
      </c>
      <c r="F1420" t="s">
        <v>5221</v>
      </c>
      <c r="G1420" t="s">
        <v>4447</v>
      </c>
    </row>
    <row r="1421" spans="1:7" x14ac:dyDescent="0.25">
      <c r="A1421">
        <v>3396</v>
      </c>
      <c r="B1421">
        <v>703</v>
      </c>
      <c r="C1421" t="s">
        <v>1188</v>
      </c>
      <c r="D1421" t="s">
        <v>5226</v>
      </c>
      <c r="F1421" t="s">
        <v>5221</v>
      </c>
      <c r="G1421" t="s">
        <v>4447</v>
      </c>
    </row>
    <row r="1422" spans="1:7" x14ac:dyDescent="0.25">
      <c r="A1422">
        <v>3397</v>
      </c>
      <c r="B1422">
        <v>703</v>
      </c>
      <c r="C1422" t="s">
        <v>1188</v>
      </c>
      <c r="D1422" t="s">
        <v>1189</v>
      </c>
      <c r="F1422" t="s">
        <v>5221</v>
      </c>
      <c r="G1422" t="s">
        <v>4444</v>
      </c>
    </row>
    <row r="1423" spans="1:7" x14ac:dyDescent="0.25">
      <c r="A1423">
        <v>3398</v>
      </c>
      <c r="B1423">
        <v>703</v>
      </c>
      <c r="C1423" t="s">
        <v>1188</v>
      </c>
      <c r="D1423" t="s">
        <v>1209</v>
      </c>
      <c r="F1423" t="s">
        <v>5221</v>
      </c>
      <c r="G1423" t="s">
        <v>4443</v>
      </c>
    </row>
    <row r="1424" spans="1:7" x14ac:dyDescent="0.25">
      <c r="A1424">
        <v>3399</v>
      </c>
      <c r="B1424">
        <v>703</v>
      </c>
      <c r="C1424" t="s">
        <v>1188</v>
      </c>
      <c r="D1424" t="s">
        <v>1921</v>
      </c>
      <c r="F1424" t="s">
        <v>5221</v>
      </c>
      <c r="G1424" t="s">
        <v>919</v>
      </c>
    </row>
    <row r="1425" spans="1:7" x14ac:dyDescent="0.25">
      <c r="A1425">
        <v>3400</v>
      </c>
      <c r="B1425">
        <v>703</v>
      </c>
      <c r="C1425" t="s">
        <v>1188</v>
      </c>
      <c r="D1425" t="s">
        <v>5227</v>
      </c>
      <c r="F1425" t="s">
        <v>5221</v>
      </c>
      <c r="G1425" t="s">
        <v>1670</v>
      </c>
    </row>
    <row r="1426" spans="1:7" x14ac:dyDescent="0.25">
      <c r="A1426">
        <v>3401</v>
      </c>
      <c r="B1426">
        <v>704</v>
      </c>
      <c r="C1426" t="s">
        <v>1188</v>
      </c>
      <c r="D1426" t="s">
        <v>5228</v>
      </c>
      <c r="F1426" t="s">
        <v>5229</v>
      </c>
    </row>
    <row r="1427" spans="1:7" x14ac:dyDescent="0.25">
      <c r="A1427">
        <v>3402</v>
      </c>
      <c r="B1427">
        <v>704</v>
      </c>
      <c r="C1427" t="s">
        <v>1188</v>
      </c>
      <c r="D1427" t="s">
        <v>5230</v>
      </c>
      <c r="F1427" t="s">
        <v>5229</v>
      </c>
      <c r="G1427" t="s">
        <v>2758</v>
      </c>
    </row>
    <row r="1428" spans="1:7" x14ac:dyDescent="0.25">
      <c r="A1428">
        <v>3403</v>
      </c>
      <c r="B1428">
        <v>704</v>
      </c>
      <c r="C1428" t="s">
        <v>1188</v>
      </c>
      <c r="D1428" t="s">
        <v>1205</v>
      </c>
      <c r="F1428" t="s">
        <v>5229</v>
      </c>
      <c r="G1428" t="s">
        <v>4441</v>
      </c>
    </row>
    <row r="1429" spans="1:7" x14ac:dyDescent="0.25">
      <c r="A1429">
        <v>3404</v>
      </c>
      <c r="B1429">
        <v>704</v>
      </c>
      <c r="C1429" t="s">
        <v>1188</v>
      </c>
      <c r="D1429" t="s">
        <v>5231</v>
      </c>
      <c r="F1429" t="s">
        <v>5229</v>
      </c>
      <c r="G1429" t="s">
        <v>4440</v>
      </c>
    </row>
    <row r="1430" spans="1:7" x14ac:dyDescent="0.25">
      <c r="A1430">
        <v>3405</v>
      </c>
      <c r="B1430">
        <v>704</v>
      </c>
      <c r="C1430" t="s">
        <v>1188</v>
      </c>
      <c r="D1430" t="s">
        <v>5232</v>
      </c>
      <c r="F1430" t="s">
        <v>5229</v>
      </c>
      <c r="G1430" t="s">
        <v>4447</v>
      </c>
    </row>
    <row r="1431" spans="1:7" x14ac:dyDescent="0.25">
      <c r="A1431">
        <v>3406</v>
      </c>
      <c r="B1431">
        <v>704</v>
      </c>
      <c r="C1431" t="s">
        <v>1188</v>
      </c>
      <c r="D1431" t="s">
        <v>5233</v>
      </c>
      <c r="F1431" t="s">
        <v>5229</v>
      </c>
    </row>
    <row r="1432" spans="1:7" x14ac:dyDescent="0.25">
      <c r="A1432">
        <v>3407</v>
      </c>
      <c r="B1432">
        <v>704</v>
      </c>
      <c r="C1432" t="s">
        <v>1188</v>
      </c>
      <c r="D1432" t="s">
        <v>5234</v>
      </c>
      <c r="F1432" t="s">
        <v>5229</v>
      </c>
      <c r="G1432" t="s">
        <v>4445</v>
      </c>
    </row>
    <row r="1433" spans="1:7" x14ac:dyDescent="0.25">
      <c r="A1433">
        <v>3408</v>
      </c>
      <c r="B1433">
        <v>704</v>
      </c>
      <c r="C1433" t="s">
        <v>1188</v>
      </c>
      <c r="D1433" t="s">
        <v>5235</v>
      </c>
      <c r="F1433" t="s">
        <v>5229</v>
      </c>
      <c r="G1433" t="s">
        <v>4448</v>
      </c>
    </row>
    <row r="1434" spans="1:7" x14ac:dyDescent="0.25">
      <c r="A1434">
        <v>3409</v>
      </c>
      <c r="B1434">
        <v>705</v>
      </c>
      <c r="C1434" t="s">
        <v>1188</v>
      </c>
      <c r="D1434" t="s">
        <v>5236</v>
      </c>
      <c r="F1434" t="s">
        <v>5237</v>
      </c>
      <c r="G1434" t="s">
        <v>4441</v>
      </c>
    </row>
    <row r="1435" spans="1:7" x14ac:dyDescent="0.25">
      <c r="A1435">
        <v>3410</v>
      </c>
      <c r="B1435">
        <v>705</v>
      </c>
      <c r="C1435" t="s">
        <v>1188</v>
      </c>
      <c r="D1435" t="s">
        <v>5238</v>
      </c>
      <c r="F1435" t="s">
        <v>5237</v>
      </c>
    </row>
    <row r="1436" spans="1:7" x14ac:dyDescent="0.25">
      <c r="A1436">
        <v>3411</v>
      </c>
      <c r="B1436">
        <v>705</v>
      </c>
      <c r="C1436" t="s">
        <v>1188</v>
      </c>
      <c r="D1436" t="s">
        <v>5239</v>
      </c>
      <c r="F1436" t="s">
        <v>5237</v>
      </c>
      <c r="G1436" t="s">
        <v>4440</v>
      </c>
    </row>
    <row r="1437" spans="1:7" x14ac:dyDescent="0.25">
      <c r="A1437">
        <v>3412</v>
      </c>
      <c r="B1437">
        <v>705</v>
      </c>
      <c r="C1437" t="s">
        <v>1188</v>
      </c>
      <c r="D1437" t="s">
        <v>5228</v>
      </c>
      <c r="F1437" t="s">
        <v>5237</v>
      </c>
    </row>
    <row r="1438" spans="1:7" x14ac:dyDescent="0.25">
      <c r="A1438">
        <v>3413</v>
      </c>
      <c r="B1438">
        <v>705</v>
      </c>
      <c r="C1438" t="s">
        <v>1188</v>
      </c>
      <c r="D1438" t="s">
        <v>5240</v>
      </c>
      <c r="F1438" t="s">
        <v>5237</v>
      </c>
      <c r="G1438" t="s">
        <v>4442</v>
      </c>
    </row>
    <row r="1439" spans="1:7" x14ac:dyDescent="0.25">
      <c r="A1439">
        <v>3414</v>
      </c>
      <c r="B1439">
        <v>705</v>
      </c>
      <c r="C1439" t="s">
        <v>1188</v>
      </c>
      <c r="D1439" t="s">
        <v>5241</v>
      </c>
      <c r="F1439" t="s">
        <v>5237</v>
      </c>
      <c r="G1439" t="s">
        <v>4442</v>
      </c>
    </row>
    <row r="1440" spans="1:7" x14ac:dyDescent="0.25">
      <c r="A1440">
        <v>3415</v>
      </c>
      <c r="B1440">
        <v>705</v>
      </c>
      <c r="C1440" t="s">
        <v>1188</v>
      </c>
      <c r="D1440" t="s">
        <v>5242</v>
      </c>
      <c r="F1440" t="s">
        <v>5237</v>
      </c>
      <c r="G1440" t="s">
        <v>4464</v>
      </c>
    </row>
    <row r="1441" spans="1:7" x14ac:dyDescent="0.25">
      <c r="A1441">
        <v>3416</v>
      </c>
      <c r="B1441">
        <v>705</v>
      </c>
      <c r="C1441" t="s">
        <v>1188</v>
      </c>
      <c r="D1441" t="s">
        <v>5243</v>
      </c>
      <c r="F1441" t="s">
        <v>5237</v>
      </c>
      <c r="G1441" t="s">
        <v>2758</v>
      </c>
    </row>
    <row r="1442" spans="1:7" x14ac:dyDescent="0.25">
      <c r="A1442">
        <v>3417</v>
      </c>
      <c r="B1442">
        <v>705</v>
      </c>
      <c r="C1442" t="s">
        <v>1188</v>
      </c>
      <c r="D1442" t="s">
        <v>5244</v>
      </c>
      <c r="F1442" t="s">
        <v>5237</v>
      </c>
      <c r="G1442" t="s">
        <v>919</v>
      </c>
    </row>
    <row r="1443" spans="1:7" x14ac:dyDescent="0.25">
      <c r="A1443">
        <v>3418</v>
      </c>
      <c r="B1443">
        <v>705</v>
      </c>
      <c r="C1443" t="s">
        <v>1188</v>
      </c>
      <c r="D1443" t="s">
        <v>5245</v>
      </c>
      <c r="F1443" t="s">
        <v>5237</v>
      </c>
      <c r="G1443" t="s">
        <v>4445</v>
      </c>
    </row>
    <row r="1444" spans="1:7" x14ac:dyDescent="0.25">
      <c r="A1444">
        <v>3419</v>
      </c>
      <c r="B1444">
        <v>706</v>
      </c>
      <c r="C1444" t="s">
        <v>1188</v>
      </c>
      <c r="D1444" t="s">
        <v>5246</v>
      </c>
      <c r="F1444" t="s">
        <v>5247</v>
      </c>
      <c r="G1444" t="s">
        <v>4442</v>
      </c>
    </row>
    <row r="1445" spans="1:7" x14ac:dyDescent="0.25">
      <c r="A1445">
        <v>3420</v>
      </c>
      <c r="B1445">
        <v>706</v>
      </c>
      <c r="C1445" t="s">
        <v>1188</v>
      </c>
      <c r="D1445" t="s">
        <v>5248</v>
      </c>
      <c r="F1445" t="s">
        <v>5247</v>
      </c>
      <c r="G1445" t="s">
        <v>4447</v>
      </c>
    </row>
    <row r="1446" spans="1:7" x14ac:dyDescent="0.25">
      <c r="A1446">
        <v>3421</v>
      </c>
      <c r="B1446">
        <v>706</v>
      </c>
      <c r="C1446" t="s">
        <v>1188</v>
      </c>
      <c r="D1446" t="s">
        <v>5249</v>
      </c>
      <c r="F1446" t="s">
        <v>5247</v>
      </c>
      <c r="G1446" t="s">
        <v>4447</v>
      </c>
    </row>
    <row r="1447" spans="1:7" x14ac:dyDescent="0.25">
      <c r="A1447">
        <v>3422</v>
      </c>
      <c r="B1447">
        <v>706</v>
      </c>
      <c r="C1447" t="s">
        <v>1188</v>
      </c>
      <c r="D1447" t="s">
        <v>5250</v>
      </c>
      <c r="F1447" t="s">
        <v>5247</v>
      </c>
      <c r="G1447" t="s">
        <v>1262</v>
      </c>
    </row>
    <row r="1448" spans="1:7" x14ac:dyDescent="0.25">
      <c r="A1448">
        <v>3423</v>
      </c>
      <c r="B1448">
        <v>706</v>
      </c>
      <c r="C1448" t="s">
        <v>1188</v>
      </c>
      <c r="D1448" t="s">
        <v>5216</v>
      </c>
      <c r="F1448" t="s">
        <v>5247</v>
      </c>
    </row>
    <row r="1449" spans="1:7" x14ac:dyDescent="0.25">
      <c r="A1449">
        <v>3424</v>
      </c>
      <c r="B1449">
        <v>706</v>
      </c>
      <c r="C1449" t="s">
        <v>1188</v>
      </c>
      <c r="D1449" t="s">
        <v>5251</v>
      </c>
      <c r="F1449" t="s">
        <v>5247</v>
      </c>
    </row>
    <row r="1450" spans="1:7" x14ac:dyDescent="0.25">
      <c r="A1450">
        <v>3425</v>
      </c>
      <c r="B1450">
        <v>706</v>
      </c>
      <c r="C1450" t="s">
        <v>1188</v>
      </c>
      <c r="D1450" t="s">
        <v>5252</v>
      </c>
      <c r="F1450" t="s">
        <v>5247</v>
      </c>
      <c r="G1450" t="s">
        <v>4441</v>
      </c>
    </row>
    <row r="1451" spans="1:7" x14ac:dyDescent="0.25">
      <c r="A1451">
        <v>3426</v>
      </c>
      <c r="B1451">
        <v>706</v>
      </c>
      <c r="C1451" t="s">
        <v>1188</v>
      </c>
      <c r="D1451" t="s">
        <v>1882</v>
      </c>
      <c r="F1451" t="s">
        <v>5247</v>
      </c>
      <c r="G1451" t="s">
        <v>4440</v>
      </c>
    </row>
    <row r="1452" spans="1:7" x14ac:dyDescent="0.25">
      <c r="A1452">
        <v>3427</v>
      </c>
      <c r="B1452">
        <v>707</v>
      </c>
      <c r="C1452" t="s">
        <v>1188</v>
      </c>
      <c r="D1452" t="s">
        <v>5253</v>
      </c>
      <c r="F1452" t="s">
        <v>5254</v>
      </c>
      <c r="G1452" t="s">
        <v>4464</v>
      </c>
    </row>
    <row r="1453" spans="1:7" x14ac:dyDescent="0.25">
      <c r="A1453">
        <v>3428</v>
      </c>
      <c r="B1453">
        <v>707</v>
      </c>
      <c r="C1453" t="s">
        <v>1188</v>
      </c>
      <c r="D1453" t="s">
        <v>5182</v>
      </c>
      <c r="F1453" t="s">
        <v>5254</v>
      </c>
      <c r="G1453" t="s">
        <v>4442</v>
      </c>
    </row>
    <row r="1454" spans="1:7" x14ac:dyDescent="0.25">
      <c r="A1454">
        <v>3429</v>
      </c>
      <c r="B1454">
        <v>707</v>
      </c>
      <c r="C1454" t="s">
        <v>1188</v>
      </c>
      <c r="D1454" t="s">
        <v>5255</v>
      </c>
      <c r="F1454" t="s">
        <v>5254</v>
      </c>
      <c r="G1454" t="s">
        <v>919</v>
      </c>
    </row>
    <row r="1455" spans="1:7" x14ac:dyDescent="0.25">
      <c r="A1455">
        <v>3431</v>
      </c>
      <c r="B1455">
        <v>707</v>
      </c>
      <c r="C1455" t="s">
        <v>1188</v>
      </c>
      <c r="D1455" t="s">
        <v>5216</v>
      </c>
      <c r="F1455" t="s">
        <v>5256</v>
      </c>
    </row>
    <row r="1456" spans="1:7" x14ac:dyDescent="0.25">
      <c r="A1456">
        <v>3432</v>
      </c>
      <c r="B1456">
        <v>707</v>
      </c>
      <c r="C1456" t="s">
        <v>1188</v>
      </c>
      <c r="D1456" t="s">
        <v>5257</v>
      </c>
      <c r="F1456" t="s">
        <v>5258</v>
      </c>
      <c r="G1456" t="s">
        <v>4440</v>
      </c>
    </row>
    <row r="1457" spans="1:7" x14ac:dyDescent="0.25">
      <c r="A1457">
        <v>3435</v>
      </c>
      <c r="B1457">
        <v>110</v>
      </c>
      <c r="C1457" t="s">
        <v>1188</v>
      </c>
      <c r="D1457" t="s">
        <v>5259</v>
      </c>
      <c r="F1457" t="s">
        <v>1206</v>
      </c>
    </row>
    <row r="1458" spans="1:7" x14ac:dyDescent="0.25">
      <c r="A1458">
        <v>3436</v>
      </c>
      <c r="B1458">
        <v>110</v>
      </c>
      <c r="C1458" t="s">
        <v>1188</v>
      </c>
      <c r="D1458" t="s">
        <v>5260</v>
      </c>
      <c r="F1458" t="s">
        <v>1206</v>
      </c>
      <c r="G1458" t="s">
        <v>4440</v>
      </c>
    </row>
    <row r="1459" spans="1:7" x14ac:dyDescent="0.25">
      <c r="A1459">
        <v>3437</v>
      </c>
      <c r="B1459">
        <v>110</v>
      </c>
      <c r="C1459" t="s">
        <v>1188</v>
      </c>
      <c r="D1459" t="s">
        <v>2657</v>
      </c>
      <c r="F1459" t="s">
        <v>1206</v>
      </c>
    </row>
    <row r="1460" spans="1:7" x14ac:dyDescent="0.25">
      <c r="A1460">
        <v>3446</v>
      </c>
      <c r="B1460">
        <v>710</v>
      </c>
      <c r="C1460" t="s">
        <v>1188</v>
      </c>
      <c r="D1460" t="s">
        <v>5261</v>
      </c>
      <c r="F1460" t="s">
        <v>5262</v>
      </c>
      <c r="G1460" t="s">
        <v>1262</v>
      </c>
    </row>
    <row r="1461" spans="1:7" x14ac:dyDescent="0.25">
      <c r="A1461">
        <v>3447</v>
      </c>
      <c r="B1461">
        <v>710</v>
      </c>
      <c r="C1461" t="s">
        <v>1188</v>
      </c>
      <c r="D1461" t="s">
        <v>5198</v>
      </c>
      <c r="F1461" t="s">
        <v>5262</v>
      </c>
    </row>
    <row r="1462" spans="1:7" x14ac:dyDescent="0.25">
      <c r="A1462">
        <v>3448</v>
      </c>
      <c r="B1462">
        <v>710</v>
      </c>
      <c r="C1462" t="s">
        <v>1188</v>
      </c>
      <c r="D1462" t="s">
        <v>5182</v>
      </c>
      <c r="E1462" t="s">
        <v>5263</v>
      </c>
      <c r="F1462" t="s">
        <v>5262</v>
      </c>
      <c r="G1462" t="s">
        <v>4442</v>
      </c>
    </row>
    <row r="1463" spans="1:7" x14ac:dyDescent="0.25">
      <c r="A1463">
        <v>3450</v>
      </c>
      <c r="B1463">
        <v>708</v>
      </c>
      <c r="C1463" t="s">
        <v>894</v>
      </c>
      <c r="D1463" t="s">
        <v>966</v>
      </c>
      <c r="E1463" t="s">
        <v>5264</v>
      </c>
      <c r="F1463" t="s">
        <v>5265</v>
      </c>
      <c r="G1463" t="s">
        <v>2758</v>
      </c>
    </row>
    <row r="1464" spans="1:7" x14ac:dyDescent="0.25">
      <c r="A1464">
        <v>3451</v>
      </c>
      <c r="B1464">
        <v>711</v>
      </c>
      <c r="C1464" t="s">
        <v>1188</v>
      </c>
      <c r="D1464" t="s">
        <v>5266</v>
      </c>
      <c r="F1464" t="s">
        <v>5267</v>
      </c>
      <c r="G1464" t="s">
        <v>2758</v>
      </c>
    </row>
    <row r="1465" spans="1:7" x14ac:dyDescent="0.25">
      <c r="A1465">
        <v>3452</v>
      </c>
      <c r="B1465">
        <v>711</v>
      </c>
      <c r="C1465" t="s">
        <v>1188</v>
      </c>
      <c r="D1465" t="s">
        <v>5268</v>
      </c>
      <c r="F1465" t="s">
        <v>5267</v>
      </c>
      <c r="G1465" t="s">
        <v>4442</v>
      </c>
    </row>
    <row r="1466" spans="1:7" x14ac:dyDescent="0.25">
      <c r="A1466">
        <v>3453</v>
      </c>
      <c r="B1466">
        <v>711</v>
      </c>
      <c r="C1466" t="s">
        <v>1188</v>
      </c>
      <c r="D1466" t="s">
        <v>5269</v>
      </c>
      <c r="F1466" t="s">
        <v>5267</v>
      </c>
      <c r="G1466" t="s">
        <v>4443</v>
      </c>
    </row>
    <row r="1467" spans="1:7" x14ac:dyDescent="0.25">
      <c r="A1467">
        <v>3454</v>
      </c>
      <c r="B1467">
        <v>711</v>
      </c>
      <c r="C1467" t="s">
        <v>1188</v>
      </c>
      <c r="D1467" t="s">
        <v>5270</v>
      </c>
      <c r="F1467" t="s">
        <v>5267</v>
      </c>
      <c r="G1467" t="s">
        <v>4441</v>
      </c>
    </row>
    <row r="1468" spans="1:7" x14ac:dyDescent="0.25">
      <c r="A1468">
        <v>3455</v>
      </c>
      <c r="B1468">
        <v>712</v>
      </c>
      <c r="C1468" t="s">
        <v>1188</v>
      </c>
      <c r="D1468" t="s">
        <v>5271</v>
      </c>
      <c r="F1468" t="s">
        <v>5272</v>
      </c>
    </row>
    <row r="1469" spans="1:7" x14ac:dyDescent="0.25">
      <c r="A1469">
        <v>3456</v>
      </c>
      <c r="B1469">
        <v>712</v>
      </c>
      <c r="C1469" t="s">
        <v>1188</v>
      </c>
      <c r="D1469" t="s">
        <v>1795</v>
      </c>
      <c r="F1469" t="s">
        <v>5272</v>
      </c>
      <c r="G1469" t="s">
        <v>4441</v>
      </c>
    </row>
    <row r="1470" spans="1:7" x14ac:dyDescent="0.25">
      <c r="A1470">
        <v>3457</v>
      </c>
      <c r="B1470">
        <v>712</v>
      </c>
      <c r="C1470" t="s">
        <v>1188</v>
      </c>
      <c r="D1470" t="s">
        <v>5273</v>
      </c>
      <c r="F1470" t="s">
        <v>5272</v>
      </c>
      <c r="G1470" t="s">
        <v>4442</v>
      </c>
    </row>
    <row r="1471" spans="1:7" x14ac:dyDescent="0.25">
      <c r="A1471">
        <v>3458</v>
      </c>
      <c r="B1471">
        <v>712</v>
      </c>
      <c r="C1471" t="s">
        <v>1188</v>
      </c>
      <c r="D1471" t="s">
        <v>5274</v>
      </c>
      <c r="F1471" t="s">
        <v>5272</v>
      </c>
    </row>
    <row r="1472" spans="1:7" x14ac:dyDescent="0.25">
      <c r="A1472">
        <v>3459</v>
      </c>
      <c r="B1472">
        <v>712</v>
      </c>
      <c r="C1472" t="s">
        <v>1188</v>
      </c>
      <c r="D1472" t="s">
        <v>5275</v>
      </c>
      <c r="F1472" t="s">
        <v>5272</v>
      </c>
      <c r="G1472" t="s">
        <v>4447</v>
      </c>
    </row>
    <row r="1473" spans="1:7" x14ac:dyDescent="0.25">
      <c r="A1473">
        <v>3460</v>
      </c>
      <c r="B1473">
        <v>712</v>
      </c>
      <c r="C1473" t="s">
        <v>1188</v>
      </c>
      <c r="D1473" t="s">
        <v>5276</v>
      </c>
      <c r="F1473" t="s">
        <v>5272</v>
      </c>
      <c r="G1473" t="s">
        <v>4444</v>
      </c>
    </row>
    <row r="1474" spans="1:7" x14ac:dyDescent="0.25">
      <c r="A1474">
        <v>3461</v>
      </c>
      <c r="B1474">
        <v>712</v>
      </c>
      <c r="C1474" t="s">
        <v>1188</v>
      </c>
      <c r="D1474" t="s">
        <v>1903</v>
      </c>
      <c r="F1474" t="s">
        <v>5272</v>
      </c>
      <c r="G1474" t="s">
        <v>919</v>
      </c>
    </row>
    <row r="1475" spans="1:7" x14ac:dyDescent="0.25">
      <c r="A1475">
        <v>3470</v>
      </c>
      <c r="B1475">
        <v>714</v>
      </c>
      <c r="C1475" t="s">
        <v>1188</v>
      </c>
      <c r="D1475" t="s">
        <v>5277</v>
      </c>
      <c r="F1475" t="s">
        <v>5278</v>
      </c>
      <c r="G1475" t="s">
        <v>2758</v>
      </c>
    </row>
    <row r="1476" spans="1:7" x14ac:dyDescent="0.25">
      <c r="A1476">
        <v>3471</v>
      </c>
      <c r="B1476">
        <v>714</v>
      </c>
      <c r="C1476" t="s">
        <v>1188</v>
      </c>
      <c r="D1476" t="s">
        <v>5279</v>
      </c>
      <c r="F1476" t="s">
        <v>5278</v>
      </c>
      <c r="G1476" t="s">
        <v>4440</v>
      </c>
    </row>
    <row r="1477" spans="1:7" x14ac:dyDescent="0.25">
      <c r="A1477">
        <v>3474</v>
      </c>
      <c r="B1477">
        <v>715</v>
      </c>
      <c r="C1477" t="s">
        <v>1188</v>
      </c>
      <c r="D1477" t="s">
        <v>5280</v>
      </c>
      <c r="F1477" t="s">
        <v>5281</v>
      </c>
      <c r="G1477" t="s">
        <v>4447</v>
      </c>
    </row>
    <row r="1478" spans="1:7" x14ac:dyDescent="0.25">
      <c r="A1478">
        <v>3475</v>
      </c>
      <c r="B1478">
        <v>715</v>
      </c>
      <c r="C1478" t="s">
        <v>1188</v>
      </c>
      <c r="D1478" t="s">
        <v>1189</v>
      </c>
      <c r="F1478" t="s">
        <v>5281</v>
      </c>
      <c r="G1478" t="s">
        <v>4444</v>
      </c>
    </row>
    <row r="1479" spans="1:7" x14ac:dyDescent="0.25">
      <c r="A1479">
        <v>3476</v>
      </c>
      <c r="B1479">
        <v>715</v>
      </c>
      <c r="C1479" t="s">
        <v>1188</v>
      </c>
      <c r="D1479" t="s">
        <v>5282</v>
      </c>
      <c r="F1479" t="s">
        <v>5281</v>
      </c>
      <c r="G1479" t="s">
        <v>919</v>
      </c>
    </row>
    <row r="1480" spans="1:7" x14ac:dyDescent="0.25">
      <c r="A1480">
        <v>3477</v>
      </c>
      <c r="B1480">
        <v>715</v>
      </c>
      <c r="C1480" t="s">
        <v>1188</v>
      </c>
      <c r="D1480" t="s">
        <v>5283</v>
      </c>
      <c r="F1480" t="s">
        <v>5281</v>
      </c>
      <c r="G1480" t="s">
        <v>1670</v>
      </c>
    </row>
    <row r="1481" spans="1:7" x14ac:dyDescent="0.25">
      <c r="A1481">
        <v>3478</v>
      </c>
      <c r="B1481">
        <v>715</v>
      </c>
      <c r="C1481" t="s">
        <v>1188</v>
      </c>
      <c r="D1481" t="s">
        <v>5284</v>
      </c>
      <c r="F1481" t="s">
        <v>5281</v>
      </c>
      <c r="G1481" t="s">
        <v>2758</v>
      </c>
    </row>
    <row r="1482" spans="1:7" x14ac:dyDescent="0.25">
      <c r="A1482">
        <v>3479</v>
      </c>
      <c r="B1482">
        <v>715</v>
      </c>
      <c r="C1482" t="s">
        <v>1188</v>
      </c>
      <c r="D1482" t="s">
        <v>5285</v>
      </c>
      <c r="F1482" t="s">
        <v>5281</v>
      </c>
      <c r="G1482" t="s">
        <v>4442</v>
      </c>
    </row>
    <row r="1483" spans="1:7" x14ac:dyDescent="0.25">
      <c r="A1483">
        <v>3480</v>
      </c>
      <c r="B1483">
        <v>715</v>
      </c>
      <c r="C1483" t="s">
        <v>1188</v>
      </c>
      <c r="D1483" t="s">
        <v>5286</v>
      </c>
      <c r="F1483" t="s">
        <v>5281</v>
      </c>
      <c r="G1483" t="s">
        <v>4445</v>
      </c>
    </row>
    <row r="1484" spans="1:7" x14ac:dyDescent="0.25">
      <c r="A1484">
        <v>3481</v>
      </c>
      <c r="B1484">
        <v>715</v>
      </c>
      <c r="C1484" t="s">
        <v>1188</v>
      </c>
      <c r="D1484" t="s">
        <v>5287</v>
      </c>
      <c r="F1484" t="s">
        <v>5281</v>
      </c>
      <c r="G1484" t="s">
        <v>4441</v>
      </c>
    </row>
    <row r="1485" spans="1:7" x14ac:dyDescent="0.25">
      <c r="A1485">
        <v>3482</v>
      </c>
      <c r="B1485">
        <v>715</v>
      </c>
      <c r="C1485" t="s">
        <v>1188</v>
      </c>
      <c r="D1485" t="s">
        <v>5288</v>
      </c>
      <c r="F1485" t="s">
        <v>5281</v>
      </c>
      <c r="G1485" t="s">
        <v>4441</v>
      </c>
    </row>
    <row r="1486" spans="1:7" x14ac:dyDescent="0.25">
      <c r="A1486">
        <v>3483</v>
      </c>
      <c r="B1486">
        <v>715</v>
      </c>
      <c r="C1486" t="s">
        <v>1188</v>
      </c>
      <c r="D1486" t="s">
        <v>5289</v>
      </c>
      <c r="F1486" t="s">
        <v>5281</v>
      </c>
      <c r="G1486" t="s">
        <v>4451</v>
      </c>
    </row>
    <row r="1487" spans="1:7" x14ac:dyDescent="0.25">
      <c r="A1487">
        <v>3484</v>
      </c>
      <c r="B1487">
        <v>716</v>
      </c>
      <c r="C1487" t="s">
        <v>1188</v>
      </c>
      <c r="D1487" t="s">
        <v>5290</v>
      </c>
      <c r="F1487" t="s">
        <v>5291</v>
      </c>
      <c r="G1487" t="s">
        <v>2758</v>
      </c>
    </row>
    <row r="1488" spans="1:7" x14ac:dyDescent="0.25">
      <c r="A1488">
        <v>3485</v>
      </c>
      <c r="B1488">
        <v>716</v>
      </c>
      <c r="C1488" t="s">
        <v>1188</v>
      </c>
      <c r="D1488" t="s">
        <v>1895</v>
      </c>
      <c r="F1488" t="s">
        <v>5291</v>
      </c>
      <c r="G1488" t="s">
        <v>4442</v>
      </c>
    </row>
    <row r="1489" spans="1:7" x14ac:dyDescent="0.25">
      <c r="A1489">
        <v>3486</v>
      </c>
      <c r="B1489">
        <v>716</v>
      </c>
      <c r="C1489" t="s">
        <v>1188</v>
      </c>
      <c r="D1489" t="s">
        <v>5292</v>
      </c>
      <c r="F1489" t="s">
        <v>5291</v>
      </c>
      <c r="G1489" t="s">
        <v>4442</v>
      </c>
    </row>
    <row r="1490" spans="1:7" x14ac:dyDescent="0.25">
      <c r="A1490">
        <v>3487</v>
      </c>
      <c r="B1490">
        <v>716</v>
      </c>
      <c r="C1490" t="s">
        <v>1188</v>
      </c>
      <c r="D1490" t="s">
        <v>5293</v>
      </c>
      <c r="F1490" t="s">
        <v>5291</v>
      </c>
      <c r="G1490" t="s">
        <v>4442</v>
      </c>
    </row>
    <row r="1491" spans="1:7" x14ac:dyDescent="0.25">
      <c r="A1491">
        <v>3488</v>
      </c>
      <c r="B1491">
        <v>716</v>
      </c>
      <c r="C1491" t="s">
        <v>1188</v>
      </c>
      <c r="D1491" t="s">
        <v>5294</v>
      </c>
      <c r="F1491" t="s">
        <v>5291</v>
      </c>
    </row>
    <row r="1492" spans="1:7" x14ac:dyDescent="0.25">
      <c r="A1492">
        <v>3489</v>
      </c>
      <c r="B1492">
        <v>718</v>
      </c>
      <c r="C1492" t="s">
        <v>1188</v>
      </c>
      <c r="D1492" t="s">
        <v>5246</v>
      </c>
      <c r="F1492" t="s">
        <v>5295</v>
      </c>
      <c r="G1492" t="s">
        <v>4442</v>
      </c>
    </row>
    <row r="1493" spans="1:7" x14ac:dyDescent="0.25">
      <c r="A1493">
        <v>3490</v>
      </c>
      <c r="B1493">
        <v>718</v>
      </c>
      <c r="C1493" t="s">
        <v>1188</v>
      </c>
      <c r="D1493" t="s">
        <v>5296</v>
      </c>
      <c r="F1493" t="s">
        <v>5295</v>
      </c>
    </row>
    <row r="1494" spans="1:7" x14ac:dyDescent="0.25">
      <c r="A1494">
        <v>3491</v>
      </c>
      <c r="B1494">
        <v>718</v>
      </c>
      <c r="C1494" t="s">
        <v>1188</v>
      </c>
      <c r="D1494" t="s">
        <v>5297</v>
      </c>
      <c r="F1494" t="s">
        <v>5295</v>
      </c>
      <c r="G1494" t="s">
        <v>4447</v>
      </c>
    </row>
    <row r="1495" spans="1:7" x14ac:dyDescent="0.25">
      <c r="A1495">
        <v>3492</v>
      </c>
      <c r="B1495">
        <v>718</v>
      </c>
      <c r="C1495" t="s">
        <v>1188</v>
      </c>
      <c r="D1495" t="s">
        <v>5298</v>
      </c>
      <c r="F1495" t="s">
        <v>5295</v>
      </c>
      <c r="G1495" t="s">
        <v>4444</v>
      </c>
    </row>
    <row r="1496" spans="1:7" x14ac:dyDescent="0.25">
      <c r="A1496">
        <v>3493</v>
      </c>
      <c r="B1496">
        <v>718</v>
      </c>
      <c r="C1496" t="s">
        <v>1188</v>
      </c>
      <c r="D1496" t="s">
        <v>5250</v>
      </c>
      <c r="F1496" t="s">
        <v>5295</v>
      </c>
      <c r="G1496" t="s">
        <v>1262</v>
      </c>
    </row>
    <row r="1497" spans="1:7" x14ac:dyDescent="0.25">
      <c r="A1497">
        <v>3494</v>
      </c>
      <c r="B1497">
        <v>718</v>
      </c>
      <c r="C1497" t="s">
        <v>1188</v>
      </c>
      <c r="D1497" t="s">
        <v>5216</v>
      </c>
      <c r="F1497" t="s">
        <v>5295</v>
      </c>
    </row>
    <row r="1498" spans="1:7" x14ac:dyDescent="0.25">
      <c r="A1498">
        <v>3495</v>
      </c>
      <c r="B1498">
        <v>718</v>
      </c>
      <c r="C1498" t="s">
        <v>1188</v>
      </c>
      <c r="D1498" t="s">
        <v>5251</v>
      </c>
      <c r="F1498" t="s">
        <v>5295</v>
      </c>
    </row>
    <row r="1499" spans="1:7" x14ac:dyDescent="0.25">
      <c r="A1499">
        <v>3496</v>
      </c>
      <c r="B1499">
        <v>718</v>
      </c>
      <c r="C1499" t="s">
        <v>1188</v>
      </c>
      <c r="D1499" t="s">
        <v>5299</v>
      </c>
      <c r="F1499" t="s">
        <v>5295</v>
      </c>
      <c r="G1499" t="s">
        <v>4441</v>
      </c>
    </row>
    <row r="1500" spans="1:7" x14ac:dyDescent="0.25">
      <c r="A1500">
        <v>3497</v>
      </c>
      <c r="B1500">
        <v>719</v>
      </c>
      <c r="C1500" t="s">
        <v>1188</v>
      </c>
      <c r="D1500" t="s">
        <v>5300</v>
      </c>
      <c r="F1500" t="s">
        <v>5301</v>
      </c>
      <c r="G1500" t="s">
        <v>4442</v>
      </c>
    </row>
    <row r="1501" spans="1:7" x14ac:dyDescent="0.25">
      <c r="A1501">
        <v>3498</v>
      </c>
      <c r="B1501">
        <v>719</v>
      </c>
      <c r="C1501" t="s">
        <v>1188</v>
      </c>
      <c r="D1501" t="s">
        <v>5210</v>
      </c>
      <c r="F1501" t="s">
        <v>5301</v>
      </c>
      <c r="G1501" t="s">
        <v>4464</v>
      </c>
    </row>
    <row r="1502" spans="1:7" x14ac:dyDescent="0.25">
      <c r="A1502">
        <v>3499</v>
      </c>
      <c r="B1502">
        <v>719</v>
      </c>
      <c r="C1502" t="s">
        <v>1188</v>
      </c>
      <c r="D1502" t="s">
        <v>5302</v>
      </c>
      <c r="F1502" t="s">
        <v>5301</v>
      </c>
      <c r="G1502" t="s">
        <v>919</v>
      </c>
    </row>
    <row r="1503" spans="1:7" x14ac:dyDescent="0.25">
      <c r="A1503">
        <v>3500</v>
      </c>
      <c r="B1503">
        <v>719</v>
      </c>
      <c r="C1503" t="s">
        <v>1188</v>
      </c>
      <c r="D1503" t="s">
        <v>5303</v>
      </c>
      <c r="F1503" t="s">
        <v>5301</v>
      </c>
      <c r="G1503" t="s">
        <v>2758</v>
      </c>
    </row>
    <row r="1504" spans="1:7" x14ac:dyDescent="0.25">
      <c r="A1504">
        <v>3501</v>
      </c>
      <c r="B1504">
        <v>719</v>
      </c>
      <c r="C1504" t="s">
        <v>1188</v>
      </c>
      <c r="D1504" t="s">
        <v>5304</v>
      </c>
      <c r="F1504" t="s">
        <v>5301</v>
      </c>
    </row>
    <row r="1505" spans="1:7" x14ac:dyDescent="0.25">
      <c r="A1505">
        <v>3502</v>
      </c>
      <c r="B1505">
        <v>396</v>
      </c>
      <c r="C1505" t="s">
        <v>1188</v>
      </c>
      <c r="D1505" t="s">
        <v>1879</v>
      </c>
      <c r="F1505" t="s">
        <v>1904</v>
      </c>
      <c r="G1505" t="s">
        <v>4444</v>
      </c>
    </row>
    <row r="1506" spans="1:7" x14ac:dyDescent="0.25">
      <c r="A1506">
        <v>3503</v>
      </c>
      <c r="B1506">
        <v>396</v>
      </c>
      <c r="C1506" t="s">
        <v>1188</v>
      </c>
      <c r="D1506" t="s">
        <v>5305</v>
      </c>
      <c r="F1506" t="s">
        <v>1904</v>
      </c>
      <c r="G1506" t="s">
        <v>4447</v>
      </c>
    </row>
    <row r="1507" spans="1:7" x14ac:dyDescent="0.25">
      <c r="A1507">
        <v>3504</v>
      </c>
      <c r="B1507">
        <v>396</v>
      </c>
      <c r="C1507" t="s">
        <v>1188</v>
      </c>
      <c r="D1507" t="s">
        <v>5306</v>
      </c>
      <c r="F1507" t="s">
        <v>5307</v>
      </c>
      <c r="G1507" t="s">
        <v>4440</v>
      </c>
    </row>
    <row r="1508" spans="1:7" x14ac:dyDescent="0.25">
      <c r="A1508">
        <v>3505</v>
      </c>
      <c r="B1508">
        <v>396</v>
      </c>
      <c r="C1508" t="s">
        <v>1188</v>
      </c>
      <c r="D1508" t="s">
        <v>5198</v>
      </c>
      <c r="F1508" t="s">
        <v>5307</v>
      </c>
    </row>
    <row r="1509" spans="1:7" x14ac:dyDescent="0.25">
      <c r="A1509">
        <v>3506</v>
      </c>
      <c r="B1509">
        <v>396</v>
      </c>
      <c r="C1509" t="s">
        <v>1188</v>
      </c>
      <c r="D1509" t="s">
        <v>5200</v>
      </c>
      <c r="F1509" t="s">
        <v>5307</v>
      </c>
      <c r="G1509" t="s">
        <v>4441</v>
      </c>
    </row>
    <row r="1510" spans="1:7" x14ac:dyDescent="0.25">
      <c r="A1510">
        <v>3516</v>
      </c>
      <c r="B1510">
        <v>398</v>
      </c>
      <c r="C1510" t="s">
        <v>1188</v>
      </c>
      <c r="D1510" t="s">
        <v>5182</v>
      </c>
      <c r="F1510" t="s">
        <v>1911</v>
      </c>
      <c r="G1510" t="s">
        <v>4442</v>
      </c>
    </row>
    <row r="1511" spans="1:7" x14ac:dyDescent="0.25">
      <c r="A1511">
        <v>3517</v>
      </c>
      <c r="B1511">
        <v>398</v>
      </c>
      <c r="C1511" t="s">
        <v>1188</v>
      </c>
      <c r="D1511" t="s">
        <v>5308</v>
      </c>
      <c r="F1511" t="s">
        <v>1911</v>
      </c>
    </row>
    <row r="1512" spans="1:7" x14ac:dyDescent="0.25">
      <c r="A1512">
        <v>3518</v>
      </c>
      <c r="B1512">
        <v>398</v>
      </c>
      <c r="C1512" t="s">
        <v>1188</v>
      </c>
      <c r="D1512" t="s">
        <v>1189</v>
      </c>
      <c r="F1512" t="s">
        <v>1911</v>
      </c>
      <c r="G1512" t="s">
        <v>4444</v>
      </c>
    </row>
    <row r="1513" spans="1:7" x14ac:dyDescent="0.25">
      <c r="A1513">
        <v>3519</v>
      </c>
      <c r="B1513">
        <v>398</v>
      </c>
      <c r="C1513" t="s">
        <v>1188</v>
      </c>
      <c r="D1513" t="s">
        <v>5282</v>
      </c>
      <c r="F1513" t="s">
        <v>1911</v>
      </c>
      <c r="G1513" t="s">
        <v>919</v>
      </c>
    </row>
    <row r="1514" spans="1:7" x14ac:dyDescent="0.25">
      <c r="A1514">
        <v>3520</v>
      </c>
      <c r="B1514">
        <v>721</v>
      </c>
      <c r="C1514" t="s">
        <v>1188</v>
      </c>
      <c r="D1514" t="s">
        <v>5182</v>
      </c>
      <c r="F1514" t="s">
        <v>5309</v>
      </c>
      <c r="G1514" t="s">
        <v>4442</v>
      </c>
    </row>
    <row r="1515" spans="1:7" x14ac:dyDescent="0.25">
      <c r="A1515">
        <v>3521</v>
      </c>
      <c r="B1515">
        <v>721</v>
      </c>
      <c r="C1515" t="s">
        <v>1188</v>
      </c>
      <c r="D1515" t="s">
        <v>5210</v>
      </c>
      <c r="F1515" t="s">
        <v>5309</v>
      </c>
      <c r="G1515" t="s">
        <v>4464</v>
      </c>
    </row>
    <row r="1516" spans="1:7" x14ac:dyDescent="0.25">
      <c r="A1516">
        <v>3522</v>
      </c>
      <c r="B1516">
        <v>721</v>
      </c>
      <c r="C1516" t="s">
        <v>1188</v>
      </c>
      <c r="D1516" t="s">
        <v>5310</v>
      </c>
      <c r="F1516" t="s">
        <v>5309</v>
      </c>
      <c r="G1516" t="s">
        <v>4447</v>
      </c>
    </row>
    <row r="1517" spans="1:7" x14ac:dyDescent="0.25">
      <c r="A1517">
        <v>3523</v>
      </c>
      <c r="B1517">
        <v>721</v>
      </c>
      <c r="C1517" t="s">
        <v>1188</v>
      </c>
      <c r="D1517" t="s">
        <v>5311</v>
      </c>
      <c r="F1517" t="s">
        <v>5309</v>
      </c>
    </row>
    <row r="1518" spans="1:7" x14ac:dyDescent="0.25">
      <c r="A1518">
        <v>3524</v>
      </c>
      <c r="B1518">
        <v>721</v>
      </c>
      <c r="C1518" t="s">
        <v>1188</v>
      </c>
      <c r="D1518" t="s">
        <v>5277</v>
      </c>
      <c r="F1518" t="s">
        <v>5309</v>
      </c>
      <c r="G1518" t="s">
        <v>2758</v>
      </c>
    </row>
    <row r="1519" spans="1:7" x14ac:dyDescent="0.25">
      <c r="A1519">
        <v>3550</v>
      </c>
      <c r="B1519">
        <v>725</v>
      </c>
      <c r="C1519" t="s">
        <v>1188</v>
      </c>
      <c r="D1519" t="s">
        <v>5312</v>
      </c>
      <c r="F1519" t="s">
        <v>5313</v>
      </c>
      <c r="G1519" t="s">
        <v>4444</v>
      </c>
    </row>
    <row r="1520" spans="1:7" x14ac:dyDescent="0.25">
      <c r="A1520">
        <v>3551</v>
      </c>
      <c r="B1520">
        <v>725</v>
      </c>
      <c r="C1520" t="s">
        <v>1188</v>
      </c>
      <c r="D1520" t="s">
        <v>5314</v>
      </c>
      <c r="F1520" t="s">
        <v>5313</v>
      </c>
      <c r="G1520" t="s">
        <v>4447</v>
      </c>
    </row>
    <row r="1521" spans="1:7" x14ac:dyDescent="0.25">
      <c r="A1521">
        <v>3552</v>
      </c>
      <c r="B1521">
        <v>725</v>
      </c>
      <c r="C1521" t="s">
        <v>1188</v>
      </c>
      <c r="D1521" t="s">
        <v>5315</v>
      </c>
      <c r="F1521" t="s">
        <v>5313</v>
      </c>
      <c r="G1521" t="s">
        <v>4447</v>
      </c>
    </row>
    <row r="1522" spans="1:7" x14ac:dyDescent="0.25">
      <c r="A1522">
        <v>3553</v>
      </c>
      <c r="B1522">
        <v>725</v>
      </c>
      <c r="C1522" t="s">
        <v>1188</v>
      </c>
      <c r="D1522" t="s">
        <v>5316</v>
      </c>
      <c r="F1522" t="s">
        <v>5313</v>
      </c>
      <c r="G1522" t="s">
        <v>4442</v>
      </c>
    </row>
    <row r="1523" spans="1:7" x14ac:dyDescent="0.25">
      <c r="A1523">
        <v>3554</v>
      </c>
      <c r="B1523">
        <v>725</v>
      </c>
      <c r="C1523" t="s">
        <v>1188</v>
      </c>
      <c r="D1523" t="s">
        <v>1870</v>
      </c>
      <c r="F1523" t="s">
        <v>5313</v>
      </c>
      <c r="G1523" t="s">
        <v>919</v>
      </c>
    </row>
    <row r="1524" spans="1:7" x14ac:dyDescent="0.25">
      <c r="A1524">
        <v>3555</v>
      </c>
      <c r="B1524">
        <v>725</v>
      </c>
      <c r="C1524" t="s">
        <v>1188</v>
      </c>
      <c r="D1524" t="s">
        <v>5317</v>
      </c>
      <c r="F1524" t="s">
        <v>5313</v>
      </c>
      <c r="G1524" t="s">
        <v>4447</v>
      </c>
    </row>
    <row r="1525" spans="1:7" x14ac:dyDescent="0.25">
      <c r="A1525">
        <v>3556</v>
      </c>
      <c r="B1525">
        <v>725</v>
      </c>
      <c r="C1525" t="s">
        <v>1188</v>
      </c>
      <c r="D1525" t="s">
        <v>5318</v>
      </c>
      <c r="F1525" t="s">
        <v>5313</v>
      </c>
    </row>
    <row r="1526" spans="1:7" x14ac:dyDescent="0.25">
      <c r="A1526">
        <v>3557</v>
      </c>
      <c r="B1526">
        <v>725</v>
      </c>
      <c r="C1526" t="s">
        <v>1188</v>
      </c>
      <c r="D1526" t="s">
        <v>5200</v>
      </c>
      <c r="F1526" t="s">
        <v>5319</v>
      </c>
      <c r="G1526" t="s">
        <v>4441</v>
      </c>
    </row>
    <row r="1527" spans="1:7" x14ac:dyDescent="0.25">
      <c r="A1527">
        <v>3558</v>
      </c>
      <c r="B1527">
        <v>726</v>
      </c>
      <c r="C1527" t="s">
        <v>1188</v>
      </c>
      <c r="D1527" t="s">
        <v>5320</v>
      </c>
      <c r="F1527" t="s">
        <v>5321</v>
      </c>
      <c r="G1527" t="s">
        <v>1262</v>
      </c>
    </row>
    <row r="1528" spans="1:7" x14ac:dyDescent="0.25">
      <c r="A1528">
        <v>3559</v>
      </c>
      <c r="B1528">
        <v>726</v>
      </c>
      <c r="C1528" t="s">
        <v>1188</v>
      </c>
      <c r="D1528" t="s">
        <v>1205</v>
      </c>
      <c r="F1528" t="s">
        <v>5321</v>
      </c>
      <c r="G1528" t="s">
        <v>4441</v>
      </c>
    </row>
    <row r="1529" spans="1:7" x14ac:dyDescent="0.25">
      <c r="A1529">
        <v>3560</v>
      </c>
      <c r="B1529">
        <v>726</v>
      </c>
      <c r="C1529" t="s">
        <v>1188</v>
      </c>
      <c r="D1529" t="s">
        <v>5228</v>
      </c>
      <c r="F1529" t="s">
        <v>5321</v>
      </c>
    </row>
    <row r="1530" spans="1:7" x14ac:dyDescent="0.25">
      <c r="A1530">
        <v>3561</v>
      </c>
      <c r="B1530">
        <v>726</v>
      </c>
      <c r="C1530" t="s">
        <v>1188</v>
      </c>
      <c r="D1530" t="s">
        <v>5322</v>
      </c>
      <c r="F1530" t="s">
        <v>5321</v>
      </c>
      <c r="G1530" t="s">
        <v>4440</v>
      </c>
    </row>
    <row r="1531" spans="1:7" x14ac:dyDescent="0.25">
      <c r="A1531">
        <v>3562</v>
      </c>
      <c r="B1531">
        <v>726</v>
      </c>
      <c r="C1531" t="s">
        <v>1188</v>
      </c>
      <c r="D1531" t="s">
        <v>5323</v>
      </c>
      <c r="F1531" t="s">
        <v>5321</v>
      </c>
      <c r="G1531" t="s">
        <v>4442</v>
      </c>
    </row>
    <row r="1532" spans="1:7" x14ac:dyDescent="0.25">
      <c r="A1532">
        <v>3563</v>
      </c>
      <c r="B1532">
        <v>726</v>
      </c>
      <c r="C1532" t="s">
        <v>1188</v>
      </c>
      <c r="D1532" t="s">
        <v>5324</v>
      </c>
      <c r="F1532" t="s">
        <v>5321</v>
      </c>
      <c r="G1532" t="s">
        <v>4442</v>
      </c>
    </row>
    <row r="1533" spans="1:7" x14ac:dyDescent="0.25">
      <c r="A1533">
        <v>3564</v>
      </c>
      <c r="B1533">
        <v>726</v>
      </c>
      <c r="C1533" t="s">
        <v>1188</v>
      </c>
      <c r="D1533" t="s">
        <v>5325</v>
      </c>
      <c r="F1533" t="s">
        <v>5321</v>
      </c>
      <c r="G1533" t="s">
        <v>919</v>
      </c>
    </row>
    <row r="1534" spans="1:7" x14ac:dyDescent="0.25">
      <c r="A1534">
        <v>3565</v>
      </c>
      <c r="B1534">
        <v>726</v>
      </c>
      <c r="C1534" t="s">
        <v>1188</v>
      </c>
      <c r="D1534" t="s">
        <v>5326</v>
      </c>
      <c r="F1534" t="s">
        <v>5321</v>
      </c>
      <c r="G1534" t="s">
        <v>4447</v>
      </c>
    </row>
    <row r="1535" spans="1:7" x14ac:dyDescent="0.25">
      <c r="A1535">
        <v>3566</v>
      </c>
      <c r="B1535">
        <v>726</v>
      </c>
      <c r="C1535" t="s">
        <v>1188</v>
      </c>
      <c r="D1535" t="s">
        <v>5327</v>
      </c>
      <c r="F1535" t="s">
        <v>5321</v>
      </c>
      <c r="G1535" t="s">
        <v>2758</v>
      </c>
    </row>
    <row r="1536" spans="1:7" x14ac:dyDescent="0.25">
      <c r="A1536">
        <v>3578</v>
      </c>
      <c r="B1536">
        <v>114</v>
      </c>
      <c r="C1536" t="s">
        <v>1188</v>
      </c>
      <c r="D1536" t="s">
        <v>5328</v>
      </c>
      <c r="G1536" t="s">
        <v>4440</v>
      </c>
    </row>
    <row r="1537" spans="1:7" x14ac:dyDescent="0.25">
      <c r="A1537">
        <v>3581</v>
      </c>
      <c r="B1537">
        <v>728</v>
      </c>
      <c r="C1537" t="s">
        <v>1188</v>
      </c>
      <c r="D1537" t="s">
        <v>5329</v>
      </c>
      <c r="F1537" t="s">
        <v>5330</v>
      </c>
      <c r="G1537" t="s">
        <v>2758</v>
      </c>
    </row>
    <row r="1538" spans="1:7" x14ac:dyDescent="0.25">
      <c r="A1538">
        <v>3582</v>
      </c>
      <c r="B1538">
        <v>728</v>
      </c>
      <c r="C1538" t="s">
        <v>1188</v>
      </c>
      <c r="D1538" t="s">
        <v>1795</v>
      </c>
      <c r="F1538" t="s">
        <v>5330</v>
      </c>
      <c r="G1538" t="s">
        <v>4441</v>
      </c>
    </row>
    <row r="1539" spans="1:7" x14ac:dyDescent="0.25">
      <c r="A1539">
        <v>3583</v>
      </c>
      <c r="B1539">
        <v>728</v>
      </c>
      <c r="C1539" t="s">
        <v>1188</v>
      </c>
      <c r="D1539" t="s">
        <v>5331</v>
      </c>
      <c r="F1539" t="s">
        <v>5330</v>
      </c>
    </row>
    <row r="1540" spans="1:7" x14ac:dyDescent="0.25">
      <c r="A1540">
        <v>3589</v>
      </c>
      <c r="B1540">
        <v>730</v>
      </c>
      <c r="C1540" t="s">
        <v>1188</v>
      </c>
      <c r="D1540" t="s">
        <v>1220</v>
      </c>
      <c r="F1540" t="s">
        <v>5332</v>
      </c>
      <c r="G1540" t="s">
        <v>4442</v>
      </c>
    </row>
    <row r="1541" spans="1:7" x14ac:dyDescent="0.25">
      <c r="A1541">
        <v>3590</v>
      </c>
      <c r="B1541">
        <v>730</v>
      </c>
      <c r="C1541" t="s">
        <v>1188</v>
      </c>
      <c r="D1541" t="s">
        <v>5333</v>
      </c>
      <c r="F1541" t="s">
        <v>5332</v>
      </c>
      <c r="G1541" t="s">
        <v>919</v>
      </c>
    </row>
    <row r="1542" spans="1:7" x14ac:dyDescent="0.25">
      <c r="A1542">
        <v>3591</v>
      </c>
      <c r="B1542">
        <v>730</v>
      </c>
      <c r="C1542" t="s">
        <v>1188</v>
      </c>
      <c r="D1542" t="s">
        <v>5334</v>
      </c>
      <c r="F1542" t="s">
        <v>5332</v>
      </c>
      <c r="G1542" t="s">
        <v>4441</v>
      </c>
    </row>
    <row r="1543" spans="1:7" x14ac:dyDescent="0.25">
      <c r="A1543">
        <v>3592</v>
      </c>
      <c r="B1543">
        <v>731</v>
      </c>
      <c r="C1543" t="s">
        <v>1188</v>
      </c>
      <c r="D1543" t="s">
        <v>5335</v>
      </c>
      <c r="F1543" t="s">
        <v>5336</v>
      </c>
      <c r="G1543" t="s">
        <v>2758</v>
      </c>
    </row>
    <row r="1544" spans="1:7" x14ac:dyDescent="0.25">
      <c r="A1544">
        <v>3593</v>
      </c>
      <c r="B1544">
        <v>731</v>
      </c>
      <c r="C1544" t="s">
        <v>1188</v>
      </c>
      <c r="D1544" t="s">
        <v>5337</v>
      </c>
      <c r="F1544" t="s">
        <v>5336</v>
      </c>
      <c r="G1544" t="s">
        <v>4442</v>
      </c>
    </row>
    <row r="1545" spans="1:7" x14ac:dyDescent="0.25">
      <c r="A1545">
        <v>3594</v>
      </c>
      <c r="B1545">
        <v>731</v>
      </c>
      <c r="C1545" t="s">
        <v>1188</v>
      </c>
      <c r="D1545" t="s">
        <v>5203</v>
      </c>
      <c r="F1545" t="s">
        <v>5336</v>
      </c>
      <c r="G1545" t="s">
        <v>4464</v>
      </c>
    </row>
    <row r="1546" spans="1:7" x14ac:dyDescent="0.25">
      <c r="A1546">
        <v>3595</v>
      </c>
      <c r="B1546">
        <v>731</v>
      </c>
      <c r="C1546" t="s">
        <v>1188</v>
      </c>
      <c r="D1546" t="s">
        <v>1189</v>
      </c>
      <c r="F1546" t="s">
        <v>5336</v>
      </c>
      <c r="G1546" t="s">
        <v>4444</v>
      </c>
    </row>
    <row r="1547" spans="1:7" x14ac:dyDescent="0.25">
      <c r="A1547">
        <v>3596</v>
      </c>
      <c r="B1547">
        <v>731</v>
      </c>
      <c r="C1547" t="s">
        <v>1188</v>
      </c>
      <c r="D1547" t="s">
        <v>5338</v>
      </c>
      <c r="F1547" t="s">
        <v>5336</v>
      </c>
      <c r="G1547" t="s">
        <v>4447</v>
      </c>
    </row>
    <row r="1548" spans="1:7" x14ac:dyDescent="0.25">
      <c r="A1548">
        <v>3597</v>
      </c>
      <c r="B1548">
        <v>731</v>
      </c>
      <c r="C1548" t="s">
        <v>1188</v>
      </c>
      <c r="D1548" t="s">
        <v>1797</v>
      </c>
      <c r="F1548" t="s">
        <v>5336</v>
      </c>
      <c r="G1548" t="s">
        <v>1309</v>
      </c>
    </row>
    <row r="1549" spans="1:7" x14ac:dyDescent="0.25">
      <c r="A1549">
        <v>3598</v>
      </c>
      <c r="B1549">
        <v>731</v>
      </c>
      <c r="C1549" t="s">
        <v>1188</v>
      </c>
      <c r="D1549" t="s">
        <v>5339</v>
      </c>
      <c r="F1549" t="s">
        <v>5336</v>
      </c>
      <c r="G1549" t="s">
        <v>1670</v>
      </c>
    </row>
    <row r="1550" spans="1:7" x14ac:dyDescent="0.25">
      <c r="A1550">
        <v>3599</v>
      </c>
      <c r="B1550">
        <v>731</v>
      </c>
      <c r="C1550" t="s">
        <v>1188</v>
      </c>
      <c r="D1550" t="s">
        <v>5340</v>
      </c>
      <c r="F1550" t="s">
        <v>5336</v>
      </c>
      <c r="G1550" t="s">
        <v>1262</v>
      </c>
    </row>
    <row r="1551" spans="1:7" x14ac:dyDescent="0.25">
      <c r="A1551">
        <v>3600</v>
      </c>
      <c r="B1551">
        <v>731</v>
      </c>
      <c r="C1551" t="s">
        <v>1188</v>
      </c>
      <c r="D1551" t="s">
        <v>5341</v>
      </c>
      <c r="F1551" t="s">
        <v>5336</v>
      </c>
    </row>
    <row r="1552" spans="1:7" x14ac:dyDescent="0.25">
      <c r="A1552">
        <v>3601</v>
      </c>
      <c r="B1552">
        <v>731</v>
      </c>
      <c r="C1552" t="s">
        <v>1188</v>
      </c>
      <c r="D1552" t="s">
        <v>5342</v>
      </c>
      <c r="F1552" t="s">
        <v>5336</v>
      </c>
      <c r="G1552" t="s">
        <v>4461</v>
      </c>
    </row>
    <row r="1553" spans="1:8" x14ac:dyDescent="0.25">
      <c r="A1553">
        <v>3602</v>
      </c>
      <c r="B1553">
        <v>732</v>
      </c>
      <c r="C1553" t="s">
        <v>1188</v>
      </c>
      <c r="D1553" t="s">
        <v>5268</v>
      </c>
      <c r="F1553" t="s">
        <v>5343</v>
      </c>
      <c r="G1553" t="s">
        <v>4442</v>
      </c>
    </row>
    <row r="1554" spans="1:8" x14ac:dyDescent="0.25">
      <c r="A1554">
        <v>3603</v>
      </c>
      <c r="B1554">
        <v>732</v>
      </c>
      <c r="C1554" t="s">
        <v>1188</v>
      </c>
      <c r="D1554" t="s">
        <v>5203</v>
      </c>
      <c r="F1554" t="s">
        <v>5343</v>
      </c>
      <c r="G1554" t="s">
        <v>4464</v>
      </c>
    </row>
    <row r="1555" spans="1:8" x14ac:dyDescent="0.25">
      <c r="A1555">
        <v>3605</v>
      </c>
      <c r="B1555">
        <v>732</v>
      </c>
      <c r="C1555" t="s">
        <v>1188</v>
      </c>
      <c r="D1555" t="s">
        <v>5344</v>
      </c>
      <c r="F1555" t="s">
        <v>5343</v>
      </c>
      <c r="G1555" t="s">
        <v>4447</v>
      </c>
    </row>
    <row r="1556" spans="1:8" x14ac:dyDescent="0.25">
      <c r="A1556">
        <v>3606</v>
      </c>
      <c r="B1556">
        <v>732</v>
      </c>
      <c r="C1556" t="s">
        <v>1188</v>
      </c>
      <c r="D1556" t="s">
        <v>5345</v>
      </c>
      <c r="F1556" t="s">
        <v>5343</v>
      </c>
      <c r="G1556" t="s">
        <v>919</v>
      </c>
    </row>
    <row r="1557" spans="1:8" x14ac:dyDescent="0.25">
      <c r="A1557">
        <v>3607</v>
      </c>
      <c r="B1557">
        <v>732</v>
      </c>
      <c r="C1557" t="s">
        <v>1188</v>
      </c>
      <c r="D1557" t="s">
        <v>5346</v>
      </c>
      <c r="F1557" t="s">
        <v>5343</v>
      </c>
      <c r="G1557" t="s">
        <v>2758</v>
      </c>
    </row>
    <row r="1558" spans="1:8" x14ac:dyDescent="0.25">
      <c r="A1558">
        <v>3608</v>
      </c>
      <c r="B1558">
        <v>10</v>
      </c>
      <c r="C1558" t="s">
        <v>894</v>
      </c>
      <c r="D1558" t="s">
        <v>5347</v>
      </c>
      <c r="E1558" t="s">
        <v>5348</v>
      </c>
      <c r="F1558" t="s">
        <v>5349</v>
      </c>
    </row>
    <row r="1559" spans="1:8" x14ac:dyDescent="0.25">
      <c r="A1559">
        <v>3609</v>
      </c>
      <c r="B1559">
        <v>349</v>
      </c>
      <c r="C1559" t="s">
        <v>894</v>
      </c>
      <c r="D1559" t="s">
        <v>5350</v>
      </c>
      <c r="E1559" t="s">
        <v>5351</v>
      </c>
      <c r="F1559" t="s">
        <v>5352</v>
      </c>
      <c r="G1559" t="s">
        <v>4445</v>
      </c>
    </row>
    <row r="1560" spans="1:8" x14ac:dyDescent="0.25">
      <c r="A1560">
        <v>3610</v>
      </c>
      <c r="B1560">
        <v>10</v>
      </c>
      <c r="C1560" t="s">
        <v>894</v>
      </c>
      <c r="D1560" t="s">
        <v>1991</v>
      </c>
      <c r="E1560" t="s">
        <v>5353</v>
      </c>
      <c r="F1560" t="s">
        <v>5354</v>
      </c>
      <c r="G1560" t="s">
        <v>4455</v>
      </c>
    </row>
    <row r="1561" spans="1:8" x14ac:dyDescent="0.25">
      <c r="A1561">
        <v>3612</v>
      </c>
      <c r="B1561">
        <v>24</v>
      </c>
      <c r="C1561" t="s">
        <v>894</v>
      </c>
      <c r="D1561" t="s">
        <v>5355</v>
      </c>
      <c r="E1561" t="s">
        <v>5356</v>
      </c>
      <c r="F1561" t="s">
        <v>951</v>
      </c>
      <c r="G1561" t="s">
        <v>1309</v>
      </c>
      <c r="H1561">
        <v>1</v>
      </c>
    </row>
    <row r="1562" spans="1:8" x14ac:dyDescent="0.25">
      <c r="A1562">
        <v>3613</v>
      </c>
      <c r="B1562">
        <v>733</v>
      </c>
      <c r="C1562" t="s">
        <v>898</v>
      </c>
      <c r="D1562" t="s">
        <v>5357</v>
      </c>
      <c r="E1562" t="s">
        <v>5358</v>
      </c>
      <c r="F1562" t="s">
        <v>5359</v>
      </c>
      <c r="G1562" t="s">
        <v>2758</v>
      </c>
    </row>
    <row r="1563" spans="1:8" x14ac:dyDescent="0.25">
      <c r="A1563">
        <v>3615</v>
      </c>
      <c r="B1563">
        <v>102</v>
      </c>
      <c r="C1563" t="s">
        <v>898</v>
      </c>
      <c r="D1563" t="s">
        <v>5360</v>
      </c>
      <c r="E1563" t="s">
        <v>5361</v>
      </c>
      <c r="F1563" t="s">
        <v>1142</v>
      </c>
      <c r="G1563" t="s">
        <v>4447</v>
      </c>
    </row>
    <row r="1564" spans="1:8" x14ac:dyDescent="0.25">
      <c r="A1564">
        <v>3616</v>
      </c>
      <c r="B1564">
        <v>102</v>
      </c>
      <c r="C1564" t="s">
        <v>898</v>
      </c>
      <c r="D1564" t="s">
        <v>5362</v>
      </c>
      <c r="E1564" t="s">
        <v>5363</v>
      </c>
      <c r="F1564" t="s">
        <v>1142</v>
      </c>
      <c r="G1564" t="s">
        <v>4447</v>
      </c>
    </row>
    <row r="1565" spans="1:8" x14ac:dyDescent="0.25">
      <c r="A1565">
        <v>3617</v>
      </c>
      <c r="B1565">
        <v>102</v>
      </c>
      <c r="C1565" t="s">
        <v>898</v>
      </c>
      <c r="D1565" t="s">
        <v>5364</v>
      </c>
      <c r="E1565" t="s">
        <v>5365</v>
      </c>
      <c r="F1565" t="s">
        <v>1142</v>
      </c>
      <c r="G1565" t="s">
        <v>4447</v>
      </c>
    </row>
    <row r="1566" spans="1:8" x14ac:dyDescent="0.25">
      <c r="A1566">
        <v>3618</v>
      </c>
      <c r="B1566">
        <v>102</v>
      </c>
      <c r="C1566" t="s">
        <v>898</v>
      </c>
      <c r="D1566" t="s">
        <v>5366</v>
      </c>
      <c r="E1566" t="s">
        <v>5367</v>
      </c>
      <c r="F1566" t="s">
        <v>1142</v>
      </c>
      <c r="G1566" t="s">
        <v>4447</v>
      </c>
    </row>
    <row r="1567" spans="1:8" x14ac:dyDescent="0.25">
      <c r="A1567">
        <v>3620</v>
      </c>
      <c r="B1567">
        <v>105</v>
      </c>
      <c r="C1567" t="s">
        <v>898</v>
      </c>
      <c r="D1567" t="s">
        <v>5368</v>
      </c>
      <c r="E1567" t="s">
        <v>5369</v>
      </c>
      <c r="F1567" t="s">
        <v>5370</v>
      </c>
      <c r="G1567" t="s">
        <v>4447</v>
      </c>
    </row>
    <row r="1568" spans="1:8" x14ac:dyDescent="0.25">
      <c r="A1568">
        <v>3621</v>
      </c>
      <c r="B1568">
        <v>105</v>
      </c>
      <c r="C1568" t="s">
        <v>898</v>
      </c>
      <c r="D1568" t="s">
        <v>1822</v>
      </c>
      <c r="E1568" t="s">
        <v>5371</v>
      </c>
      <c r="F1568" t="s">
        <v>5372</v>
      </c>
    </row>
    <row r="1569" spans="1:7" x14ac:dyDescent="0.25">
      <c r="A1569">
        <v>3622</v>
      </c>
      <c r="B1569">
        <v>52</v>
      </c>
      <c r="C1569" t="s">
        <v>894</v>
      </c>
      <c r="D1569" t="s">
        <v>2223</v>
      </c>
      <c r="E1569" t="s">
        <v>5373</v>
      </c>
      <c r="F1569" t="s">
        <v>995</v>
      </c>
      <c r="G1569" t="s">
        <v>4447</v>
      </c>
    </row>
    <row r="1570" spans="1:7" x14ac:dyDescent="0.25">
      <c r="A1570">
        <v>3623</v>
      </c>
      <c r="B1570">
        <v>52</v>
      </c>
      <c r="C1570" t="s">
        <v>894</v>
      </c>
      <c r="D1570" t="s">
        <v>1089</v>
      </c>
      <c r="E1570" t="s">
        <v>5374</v>
      </c>
      <c r="F1570" t="s">
        <v>995</v>
      </c>
      <c r="G1570" t="s">
        <v>4447</v>
      </c>
    </row>
    <row r="1571" spans="1:7" x14ac:dyDescent="0.25">
      <c r="A1571">
        <v>3624</v>
      </c>
      <c r="B1571">
        <v>52</v>
      </c>
      <c r="C1571" t="s">
        <v>894</v>
      </c>
      <c r="D1571" t="s">
        <v>5375</v>
      </c>
      <c r="E1571" t="s">
        <v>5376</v>
      </c>
      <c r="F1571" t="s">
        <v>995</v>
      </c>
      <c r="G1571" t="s">
        <v>4447</v>
      </c>
    </row>
    <row r="1572" spans="1:7" x14ac:dyDescent="0.25">
      <c r="A1572">
        <v>3625</v>
      </c>
      <c r="B1572">
        <v>52</v>
      </c>
      <c r="C1572" t="s">
        <v>894</v>
      </c>
      <c r="D1572" t="s">
        <v>5377</v>
      </c>
      <c r="E1572" t="s">
        <v>5378</v>
      </c>
      <c r="F1572" t="s">
        <v>995</v>
      </c>
      <c r="G1572" t="s">
        <v>4442</v>
      </c>
    </row>
    <row r="1573" spans="1:7" x14ac:dyDescent="0.25">
      <c r="A1573">
        <v>3626</v>
      </c>
      <c r="B1573">
        <v>52</v>
      </c>
      <c r="C1573" t="s">
        <v>894</v>
      </c>
      <c r="D1573" t="s">
        <v>5379</v>
      </c>
      <c r="E1573" t="s">
        <v>5380</v>
      </c>
      <c r="F1573" t="s">
        <v>995</v>
      </c>
      <c r="G1573" t="s">
        <v>4446</v>
      </c>
    </row>
    <row r="1574" spans="1:7" x14ac:dyDescent="0.25">
      <c r="A1574">
        <v>3628</v>
      </c>
      <c r="B1574">
        <v>62</v>
      </c>
      <c r="C1574" t="s">
        <v>894</v>
      </c>
      <c r="D1574" t="s">
        <v>5381</v>
      </c>
      <c r="E1574" t="s">
        <v>5382</v>
      </c>
      <c r="F1574" t="s">
        <v>1057</v>
      </c>
      <c r="G1574" t="s">
        <v>4447</v>
      </c>
    </row>
    <row r="1575" spans="1:7" x14ac:dyDescent="0.25">
      <c r="A1575">
        <v>3629</v>
      </c>
      <c r="B1575">
        <v>62</v>
      </c>
      <c r="C1575" t="s">
        <v>894</v>
      </c>
      <c r="D1575" t="s">
        <v>5383</v>
      </c>
      <c r="E1575" t="s">
        <v>5384</v>
      </c>
      <c r="F1575" t="s">
        <v>1057</v>
      </c>
      <c r="G1575" t="s">
        <v>4447</v>
      </c>
    </row>
    <row r="1576" spans="1:7" x14ac:dyDescent="0.25">
      <c r="A1576">
        <v>3630</v>
      </c>
      <c r="B1576">
        <v>62</v>
      </c>
      <c r="C1576" t="s">
        <v>894</v>
      </c>
      <c r="D1576" t="s">
        <v>5385</v>
      </c>
      <c r="E1576" t="s">
        <v>5386</v>
      </c>
      <c r="F1576" t="s">
        <v>1057</v>
      </c>
      <c r="G1576" t="s">
        <v>4447</v>
      </c>
    </row>
    <row r="1577" spans="1:7" x14ac:dyDescent="0.25">
      <c r="A1577">
        <v>3631</v>
      </c>
      <c r="B1577">
        <v>62</v>
      </c>
      <c r="C1577" t="s">
        <v>894</v>
      </c>
      <c r="D1577" t="s">
        <v>4626</v>
      </c>
      <c r="E1577" t="s">
        <v>5387</v>
      </c>
      <c r="F1577" t="s">
        <v>1057</v>
      </c>
    </row>
    <row r="1578" spans="1:7" x14ac:dyDescent="0.25">
      <c r="A1578">
        <v>3632</v>
      </c>
      <c r="B1578">
        <v>735</v>
      </c>
      <c r="C1578" t="s">
        <v>898</v>
      </c>
      <c r="D1578" t="s">
        <v>4746</v>
      </c>
      <c r="E1578" t="s">
        <v>5388</v>
      </c>
      <c r="F1578" t="s">
        <v>5389</v>
      </c>
      <c r="G1578" t="s">
        <v>1262</v>
      </c>
    </row>
    <row r="1579" spans="1:7" x14ac:dyDescent="0.25">
      <c r="A1579">
        <v>3633</v>
      </c>
      <c r="B1579">
        <v>735</v>
      </c>
      <c r="C1579" t="s">
        <v>898</v>
      </c>
      <c r="D1579" t="s">
        <v>5390</v>
      </c>
      <c r="E1579" t="s">
        <v>5391</v>
      </c>
      <c r="F1579" t="s">
        <v>5389</v>
      </c>
      <c r="G1579" t="s">
        <v>2758</v>
      </c>
    </row>
    <row r="1580" spans="1:7" x14ac:dyDescent="0.25">
      <c r="A1580">
        <v>3634</v>
      </c>
      <c r="B1580">
        <v>735</v>
      </c>
      <c r="C1580" t="s">
        <v>898</v>
      </c>
      <c r="D1580" t="s">
        <v>5392</v>
      </c>
      <c r="E1580" t="s">
        <v>5393</v>
      </c>
      <c r="F1580" t="s">
        <v>5389</v>
      </c>
      <c r="G1580" t="s">
        <v>4445</v>
      </c>
    </row>
    <row r="1581" spans="1:7" x14ac:dyDescent="0.25">
      <c r="A1581">
        <v>3635</v>
      </c>
      <c r="B1581">
        <v>735</v>
      </c>
      <c r="C1581" t="s">
        <v>898</v>
      </c>
      <c r="D1581" t="s">
        <v>5394</v>
      </c>
      <c r="E1581" t="s">
        <v>5395</v>
      </c>
      <c r="F1581" t="s">
        <v>5389</v>
      </c>
      <c r="G1581" t="s">
        <v>4447</v>
      </c>
    </row>
    <row r="1582" spans="1:7" x14ac:dyDescent="0.25">
      <c r="A1582">
        <v>3636</v>
      </c>
      <c r="B1582">
        <v>735</v>
      </c>
      <c r="C1582" t="s">
        <v>898</v>
      </c>
      <c r="D1582" t="s">
        <v>5396</v>
      </c>
      <c r="E1582" t="s">
        <v>5397</v>
      </c>
      <c r="F1582" t="s">
        <v>5389</v>
      </c>
      <c r="G1582" t="s">
        <v>4443</v>
      </c>
    </row>
    <row r="1583" spans="1:7" x14ac:dyDescent="0.25">
      <c r="A1583">
        <v>3637</v>
      </c>
      <c r="B1583">
        <v>735</v>
      </c>
      <c r="C1583" t="s">
        <v>898</v>
      </c>
      <c r="D1583" t="s">
        <v>4748</v>
      </c>
      <c r="E1583" t="s">
        <v>5398</v>
      </c>
      <c r="F1583" t="s">
        <v>5389</v>
      </c>
      <c r="G1583" t="s">
        <v>1670</v>
      </c>
    </row>
    <row r="1584" spans="1:7" x14ac:dyDescent="0.25">
      <c r="A1584">
        <v>3638</v>
      </c>
      <c r="B1584">
        <v>735</v>
      </c>
      <c r="C1584" t="s">
        <v>898</v>
      </c>
      <c r="D1584" t="s">
        <v>5399</v>
      </c>
      <c r="E1584" t="s">
        <v>5400</v>
      </c>
      <c r="F1584" t="s">
        <v>5389</v>
      </c>
      <c r="G1584" t="s">
        <v>4441</v>
      </c>
    </row>
    <row r="1585" spans="1:8" x14ac:dyDescent="0.25">
      <c r="A1585">
        <v>3639</v>
      </c>
      <c r="B1585">
        <v>735</v>
      </c>
      <c r="C1585" t="s">
        <v>898</v>
      </c>
      <c r="D1585" t="s">
        <v>5401</v>
      </c>
      <c r="E1585" t="s">
        <v>5402</v>
      </c>
      <c r="F1585" t="s">
        <v>5389</v>
      </c>
      <c r="G1585" t="s">
        <v>4456</v>
      </c>
    </row>
    <row r="1586" spans="1:8" x14ac:dyDescent="0.25">
      <c r="A1586">
        <v>3640</v>
      </c>
      <c r="B1586">
        <v>735</v>
      </c>
      <c r="C1586" t="s">
        <v>898</v>
      </c>
      <c r="D1586" t="s">
        <v>5403</v>
      </c>
      <c r="E1586" t="s">
        <v>5404</v>
      </c>
      <c r="F1586" t="s">
        <v>5389</v>
      </c>
    </row>
    <row r="1587" spans="1:8" x14ac:dyDescent="0.25">
      <c r="A1587">
        <v>3642</v>
      </c>
      <c r="B1587">
        <v>103</v>
      </c>
      <c r="C1587" t="s">
        <v>898</v>
      </c>
      <c r="D1587" t="s">
        <v>4803</v>
      </c>
      <c r="E1587" t="s">
        <v>5405</v>
      </c>
      <c r="F1587" t="s">
        <v>1151</v>
      </c>
      <c r="G1587" t="s">
        <v>4447</v>
      </c>
    </row>
    <row r="1588" spans="1:8" x14ac:dyDescent="0.25">
      <c r="A1588">
        <v>3643</v>
      </c>
      <c r="B1588">
        <v>103</v>
      </c>
      <c r="C1588" t="s">
        <v>898</v>
      </c>
      <c r="D1588" t="s">
        <v>5406</v>
      </c>
      <c r="E1588" t="s">
        <v>5407</v>
      </c>
      <c r="F1588" t="s">
        <v>1151</v>
      </c>
      <c r="G1588" t="s">
        <v>4447</v>
      </c>
    </row>
    <row r="1589" spans="1:8" x14ac:dyDescent="0.25">
      <c r="A1589">
        <v>3645</v>
      </c>
      <c r="B1589">
        <v>618</v>
      </c>
      <c r="C1589" t="s">
        <v>894</v>
      </c>
      <c r="D1589" t="s">
        <v>5408</v>
      </c>
      <c r="E1589" t="s">
        <v>5409</v>
      </c>
      <c r="F1589" t="s">
        <v>2598</v>
      </c>
      <c r="G1589" t="s">
        <v>4456</v>
      </c>
    </row>
    <row r="1590" spans="1:8" x14ac:dyDescent="0.25">
      <c r="A1590">
        <v>3646</v>
      </c>
      <c r="B1590">
        <v>736</v>
      </c>
      <c r="C1590" t="s">
        <v>894</v>
      </c>
      <c r="D1590" t="s">
        <v>923</v>
      </c>
      <c r="F1590" t="s">
        <v>5410</v>
      </c>
      <c r="G1590" t="s">
        <v>4444</v>
      </c>
    </row>
    <row r="1591" spans="1:8" x14ac:dyDescent="0.25">
      <c r="A1591">
        <v>3647</v>
      </c>
      <c r="B1591">
        <v>736</v>
      </c>
      <c r="C1591" t="s">
        <v>894</v>
      </c>
      <c r="D1591" t="s">
        <v>939</v>
      </c>
      <c r="F1591" t="s">
        <v>5410</v>
      </c>
      <c r="G1591" t="s">
        <v>919</v>
      </c>
    </row>
    <row r="1592" spans="1:8" x14ac:dyDescent="0.25">
      <c r="A1592">
        <v>3648</v>
      </c>
      <c r="B1592">
        <v>736</v>
      </c>
      <c r="C1592" t="s">
        <v>894</v>
      </c>
      <c r="D1592" t="s">
        <v>1440</v>
      </c>
      <c r="E1592" t="s">
        <v>5411</v>
      </c>
      <c r="F1592" t="s">
        <v>5410</v>
      </c>
      <c r="G1592" t="s">
        <v>4447</v>
      </c>
    </row>
    <row r="1593" spans="1:8" x14ac:dyDescent="0.25">
      <c r="A1593">
        <v>3649</v>
      </c>
      <c r="B1593">
        <v>736</v>
      </c>
      <c r="C1593" t="s">
        <v>894</v>
      </c>
      <c r="D1593" t="s">
        <v>5412</v>
      </c>
      <c r="F1593" t="s">
        <v>5410</v>
      </c>
      <c r="G1593" t="s">
        <v>4448</v>
      </c>
    </row>
    <row r="1594" spans="1:8" x14ac:dyDescent="0.25">
      <c r="A1594">
        <v>3650</v>
      </c>
      <c r="B1594">
        <v>736</v>
      </c>
      <c r="C1594" t="s">
        <v>894</v>
      </c>
      <c r="D1594" t="s">
        <v>5413</v>
      </c>
      <c r="F1594" t="s">
        <v>5410</v>
      </c>
      <c r="G1594" t="s">
        <v>4442</v>
      </c>
    </row>
    <row r="1595" spans="1:8" x14ac:dyDescent="0.25">
      <c r="A1595">
        <v>3651</v>
      </c>
      <c r="B1595">
        <v>736</v>
      </c>
      <c r="C1595" t="s">
        <v>894</v>
      </c>
      <c r="D1595" t="s">
        <v>5414</v>
      </c>
      <c r="F1595" t="s">
        <v>5410</v>
      </c>
      <c r="G1595" t="s">
        <v>2758</v>
      </c>
    </row>
    <row r="1596" spans="1:8" x14ac:dyDescent="0.25">
      <c r="A1596">
        <v>3653</v>
      </c>
      <c r="B1596">
        <v>31</v>
      </c>
      <c r="C1596" t="s">
        <v>898</v>
      </c>
      <c r="D1596" t="s">
        <v>5415</v>
      </c>
      <c r="E1596" t="s">
        <v>5416</v>
      </c>
      <c r="F1596" t="s">
        <v>5417</v>
      </c>
    </row>
    <row r="1597" spans="1:8" x14ac:dyDescent="0.25">
      <c r="A1597">
        <v>3654</v>
      </c>
      <c r="B1597">
        <v>83</v>
      </c>
      <c r="C1597" t="s">
        <v>898</v>
      </c>
      <c r="D1597" t="s">
        <v>5418</v>
      </c>
      <c r="E1597" t="s">
        <v>5419</v>
      </c>
      <c r="F1597" t="s">
        <v>5420</v>
      </c>
      <c r="G1597" t="s">
        <v>4447</v>
      </c>
    </row>
    <row r="1598" spans="1:8" x14ac:dyDescent="0.25">
      <c r="A1598">
        <v>3660</v>
      </c>
      <c r="B1598">
        <v>28</v>
      </c>
      <c r="C1598" t="s">
        <v>894</v>
      </c>
      <c r="D1598" t="s">
        <v>5421</v>
      </c>
      <c r="E1598" t="s">
        <v>5422</v>
      </c>
      <c r="F1598" t="s">
        <v>5423</v>
      </c>
      <c r="G1598" t="s">
        <v>4447</v>
      </c>
    </row>
    <row r="1599" spans="1:8" x14ac:dyDescent="0.25">
      <c r="A1599">
        <v>3661</v>
      </c>
      <c r="B1599">
        <v>28</v>
      </c>
      <c r="C1599" t="s">
        <v>894</v>
      </c>
      <c r="D1599" t="s">
        <v>2232</v>
      </c>
      <c r="E1599" t="s">
        <v>5424</v>
      </c>
      <c r="F1599" t="s">
        <v>5425</v>
      </c>
      <c r="G1599" t="s">
        <v>4442</v>
      </c>
    </row>
    <row r="1600" spans="1:8" x14ac:dyDescent="0.25">
      <c r="A1600">
        <v>3665</v>
      </c>
      <c r="B1600">
        <v>57</v>
      </c>
      <c r="C1600" t="s">
        <v>894</v>
      </c>
      <c r="D1600" t="s">
        <v>966</v>
      </c>
      <c r="E1600" t="s">
        <v>5426</v>
      </c>
      <c r="F1600" t="s">
        <v>1027</v>
      </c>
      <c r="G1600" t="s">
        <v>2758</v>
      </c>
      <c r="H1600">
        <v>1200</v>
      </c>
    </row>
    <row r="1601" spans="1:8" x14ac:dyDescent="0.25">
      <c r="A1601">
        <v>3666</v>
      </c>
      <c r="B1601">
        <v>57</v>
      </c>
      <c r="C1601" t="s">
        <v>894</v>
      </c>
      <c r="D1601" t="s">
        <v>5427</v>
      </c>
      <c r="E1601" t="s">
        <v>5428</v>
      </c>
      <c r="F1601" t="s">
        <v>1027</v>
      </c>
      <c r="G1601" t="s">
        <v>4447</v>
      </c>
    </row>
    <row r="1602" spans="1:8" x14ac:dyDescent="0.25">
      <c r="A1602">
        <v>3667</v>
      </c>
      <c r="B1602">
        <v>57</v>
      </c>
      <c r="C1602" t="s">
        <v>894</v>
      </c>
      <c r="D1602" t="s">
        <v>5429</v>
      </c>
      <c r="E1602" t="s">
        <v>5430</v>
      </c>
      <c r="F1602" t="s">
        <v>1027</v>
      </c>
    </row>
    <row r="1603" spans="1:8" x14ac:dyDescent="0.25">
      <c r="A1603">
        <v>3668</v>
      </c>
      <c r="B1603">
        <v>57</v>
      </c>
      <c r="C1603" t="s">
        <v>894</v>
      </c>
      <c r="D1603" t="s">
        <v>5431</v>
      </c>
      <c r="E1603" t="s">
        <v>5432</v>
      </c>
      <c r="F1603" t="s">
        <v>1027</v>
      </c>
      <c r="G1603" t="s">
        <v>4442</v>
      </c>
    </row>
    <row r="1604" spans="1:8" x14ac:dyDescent="0.25">
      <c r="A1604">
        <v>3669</v>
      </c>
      <c r="B1604">
        <v>57</v>
      </c>
      <c r="C1604" t="s">
        <v>894</v>
      </c>
      <c r="D1604" t="s">
        <v>5433</v>
      </c>
      <c r="E1604" t="s">
        <v>5434</v>
      </c>
      <c r="F1604" t="s">
        <v>1027</v>
      </c>
      <c r="G1604" t="s">
        <v>919</v>
      </c>
      <c r="H1604">
        <v>2000</v>
      </c>
    </row>
    <row r="1605" spans="1:8" x14ac:dyDescent="0.25">
      <c r="A1605">
        <v>3670</v>
      </c>
      <c r="B1605">
        <v>59</v>
      </c>
      <c r="C1605" t="s">
        <v>894</v>
      </c>
      <c r="D1605" t="s">
        <v>5115</v>
      </c>
      <c r="E1605" t="s">
        <v>5435</v>
      </c>
      <c r="F1605" t="s">
        <v>1627</v>
      </c>
      <c r="G1605" t="s">
        <v>4442</v>
      </c>
    </row>
    <row r="1606" spans="1:8" x14ac:dyDescent="0.25">
      <c r="A1606">
        <v>3672</v>
      </c>
      <c r="B1606">
        <v>39</v>
      </c>
      <c r="C1606" t="s">
        <v>894</v>
      </c>
      <c r="D1606" t="s">
        <v>2028</v>
      </c>
      <c r="E1606" t="s">
        <v>5436</v>
      </c>
      <c r="F1606" t="s">
        <v>5437</v>
      </c>
      <c r="G1606" t="s">
        <v>1309</v>
      </c>
      <c r="H1606">
        <v>3</v>
      </c>
    </row>
    <row r="1607" spans="1:8" x14ac:dyDescent="0.25">
      <c r="A1607">
        <v>3673</v>
      </c>
      <c r="B1607">
        <v>54</v>
      </c>
      <c r="C1607" t="s">
        <v>894</v>
      </c>
      <c r="D1607" t="s">
        <v>5438</v>
      </c>
      <c r="E1607" t="s">
        <v>5439</v>
      </c>
      <c r="F1607" t="s">
        <v>1013</v>
      </c>
      <c r="G1607" t="s">
        <v>4447</v>
      </c>
    </row>
    <row r="1608" spans="1:8" x14ac:dyDescent="0.25">
      <c r="A1608">
        <v>3676</v>
      </c>
      <c r="B1608">
        <v>8</v>
      </c>
      <c r="C1608" t="s">
        <v>894</v>
      </c>
      <c r="D1608" t="s">
        <v>5440</v>
      </c>
      <c r="E1608" t="s">
        <v>5441</v>
      </c>
      <c r="F1608" t="s">
        <v>5442</v>
      </c>
    </row>
    <row r="1609" spans="1:8" x14ac:dyDescent="0.25">
      <c r="A1609">
        <v>3677</v>
      </c>
      <c r="B1609">
        <v>8</v>
      </c>
      <c r="C1609" t="s">
        <v>894</v>
      </c>
      <c r="D1609" t="s">
        <v>5443</v>
      </c>
      <c r="E1609" t="s">
        <v>5444</v>
      </c>
      <c r="F1609" t="s">
        <v>5445</v>
      </c>
      <c r="G1609" t="s">
        <v>4448</v>
      </c>
      <c r="H1609">
        <v>4000</v>
      </c>
    </row>
    <row r="1610" spans="1:8" x14ac:dyDescent="0.25">
      <c r="A1610">
        <v>3678</v>
      </c>
      <c r="B1610">
        <v>8</v>
      </c>
      <c r="C1610" t="s">
        <v>894</v>
      </c>
      <c r="D1610" t="s">
        <v>5446</v>
      </c>
      <c r="E1610" t="s">
        <v>5447</v>
      </c>
      <c r="F1610" t="s">
        <v>5448</v>
      </c>
    </row>
    <row r="1611" spans="1:8" x14ac:dyDescent="0.25">
      <c r="A1611">
        <v>3679</v>
      </c>
      <c r="B1611">
        <v>38</v>
      </c>
      <c r="C1611" t="s">
        <v>894</v>
      </c>
      <c r="D1611" t="s">
        <v>5381</v>
      </c>
      <c r="E1611" t="s">
        <v>5449</v>
      </c>
      <c r="F1611" t="s">
        <v>980</v>
      </c>
      <c r="G1611" t="s">
        <v>4447</v>
      </c>
    </row>
    <row r="1612" spans="1:8" x14ac:dyDescent="0.25">
      <c r="A1612">
        <v>3680</v>
      </c>
      <c r="B1612">
        <v>38</v>
      </c>
      <c r="C1612" t="s">
        <v>894</v>
      </c>
      <c r="D1612" t="s">
        <v>5383</v>
      </c>
      <c r="E1612" t="s">
        <v>5450</v>
      </c>
      <c r="F1612" t="s">
        <v>980</v>
      </c>
      <c r="G1612" t="s">
        <v>4447</v>
      </c>
    </row>
    <row r="1613" spans="1:8" x14ac:dyDescent="0.25">
      <c r="A1613">
        <v>3681</v>
      </c>
      <c r="B1613">
        <v>181</v>
      </c>
      <c r="C1613" t="s">
        <v>894</v>
      </c>
      <c r="D1613" t="s">
        <v>5381</v>
      </c>
      <c r="E1613" t="s">
        <v>5451</v>
      </c>
      <c r="F1613" t="s">
        <v>1276</v>
      </c>
      <c r="G1613" t="s">
        <v>4447</v>
      </c>
    </row>
    <row r="1614" spans="1:8" x14ac:dyDescent="0.25">
      <c r="A1614">
        <v>3682</v>
      </c>
      <c r="B1614">
        <v>181</v>
      </c>
      <c r="C1614" t="s">
        <v>894</v>
      </c>
      <c r="D1614" t="s">
        <v>5383</v>
      </c>
      <c r="E1614" t="s">
        <v>5452</v>
      </c>
      <c r="F1614" t="s">
        <v>1276</v>
      </c>
      <c r="G1614" t="s">
        <v>4447</v>
      </c>
    </row>
    <row r="1615" spans="1:8" x14ac:dyDescent="0.25">
      <c r="A1615">
        <v>3683</v>
      </c>
      <c r="B1615">
        <v>181</v>
      </c>
      <c r="C1615" t="s">
        <v>894</v>
      </c>
      <c r="D1615" t="s">
        <v>5453</v>
      </c>
      <c r="E1615" t="s">
        <v>5454</v>
      </c>
      <c r="F1615" t="s">
        <v>1276</v>
      </c>
      <c r="G1615" t="s">
        <v>4447</v>
      </c>
    </row>
    <row r="1616" spans="1:8" x14ac:dyDescent="0.25">
      <c r="A1616">
        <v>3684</v>
      </c>
      <c r="B1616">
        <v>83</v>
      </c>
      <c r="C1616" t="s">
        <v>898</v>
      </c>
      <c r="D1616" t="s">
        <v>5455</v>
      </c>
      <c r="E1616" t="s">
        <v>5456</v>
      </c>
      <c r="F1616" t="s">
        <v>5457</v>
      </c>
    </row>
    <row r="1617" spans="1:8" x14ac:dyDescent="0.25">
      <c r="A1617">
        <v>3685</v>
      </c>
      <c r="B1617">
        <v>83</v>
      </c>
      <c r="C1617" t="s">
        <v>898</v>
      </c>
      <c r="D1617" t="s">
        <v>5458</v>
      </c>
      <c r="E1617" t="s">
        <v>5459</v>
      </c>
      <c r="F1617" t="s">
        <v>5460</v>
      </c>
      <c r="G1617" t="s">
        <v>4447</v>
      </c>
    </row>
    <row r="1618" spans="1:8" x14ac:dyDescent="0.25">
      <c r="A1618">
        <v>3687</v>
      </c>
      <c r="B1618">
        <v>106</v>
      </c>
      <c r="C1618" t="s">
        <v>898</v>
      </c>
      <c r="D1618" t="s">
        <v>5461</v>
      </c>
      <c r="E1618" t="s">
        <v>5462</v>
      </c>
      <c r="F1618" t="s">
        <v>5463</v>
      </c>
      <c r="G1618" t="s">
        <v>4442</v>
      </c>
    </row>
    <row r="1619" spans="1:8" x14ac:dyDescent="0.25">
      <c r="A1619">
        <v>3688</v>
      </c>
      <c r="B1619">
        <v>106</v>
      </c>
      <c r="C1619" t="s">
        <v>898</v>
      </c>
      <c r="D1619" t="s">
        <v>5464</v>
      </c>
      <c r="E1619" t="s">
        <v>5465</v>
      </c>
      <c r="F1619" t="s">
        <v>5466</v>
      </c>
      <c r="G1619" t="s">
        <v>4442</v>
      </c>
    </row>
    <row r="1620" spans="1:8" x14ac:dyDescent="0.25">
      <c r="A1620">
        <v>3689</v>
      </c>
      <c r="B1620">
        <v>106</v>
      </c>
      <c r="C1620" t="s">
        <v>898</v>
      </c>
      <c r="D1620" t="s">
        <v>5467</v>
      </c>
      <c r="E1620" t="s">
        <v>5465</v>
      </c>
      <c r="F1620" t="s">
        <v>5468</v>
      </c>
      <c r="G1620" t="s">
        <v>4442</v>
      </c>
    </row>
    <row r="1621" spans="1:8" x14ac:dyDescent="0.25">
      <c r="A1621">
        <v>3690</v>
      </c>
      <c r="B1621">
        <v>106</v>
      </c>
      <c r="C1621" t="s">
        <v>898</v>
      </c>
      <c r="D1621" t="s">
        <v>5469</v>
      </c>
      <c r="E1621" t="s">
        <v>5470</v>
      </c>
      <c r="F1621" t="s">
        <v>2733</v>
      </c>
      <c r="G1621" t="s">
        <v>4442</v>
      </c>
    </row>
    <row r="1622" spans="1:8" x14ac:dyDescent="0.25">
      <c r="A1622">
        <v>3691</v>
      </c>
      <c r="B1622">
        <v>106</v>
      </c>
      <c r="C1622" t="s">
        <v>898</v>
      </c>
      <c r="D1622" t="s">
        <v>5471</v>
      </c>
      <c r="E1622" t="s">
        <v>5472</v>
      </c>
      <c r="F1622" t="s">
        <v>5473</v>
      </c>
    </row>
    <row r="1623" spans="1:8" x14ac:dyDescent="0.25">
      <c r="A1623">
        <v>3693</v>
      </c>
      <c r="B1623">
        <v>88</v>
      </c>
      <c r="C1623" t="s">
        <v>894</v>
      </c>
      <c r="D1623" t="s">
        <v>5474</v>
      </c>
      <c r="E1623" t="s">
        <v>5475</v>
      </c>
      <c r="F1623" t="s">
        <v>1111</v>
      </c>
      <c r="G1623" t="s">
        <v>919</v>
      </c>
    </row>
    <row r="1624" spans="1:8" ht="60" x14ac:dyDescent="0.25">
      <c r="A1624">
        <v>3695</v>
      </c>
      <c r="B1624">
        <v>557</v>
      </c>
      <c r="C1624" t="s">
        <v>898</v>
      </c>
      <c r="D1624" t="s">
        <v>2642</v>
      </c>
      <c r="E1624" s="1" t="s">
        <v>5476</v>
      </c>
      <c r="F1624" t="s">
        <v>5477</v>
      </c>
      <c r="G1624" t="s">
        <v>4445</v>
      </c>
      <c r="H1624">
        <v>800</v>
      </c>
    </row>
    <row r="1625" spans="1:8" x14ac:dyDescent="0.25">
      <c r="A1625">
        <v>3696</v>
      </c>
      <c r="B1625">
        <v>201</v>
      </c>
      <c r="C1625" t="s">
        <v>894</v>
      </c>
      <c r="D1625" t="s">
        <v>5478</v>
      </c>
      <c r="E1625" t="s">
        <v>5479</v>
      </c>
      <c r="F1625" t="s">
        <v>5480</v>
      </c>
      <c r="G1625" t="s">
        <v>4445</v>
      </c>
    </row>
    <row r="1626" spans="1:8" x14ac:dyDescent="0.25">
      <c r="A1626">
        <v>3697</v>
      </c>
      <c r="B1626">
        <v>643</v>
      </c>
      <c r="C1626" t="s">
        <v>1188</v>
      </c>
      <c r="D1626" t="s">
        <v>5481</v>
      </c>
      <c r="E1626" t="s">
        <v>5482</v>
      </c>
      <c r="F1626" t="s">
        <v>1191</v>
      </c>
      <c r="G1626" t="s">
        <v>4447</v>
      </c>
    </row>
    <row r="1627" spans="1:8" x14ac:dyDescent="0.25">
      <c r="A1627">
        <v>3698</v>
      </c>
      <c r="B1627">
        <v>738</v>
      </c>
      <c r="C1627" t="s">
        <v>1188</v>
      </c>
      <c r="D1627" t="s">
        <v>5483</v>
      </c>
      <c r="F1627" t="s">
        <v>5484</v>
      </c>
      <c r="G1627" t="s">
        <v>4441</v>
      </c>
    </row>
    <row r="1628" spans="1:8" x14ac:dyDescent="0.25">
      <c r="A1628">
        <v>3699</v>
      </c>
      <c r="B1628">
        <v>738</v>
      </c>
      <c r="C1628" t="s">
        <v>1188</v>
      </c>
      <c r="D1628" t="s">
        <v>5485</v>
      </c>
      <c r="F1628" t="s">
        <v>5484</v>
      </c>
      <c r="G1628" t="s">
        <v>4440</v>
      </c>
    </row>
    <row r="1629" spans="1:8" x14ac:dyDescent="0.25">
      <c r="A1629">
        <v>3702</v>
      </c>
      <c r="B1629">
        <v>699</v>
      </c>
      <c r="C1629" t="s">
        <v>1188</v>
      </c>
      <c r="D1629" t="s">
        <v>5486</v>
      </c>
      <c r="F1629" t="s">
        <v>5487</v>
      </c>
      <c r="G1629" t="s">
        <v>919</v>
      </c>
    </row>
    <row r="1630" spans="1:8" x14ac:dyDescent="0.25">
      <c r="A1630">
        <v>3703</v>
      </c>
      <c r="B1630">
        <v>699</v>
      </c>
      <c r="C1630" t="s">
        <v>1188</v>
      </c>
      <c r="D1630" t="s">
        <v>5488</v>
      </c>
      <c r="F1630" t="s">
        <v>5487</v>
      </c>
      <c r="G1630" t="s">
        <v>4441</v>
      </c>
    </row>
    <row r="1631" spans="1:8" x14ac:dyDescent="0.25">
      <c r="A1631">
        <v>3704</v>
      </c>
      <c r="B1631">
        <v>699</v>
      </c>
      <c r="C1631" t="s">
        <v>1188</v>
      </c>
      <c r="D1631" t="s">
        <v>1917</v>
      </c>
      <c r="F1631" t="s">
        <v>5487</v>
      </c>
      <c r="G1631" t="s">
        <v>4440</v>
      </c>
    </row>
    <row r="1632" spans="1:8" x14ac:dyDescent="0.25">
      <c r="A1632">
        <v>3706</v>
      </c>
      <c r="B1632">
        <v>741</v>
      </c>
      <c r="C1632" t="s">
        <v>1188</v>
      </c>
      <c r="D1632" t="s">
        <v>1917</v>
      </c>
      <c r="F1632" t="s">
        <v>5489</v>
      </c>
      <c r="G1632" t="s">
        <v>4440</v>
      </c>
    </row>
    <row r="1633" spans="1:7" x14ac:dyDescent="0.25">
      <c r="A1633">
        <v>3707</v>
      </c>
      <c r="B1633">
        <v>742</v>
      </c>
      <c r="C1633" t="s">
        <v>1188</v>
      </c>
      <c r="D1633" t="s">
        <v>5490</v>
      </c>
      <c r="F1633" t="s">
        <v>5491</v>
      </c>
      <c r="G1633" t="s">
        <v>4441</v>
      </c>
    </row>
    <row r="1634" spans="1:7" x14ac:dyDescent="0.25">
      <c r="A1634">
        <v>3708</v>
      </c>
      <c r="B1634">
        <v>742</v>
      </c>
      <c r="C1634" t="s">
        <v>1188</v>
      </c>
      <c r="D1634" t="s">
        <v>5228</v>
      </c>
      <c r="F1634" t="s">
        <v>5491</v>
      </c>
    </row>
    <row r="1635" spans="1:7" x14ac:dyDescent="0.25">
      <c r="A1635">
        <v>3709</v>
      </c>
      <c r="B1635">
        <v>742</v>
      </c>
      <c r="C1635" t="s">
        <v>1188</v>
      </c>
      <c r="D1635" t="s">
        <v>1917</v>
      </c>
      <c r="F1635" t="s">
        <v>5491</v>
      </c>
      <c r="G1635" t="s">
        <v>4440</v>
      </c>
    </row>
    <row r="1636" spans="1:7" x14ac:dyDescent="0.25">
      <c r="A1636">
        <v>3710</v>
      </c>
      <c r="B1636">
        <v>743</v>
      </c>
      <c r="C1636" t="s">
        <v>1188</v>
      </c>
      <c r="D1636" t="s">
        <v>1917</v>
      </c>
      <c r="G1636" t="s">
        <v>4440</v>
      </c>
    </row>
    <row r="1637" spans="1:7" x14ac:dyDescent="0.25">
      <c r="A1637">
        <v>3714</v>
      </c>
      <c r="B1637">
        <v>746</v>
      </c>
      <c r="C1637" t="s">
        <v>1188</v>
      </c>
      <c r="D1637" t="s">
        <v>1917</v>
      </c>
      <c r="F1637" t="s">
        <v>5492</v>
      </c>
      <c r="G1637" t="s">
        <v>4440</v>
      </c>
    </row>
    <row r="1638" spans="1:7" x14ac:dyDescent="0.25">
      <c r="A1638">
        <v>3715</v>
      </c>
      <c r="B1638">
        <v>746</v>
      </c>
      <c r="C1638" t="s">
        <v>1188</v>
      </c>
      <c r="D1638" t="s">
        <v>5493</v>
      </c>
      <c r="F1638" t="s">
        <v>5494</v>
      </c>
      <c r="G1638" t="s">
        <v>4451</v>
      </c>
    </row>
    <row r="1639" spans="1:7" x14ac:dyDescent="0.25">
      <c r="A1639">
        <v>3716</v>
      </c>
      <c r="B1639">
        <v>747</v>
      </c>
      <c r="C1639" t="s">
        <v>1188</v>
      </c>
      <c r="D1639" t="s">
        <v>1876</v>
      </c>
      <c r="F1639" t="s">
        <v>5495</v>
      </c>
      <c r="G1639" t="s">
        <v>4445</v>
      </c>
    </row>
    <row r="1640" spans="1:7" x14ac:dyDescent="0.25">
      <c r="A1640">
        <v>3717</v>
      </c>
      <c r="B1640">
        <v>747</v>
      </c>
      <c r="C1640" t="s">
        <v>1188</v>
      </c>
      <c r="D1640" t="s">
        <v>1896</v>
      </c>
      <c r="F1640" t="s">
        <v>5495</v>
      </c>
      <c r="G1640" t="s">
        <v>4447</v>
      </c>
    </row>
    <row r="1641" spans="1:7" x14ac:dyDescent="0.25">
      <c r="A1641">
        <v>3718</v>
      </c>
      <c r="B1641">
        <v>747</v>
      </c>
      <c r="C1641" t="s">
        <v>1188</v>
      </c>
      <c r="D1641" t="s">
        <v>5496</v>
      </c>
      <c r="F1641" t="s">
        <v>5495</v>
      </c>
      <c r="G1641" t="s">
        <v>4444</v>
      </c>
    </row>
    <row r="1642" spans="1:7" x14ac:dyDescent="0.25">
      <c r="A1642">
        <v>3719</v>
      </c>
      <c r="B1642">
        <v>747</v>
      </c>
      <c r="C1642" t="s">
        <v>1188</v>
      </c>
      <c r="D1642" t="s">
        <v>5497</v>
      </c>
      <c r="F1642" t="s">
        <v>5495</v>
      </c>
      <c r="G1642" t="s">
        <v>919</v>
      </c>
    </row>
    <row r="1643" spans="1:7" x14ac:dyDescent="0.25">
      <c r="A1643">
        <v>3720</v>
      </c>
      <c r="B1643">
        <v>747</v>
      </c>
      <c r="C1643" t="s">
        <v>1188</v>
      </c>
      <c r="D1643" t="s">
        <v>5498</v>
      </c>
      <c r="F1643" t="s">
        <v>5495</v>
      </c>
      <c r="G1643" t="s">
        <v>1670</v>
      </c>
    </row>
    <row r="1644" spans="1:7" x14ac:dyDescent="0.25">
      <c r="A1644">
        <v>3721</v>
      </c>
      <c r="B1644">
        <v>748</v>
      </c>
      <c r="C1644" t="s">
        <v>1188</v>
      </c>
      <c r="D1644" t="s">
        <v>1887</v>
      </c>
      <c r="F1644" t="s">
        <v>5499</v>
      </c>
      <c r="G1644" t="s">
        <v>4442</v>
      </c>
    </row>
    <row r="1645" spans="1:7" x14ac:dyDescent="0.25">
      <c r="A1645">
        <v>3722</v>
      </c>
      <c r="B1645">
        <v>748</v>
      </c>
      <c r="C1645" t="s">
        <v>1188</v>
      </c>
      <c r="D1645" t="s">
        <v>5500</v>
      </c>
      <c r="F1645" t="s">
        <v>5499</v>
      </c>
    </row>
    <row r="1646" spans="1:7" x14ac:dyDescent="0.25">
      <c r="A1646">
        <v>3723</v>
      </c>
      <c r="B1646">
        <v>748</v>
      </c>
      <c r="C1646" t="s">
        <v>1188</v>
      </c>
      <c r="D1646" t="s">
        <v>5501</v>
      </c>
      <c r="F1646" t="s">
        <v>5499</v>
      </c>
      <c r="G1646" t="s">
        <v>2758</v>
      </c>
    </row>
    <row r="1647" spans="1:7" x14ac:dyDescent="0.25">
      <c r="A1647">
        <v>3724</v>
      </c>
      <c r="B1647">
        <v>748</v>
      </c>
      <c r="C1647" t="s">
        <v>1188</v>
      </c>
      <c r="D1647" t="s">
        <v>1896</v>
      </c>
      <c r="F1647" t="s">
        <v>5499</v>
      </c>
      <c r="G1647" t="s">
        <v>4447</v>
      </c>
    </row>
    <row r="1648" spans="1:7" x14ac:dyDescent="0.25">
      <c r="A1648">
        <v>3725</v>
      </c>
      <c r="B1648">
        <v>748</v>
      </c>
      <c r="C1648" t="s">
        <v>1188</v>
      </c>
      <c r="D1648" t="s">
        <v>1879</v>
      </c>
      <c r="F1648" t="s">
        <v>5499</v>
      </c>
      <c r="G1648" t="s">
        <v>4444</v>
      </c>
    </row>
    <row r="1649" spans="1:8" x14ac:dyDescent="0.25">
      <c r="A1649">
        <v>3726</v>
      </c>
      <c r="B1649">
        <v>748</v>
      </c>
      <c r="C1649" t="s">
        <v>1188</v>
      </c>
      <c r="D1649" t="s">
        <v>1903</v>
      </c>
      <c r="F1649" t="s">
        <v>5499</v>
      </c>
      <c r="G1649" t="s">
        <v>919</v>
      </c>
    </row>
    <row r="1650" spans="1:8" x14ac:dyDescent="0.25">
      <c r="A1650">
        <v>3727</v>
      </c>
      <c r="B1650">
        <v>748</v>
      </c>
      <c r="C1650" t="s">
        <v>1188</v>
      </c>
      <c r="D1650" t="s">
        <v>1882</v>
      </c>
      <c r="F1650" t="s">
        <v>5499</v>
      </c>
      <c r="G1650" t="s">
        <v>4440</v>
      </c>
    </row>
    <row r="1651" spans="1:8" x14ac:dyDescent="0.25">
      <c r="A1651">
        <v>3728</v>
      </c>
      <c r="B1651">
        <v>748</v>
      </c>
      <c r="C1651" t="s">
        <v>1188</v>
      </c>
      <c r="D1651" t="s">
        <v>1876</v>
      </c>
      <c r="F1651" t="s">
        <v>5499</v>
      </c>
    </row>
    <row r="1652" spans="1:8" x14ac:dyDescent="0.25">
      <c r="A1652">
        <v>3729</v>
      </c>
      <c r="B1652">
        <v>748</v>
      </c>
      <c r="C1652" t="s">
        <v>1188</v>
      </c>
      <c r="D1652" t="s">
        <v>5228</v>
      </c>
      <c r="F1652" t="s">
        <v>5499</v>
      </c>
    </row>
    <row r="1653" spans="1:8" x14ac:dyDescent="0.25">
      <c r="A1653">
        <v>3730</v>
      </c>
      <c r="B1653">
        <v>39</v>
      </c>
      <c r="C1653" t="s">
        <v>894</v>
      </c>
      <c r="D1653" t="s">
        <v>1320</v>
      </c>
      <c r="E1653" t="s">
        <v>5502</v>
      </c>
      <c r="F1653" t="s">
        <v>2219</v>
      </c>
      <c r="G1653" t="s">
        <v>4447</v>
      </c>
    </row>
    <row r="1654" spans="1:8" ht="75" x14ac:dyDescent="0.25">
      <c r="A1654">
        <v>3731</v>
      </c>
      <c r="B1654">
        <v>39</v>
      </c>
      <c r="C1654" t="s">
        <v>894</v>
      </c>
      <c r="D1654" t="s">
        <v>5503</v>
      </c>
      <c r="E1654" s="1" t="s">
        <v>5504</v>
      </c>
      <c r="F1654" t="s">
        <v>5505</v>
      </c>
      <c r="G1654" t="s">
        <v>4445</v>
      </c>
      <c r="H1654">
        <v>400</v>
      </c>
    </row>
    <row r="1655" spans="1:8" x14ac:dyDescent="0.25">
      <c r="A1655">
        <v>3732</v>
      </c>
      <c r="B1655">
        <v>2</v>
      </c>
      <c r="C1655" t="s">
        <v>894</v>
      </c>
      <c r="D1655" t="s">
        <v>933</v>
      </c>
      <c r="E1655" t="s">
        <v>5506</v>
      </c>
      <c r="F1655" t="s">
        <v>910</v>
      </c>
      <c r="G1655" t="s">
        <v>4444</v>
      </c>
      <c r="H1655">
        <v>12400</v>
      </c>
    </row>
    <row r="1656" spans="1:8" x14ac:dyDescent="0.25">
      <c r="A1656">
        <v>3733</v>
      </c>
      <c r="B1656">
        <v>793</v>
      </c>
      <c r="C1656" t="s">
        <v>894</v>
      </c>
      <c r="D1656" t="s">
        <v>917</v>
      </c>
      <c r="E1656" t="s">
        <v>5507</v>
      </c>
      <c r="F1656" t="s">
        <v>1063</v>
      </c>
      <c r="G1656" t="s">
        <v>919</v>
      </c>
      <c r="H1656">
        <v>1800</v>
      </c>
    </row>
    <row r="1657" spans="1:8" x14ac:dyDescent="0.25">
      <c r="A1657">
        <v>3736</v>
      </c>
      <c r="B1657">
        <v>750</v>
      </c>
      <c r="C1657" t="s">
        <v>1188</v>
      </c>
      <c r="D1657" t="s">
        <v>5490</v>
      </c>
      <c r="G1657" t="s">
        <v>4441</v>
      </c>
    </row>
    <row r="1658" spans="1:8" x14ac:dyDescent="0.25">
      <c r="A1658">
        <v>3737</v>
      </c>
      <c r="B1658">
        <v>750</v>
      </c>
      <c r="C1658" t="s">
        <v>1188</v>
      </c>
      <c r="D1658" t="s">
        <v>1917</v>
      </c>
      <c r="G1658" t="s">
        <v>4440</v>
      </c>
    </row>
    <row r="1659" spans="1:8" x14ac:dyDescent="0.25">
      <c r="A1659">
        <v>3738</v>
      </c>
      <c r="B1659">
        <v>108</v>
      </c>
      <c r="C1659" t="s">
        <v>1188</v>
      </c>
      <c r="D1659" t="s">
        <v>5508</v>
      </c>
      <c r="F1659" t="s">
        <v>5509</v>
      </c>
      <c r="G1659" t="s">
        <v>4442</v>
      </c>
    </row>
    <row r="1660" spans="1:8" x14ac:dyDescent="0.25">
      <c r="A1660">
        <v>3739</v>
      </c>
      <c r="B1660">
        <v>108</v>
      </c>
      <c r="C1660" t="s">
        <v>1188</v>
      </c>
      <c r="D1660" t="s">
        <v>5510</v>
      </c>
      <c r="F1660" t="s">
        <v>5509</v>
      </c>
    </row>
    <row r="1661" spans="1:8" x14ac:dyDescent="0.25">
      <c r="A1661">
        <v>3740</v>
      </c>
      <c r="B1661">
        <v>108</v>
      </c>
      <c r="C1661" t="s">
        <v>1188</v>
      </c>
      <c r="D1661" t="s">
        <v>5511</v>
      </c>
      <c r="F1661" t="s">
        <v>5509</v>
      </c>
      <c r="G1661" t="s">
        <v>4447</v>
      </c>
    </row>
    <row r="1662" spans="1:8" x14ac:dyDescent="0.25">
      <c r="A1662">
        <v>3741</v>
      </c>
      <c r="B1662">
        <v>108</v>
      </c>
      <c r="C1662" t="s">
        <v>1188</v>
      </c>
      <c r="D1662" t="s">
        <v>1921</v>
      </c>
      <c r="F1662" t="s">
        <v>5509</v>
      </c>
      <c r="G1662" t="s">
        <v>919</v>
      </c>
    </row>
    <row r="1663" spans="1:8" x14ac:dyDescent="0.25">
      <c r="A1663">
        <v>3742</v>
      </c>
      <c r="B1663">
        <v>108</v>
      </c>
      <c r="C1663" t="s">
        <v>1188</v>
      </c>
      <c r="D1663" t="s">
        <v>5227</v>
      </c>
      <c r="F1663" t="s">
        <v>5509</v>
      </c>
      <c r="G1663" t="s">
        <v>1670</v>
      </c>
    </row>
    <row r="1664" spans="1:8" x14ac:dyDescent="0.25">
      <c r="A1664">
        <v>3743</v>
      </c>
      <c r="B1664">
        <v>108</v>
      </c>
      <c r="C1664" t="s">
        <v>1188</v>
      </c>
      <c r="D1664" t="s">
        <v>5259</v>
      </c>
      <c r="F1664" t="s">
        <v>5509</v>
      </c>
    </row>
    <row r="1665" spans="1:7" x14ac:dyDescent="0.25">
      <c r="A1665">
        <v>3744</v>
      </c>
      <c r="B1665">
        <v>108</v>
      </c>
      <c r="C1665" t="s">
        <v>1188</v>
      </c>
      <c r="D1665" t="s">
        <v>1189</v>
      </c>
      <c r="F1665" t="s">
        <v>5509</v>
      </c>
      <c r="G1665" t="s">
        <v>4444</v>
      </c>
    </row>
    <row r="1666" spans="1:7" x14ac:dyDescent="0.25">
      <c r="A1666">
        <v>3745</v>
      </c>
      <c r="B1666">
        <v>108</v>
      </c>
      <c r="C1666" t="s">
        <v>1188</v>
      </c>
      <c r="D1666" t="s">
        <v>5512</v>
      </c>
      <c r="F1666" t="s">
        <v>5509</v>
      </c>
      <c r="G1666" t="s">
        <v>2758</v>
      </c>
    </row>
    <row r="1667" spans="1:7" x14ac:dyDescent="0.25">
      <c r="A1667">
        <v>3746</v>
      </c>
      <c r="B1667">
        <v>108</v>
      </c>
      <c r="C1667" t="s">
        <v>1188</v>
      </c>
      <c r="D1667" t="s">
        <v>5490</v>
      </c>
      <c r="F1667" t="s">
        <v>5509</v>
      </c>
      <c r="G1667" t="s">
        <v>4441</v>
      </c>
    </row>
    <row r="1668" spans="1:7" x14ac:dyDescent="0.25">
      <c r="A1668">
        <v>3747</v>
      </c>
      <c r="B1668">
        <v>108</v>
      </c>
      <c r="C1668" t="s">
        <v>1188</v>
      </c>
      <c r="D1668" t="s">
        <v>1917</v>
      </c>
      <c r="F1668" t="s">
        <v>5513</v>
      </c>
      <c r="G1668" t="s">
        <v>4440</v>
      </c>
    </row>
    <row r="1669" spans="1:7" x14ac:dyDescent="0.25">
      <c r="A1669">
        <v>3748</v>
      </c>
      <c r="B1669">
        <v>120</v>
      </c>
      <c r="C1669" t="s">
        <v>1188</v>
      </c>
      <c r="D1669" t="s">
        <v>5514</v>
      </c>
      <c r="F1669" t="s">
        <v>1800</v>
      </c>
      <c r="G1669" t="s">
        <v>4442</v>
      </c>
    </row>
    <row r="1670" spans="1:7" x14ac:dyDescent="0.25">
      <c r="A1670">
        <v>3749</v>
      </c>
      <c r="B1670">
        <v>120</v>
      </c>
      <c r="C1670" t="s">
        <v>1188</v>
      </c>
      <c r="D1670" t="s">
        <v>5515</v>
      </c>
      <c r="F1670" t="s">
        <v>1800</v>
      </c>
      <c r="G1670" t="s">
        <v>4464</v>
      </c>
    </row>
    <row r="1671" spans="1:7" x14ac:dyDescent="0.25">
      <c r="A1671">
        <v>3750</v>
      </c>
      <c r="B1671">
        <v>120</v>
      </c>
      <c r="C1671" t="s">
        <v>1188</v>
      </c>
      <c r="D1671" t="s">
        <v>5516</v>
      </c>
      <c r="F1671" t="s">
        <v>1800</v>
      </c>
      <c r="G1671" t="s">
        <v>4447</v>
      </c>
    </row>
    <row r="1672" spans="1:7" x14ac:dyDescent="0.25">
      <c r="A1672">
        <v>3751</v>
      </c>
      <c r="B1672">
        <v>120</v>
      </c>
      <c r="C1672" t="s">
        <v>1188</v>
      </c>
      <c r="D1672" t="s">
        <v>5517</v>
      </c>
      <c r="F1672" t="s">
        <v>1800</v>
      </c>
      <c r="G1672" t="s">
        <v>4444</v>
      </c>
    </row>
    <row r="1673" spans="1:7" x14ac:dyDescent="0.25">
      <c r="A1673">
        <v>3752</v>
      </c>
      <c r="B1673">
        <v>120</v>
      </c>
      <c r="C1673" t="s">
        <v>1188</v>
      </c>
      <c r="D1673" t="s">
        <v>5518</v>
      </c>
      <c r="F1673" t="s">
        <v>1800</v>
      </c>
      <c r="G1673" t="s">
        <v>919</v>
      </c>
    </row>
    <row r="1674" spans="1:7" x14ac:dyDescent="0.25">
      <c r="A1674">
        <v>3753</v>
      </c>
      <c r="B1674">
        <v>120</v>
      </c>
      <c r="C1674" t="s">
        <v>1188</v>
      </c>
      <c r="D1674" t="s">
        <v>5519</v>
      </c>
      <c r="F1674" t="s">
        <v>1800</v>
      </c>
      <c r="G1674" t="s">
        <v>2758</v>
      </c>
    </row>
    <row r="1675" spans="1:7" x14ac:dyDescent="0.25">
      <c r="A1675">
        <v>3754</v>
      </c>
      <c r="B1675">
        <v>120</v>
      </c>
      <c r="C1675" t="s">
        <v>1188</v>
      </c>
      <c r="D1675" t="s">
        <v>1917</v>
      </c>
      <c r="F1675" t="s">
        <v>1800</v>
      </c>
      <c r="G1675" t="s">
        <v>4440</v>
      </c>
    </row>
    <row r="1676" spans="1:7" x14ac:dyDescent="0.25">
      <c r="A1676">
        <v>3755</v>
      </c>
      <c r="B1676">
        <v>120</v>
      </c>
      <c r="C1676" t="s">
        <v>1188</v>
      </c>
      <c r="D1676" t="s">
        <v>5520</v>
      </c>
      <c r="F1676" t="s">
        <v>1800</v>
      </c>
    </row>
    <row r="1677" spans="1:7" x14ac:dyDescent="0.25">
      <c r="A1677">
        <v>3756</v>
      </c>
      <c r="B1677">
        <v>751</v>
      </c>
      <c r="C1677" t="s">
        <v>1188</v>
      </c>
      <c r="D1677" t="s">
        <v>5490</v>
      </c>
      <c r="F1677" t="s">
        <v>5521</v>
      </c>
      <c r="G1677" t="s">
        <v>4441</v>
      </c>
    </row>
    <row r="1678" spans="1:7" x14ac:dyDescent="0.25">
      <c r="A1678">
        <v>3757</v>
      </c>
      <c r="B1678">
        <v>120</v>
      </c>
      <c r="C1678" t="s">
        <v>1188</v>
      </c>
      <c r="D1678" t="s">
        <v>5228</v>
      </c>
      <c r="F1678" t="s">
        <v>1800</v>
      </c>
    </row>
    <row r="1679" spans="1:7" x14ac:dyDescent="0.25">
      <c r="A1679">
        <v>3762</v>
      </c>
      <c r="B1679">
        <v>754</v>
      </c>
      <c r="C1679" t="s">
        <v>1188</v>
      </c>
      <c r="D1679" t="s">
        <v>5490</v>
      </c>
      <c r="F1679" t="s">
        <v>5522</v>
      </c>
      <c r="G1679" t="s">
        <v>4441</v>
      </c>
    </row>
    <row r="1680" spans="1:7" x14ac:dyDescent="0.25">
      <c r="A1680">
        <v>3766</v>
      </c>
      <c r="B1680">
        <v>756</v>
      </c>
      <c r="C1680" t="s">
        <v>1188</v>
      </c>
      <c r="D1680" t="s">
        <v>1917</v>
      </c>
      <c r="F1680" t="s">
        <v>5523</v>
      </c>
      <c r="G1680" t="s">
        <v>4440</v>
      </c>
    </row>
    <row r="1681" spans="1:7" x14ac:dyDescent="0.25">
      <c r="A1681">
        <v>3767</v>
      </c>
      <c r="B1681">
        <v>757</v>
      </c>
      <c r="C1681" t="s">
        <v>1188</v>
      </c>
      <c r="D1681" t="s">
        <v>1917</v>
      </c>
      <c r="F1681" t="s">
        <v>5524</v>
      </c>
      <c r="G1681" t="s">
        <v>4440</v>
      </c>
    </row>
    <row r="1682" spans="1:7" x14ac:dyDescent="0.25">
      <c r="A1682">
        <v>3768</v>
      </c>
      <c r="B1682">
        <v>757</v>
      </c>
      <c r="C1682" t="s">
        <v>1188</v>
      </c>
      <c r="D1682" t="s">
        <v>5525</v>
      </c>
      <c r="F1682" t="s">
        <v>5524</v>
      </c>
      <c r="G1682" t="s">
        <v>4441</v>
      </c>
    </row>
    <row r="1683" spans="1:7" x14ac:dyDescent="0.25">
      <c r="A1683">
        <v>3769</v>
      </c>
      <c r="B1683">
        <v>758</v>
      </c>
      <c r="C1683" t="s">
        <v>1188</v>
      </c>
      <c r="D1683" t="s">
        <v>1917</v>
      </c>
      <c r="F1683" t="s">
        <v>5526</v>
      </c>
      <c r="G1683" t="s">
        <v>4440</v>
      </c>
    </row>
    <row r="1684" spans="1:7" x14ac:dyDescent="0.25">
      <c r="A1684">
        <v>3770</v>
      </c>
      <c r="B1684">
        <v>759</v>
      </c>
      <c r="C1684" t="s">
        <v>1188</v>
      </c>
      <c r="D1684" t="s">
        <v>5527</v>
      </c>
      <c r="F1684" t="s">
        <v>5528</v>
      </c>
      <c r="G1684" t="s">
        <v>4441</v>
      </c>
    </row>
    <row r="1685" spans="1:7" x14ac:dyDescent="0.25">
      <c r="A1685">
        <v>3771</v>
      </c>
      <c r="B1685">
        <v>760</v>
      </c>
      <c r="C1685" t="s">
        <v>1188</v>
      </c>
      <c r="D1685" t="s">
        <v>1917</v>
      </c>
      <c r="G1685" t="s">
        <v>4440</v>
      </c>
    </row>
    <row r="1686" spans="1:7" x14ac:dyDescent="0.25">
      <c r="A1686">
        <v>3773</v>
      </c>
      <c r="B1686">
        <v>760</v>
      </c>
      <c r="C1686" t="s">
        <v>1188</v>
      </c>
      <c r="D1686" t="s">
        <v>5228</v>
      </c>
    </row>
    <row r="1687" spans="1:7" x14ac:dyDescent="0.25">
      <c r="A1687">
        <v>3774</v>
      </c>
      <c r="B1687">
        <v>761</v>
      </c>
      <c r="C1687" t="s">
        <v>1188</v>
      </c>
      <c r="D1687" t="s">
        <v>1917</v>
      </c>
      <c r="F1687" t="s">
        <v>5529</v>
      </c>
      <c r="G1687" t="s">
        <v>4440</v>
      </c>
    </row>
    <row r="1688" spans="1:7" x14ac:dyDescent="0.25">
      <c r="A1688">
        <v>3775</v>
      </c>
      <c r="B1688">
        <v>762</v>
      </c>
      <c r="C1688" t="s">
        <v>1188</v>
      </c>
      <c r="D1688" t="s">
        <v>1917</v>
      </c>
      <c r="F1688" t="s">
        <v>5530</v>
      </c>
      <c r="G1688" t="s">
        <v>4440</v>
      </c>
    </row>
    <row r="1689" spans="1:7" x14ac:dyDescent="0.25">
      <c r="A1689">
        <v>3776</v>
      </c>
      <c r="B1689">
        <v>762</v>
      </c>
      <c r="C1689" t="s">
        <v>1188</v>
      </c>
      <c r="D1689" t="s">
        <v>5490</v>
      </c>
      <c r="F1689" t="s">
        <v>5531</v>
      </c>
      <c r="G1689" t="s">
        <v>4441</v>
      </c>
    </row>
    <row r="1690" spans="1:7" x14ac:dyDescent="0.25">
      <c r="A1690">
        <v>3777</v>
      </c>
      <c r="B1690">
        <v>762</v>
      </c>
      <c r="C1690" t="s">
        <v>1188</v>
      </c>
      <c r="D1690" t="s">
        <v>5532</v>
      </c>
      <c r="F1690" t="s">
        <v>5531</v>
      </c>
    </row>
    <row r="1691" spans="1:7" x14ac:dyDescent="0.25">
      <c r="A1691">
        <v>3778</v>
      </c>
      <c r="B1691">
        <v>762</v>
      </c>
      <c r="C1691" t="s">
        <v>1188</v>
      </c>
      <c r="D1691" t="s">
        <v>5228</v>
      </c>
      <c r="F1691" t="s">
        <v>5533</v>
      </c>
    </row>
    <row r="1692" spans="1:7" x14ac:dyDescent="0.25">
      <c r="A1692">
        <v>3779</v>
      </c>
      <c r="B1692">
        <v>762</v>
      </c>
      <c r="C1692" t="s">
        <v>1188</v>
      </c>
      <c r="D1692" t="s">
        <v>5534</v>
      </c>
      <c r="F1692" t="s">
        <v>5535</v>
      </c>
      <c r="G1692" t="s">
        <v>2758</v>
      </c>
    </row>
    <row r="1693" spans="1:7" x14ac:dyDescent="0.25">
      <c r="A1693">
        <v>3780</v>
      </c>
      <c r="B1693">
        <v>762</v>
      </c>
      <c r="C1693" t="s">
        <v>1188</v>
      </c>
      <c r="D1693" t="s">
        <v>5182</v>
      </c>
      <c r="F1693" t="s">
        <v>5535</v>
      </c>
      <c r="G1693" t="s">
        <v>4442</v>
      </c>
    </row>
    <row r="1694" spans="1:7" x14ac:dyDescent="0.25">
      <c r="A1694">
        <v>3781</v>
      </c>
      <c r="B1694">
        <v>762</v>
      </c>
      <c r="C1694" t="s">
        <v>1188</v>
      </c>
      <c r="D1694" t="s">
        <v>5536</v>
      </c>
      <c r="F1694" t="s">
        <v>5535</v>
      </c>
    </row>
    <row r="1695" spans="1:7" x14ac:dyDescent="0.25">
      <c r="A1695">
        <v>3782</v>
      </c>
      <c r="B1695">
        <v>762</v>
      </c>
      <c r="C1695" t="s">
        <v>1188</v>
      </c>
      <c r="D1695" t="s">
        <v>5537</v>
      </c>
      <c r="F1695" t="s">
        <v>5535</v>
      </c>
      <c r="G1695" t="s">
        <v>4444</v>
      </c>
    </row>
    <row r="1696" spans="1:7" x14ac:dyDescent="0.25">
      <c r="A1696">
        <v>3783</v>
      </c>
      <c r="B1696">
        <v>762</v>
      </c>
      <c r="C1696" t="s">
        <v>1188</v>
      </c>
      <c r="D1696" t="s">
        <v>5538</v>
      </c>
      <c r="F1696" t="s">
        <v>5535</v>
      </c>
      <c r="G1696" t="s">
        <v>919</v>
      </c>
    </row>
    <row r="1697" spans="1:7" x14ac:dyDescent="0.25">
      <c r="A1697">
        <v>3784</v>
      </c>
      <c r="B1697">
        <v>762</v>
      </c>
      <c r="C1697" t="s">
        <v>1188</v>
      </c>
      <c r="D1697" t="s">
        <v>5539</v>
      </c>
      <c r="F1697" t="s">
        <v>5535</v>
      </c>
      <c r="G1697" t="s">
        <v>1670</v>
      </c>
    </row>
    <row r="1698" spans="1:7" x14ac:dyDescent="0.25">
      <c r="A1698">
        <v>3785</v>
      </c>
      <c r="B1698">
        <v>762</v>
      </c>
      <c r="C1698" t="s">
        <v>1188</v>
      </c>
      <c r="D1698" t="s">
        <v>5540</v>
      </c>
      <c r="F1698" t="s">
        <v>5535</v>
      </c>
      <c r="G1698" t="s">
        <v>4447</v>
      </c>
    </row>
    <row r="1699" spans="1:7" x14ac:dyDescent="0.25">
      <c r="A1699">
        <v>3786</v>
      </c>
      <c r="B1699">
        <v>762</v>
      </c>
      <c r="C1699" t="s">
        <v>1188</v>
      </c>
      <c r="D1699" t="s">
        <v>5541</v>
      </c>
      <c r="F1699" t="s">
        <v>5535</v>
      </c>
      <c r="G1699" t="s">
        <v>4447</v>
      </c>
    </row>
    <row r="1700" spans="1:7" x14ac:dyDescent="0.25">
      <c r="A1700">
        <v>3787</v>
      </c>
      <c r="B1700">
        <v>763</v>
      </c>
      <c r="C1700" t="s">
        <v>1188</v>
      </c>
      <c r="D1700" t="s">
        <v>5490</v>
      </c>
      <c r="E1700" t="s">
        <v>5542</v>
      </c>
      <c r="F1700" t="s">
        <v>5543</v>
      </c>
      <c r="G1700" t="s">
        <v>4441</v>
      </c>
    </row>
    <row r="1701" spans="1:7" x14ac:dyDescent="0.25">
      <c r="A1701">
        <v>3788</v>
      </c>
      <c r="B1701">
        <v>763</v>
      </c>
      <c r="C1701" t="s">
        <v>1188</v>
      </c>
      <c r="D1701" t="s">
        <v>1917</v>
      </c>
      <c r="F1701" t="s">
        <v>5543</v>
      </c>
      <c r="G1701" t="s">
        <v>4440</v>
      </c>
    </row>
    <row r="1702" spans="1:7" x14ac:dyDescent="0.25">
      <c r="A1702">
        <v>3789</v>
      </c>
      <c r="B1702">
        <v>763</v>
      </c>
      <c r="C1702" t="s">
        <v>1188</v>
      </c>
      <c r="D1702" t="s">
        <v>5228</v>
      </c>
      <c r="F1702" t="s">
        <v>5543</v>
      </c>
    </row>
    <row r="1703" spans="1:7" x14ac:dyDescent="0.25">
      <c r="A1703">
        <v>3790</v>
      </c>
      <c r="B1703">
        <v>764</v>
      </c>
      <c r="C1703" t="s">
        <v>1188</v>
      </c>
      <c r="D1703" t="s">
        <v>5544</v>
      </c>
      <c r="E1703" t="s">
        <v>5545</v>
      </c>
      <c r="F1703" t="s">
        <v>5546</v>
      </c>
      <c r="G1703" t="s">
        <v>4448</v>
      </c>
    </row>
    <row r="1704" spans="1:7" x14ac:dyDescent="0.25">
      <c r="A1704">
        <v>3791</v>
      </c>
      <c r="B1704">
        <v>764</v>
      </c>
      <c r="C1704" t="s">
        <v>1188</v>
      </c>
      <c r="D1704" t="s">
        <v>1876</v>
      </c>
      <c r="E1704" t="s">
        <v>5547</v>
      </c>
      <c r="F1704" t="s">
        <v>5546</v>
      </c>
      <c r="G1704" t="s">
        <v>4441</v>
      </c>
    </row>
    <row r="1705" spans="1:7" x14ac:dyDescent="0.25">
      <c r="A1705">
        <v>3792</v>
      </c>
      <c r="B1705">
        <v>764</v>
      </c>
      <c r="C1705" t="s">
        <v>1188</v>
      </c>
      <c r="D1705" t="s">
        <v>1917</v>
      </c>
      <c r="E1705" t="s">
        <v>5548</v>
      </c>
      <c r="F1705" t="s">
        <v>5546</v>
      </c>
      <c r="G1705" t="s">
        <v>4440</v>
      </c>
    </row>
    <row r="1706" spans="1:7" x14ac:dyDescent="0.25">
      <c r="A1706">
        <v>3805</v>
      </c>
      <c r="B1706">
        <v>769</v>
      </c>
      <c r="C1706" t="s">
        <v>1188</v>
      </c>
      <c r="D1706" t="s">
        <v>5490</v>
      </c>
      <c r="F1706" t="s">
        <v>5549</v>
      </c>
      <c r="G1706" t="s">
        <v>4441</v>
      </c>
    </row>
    <row r="1707" spans="1:7" x14ac:dyDescent="0.25">
      <c r="A1707">
        <v>3806</v>
      </c>
      <c r="B1707">
        <v>769</v>
      </c>
      <c r="C1707" t="s">
        <v>1188</v>
      </c>
      <c r="D1707" t="s">
        <v>5228</v>
      </c>
      <c r="F1707" t="s">
        <v>5550</v>
      </c>
    </row>
    <row r="1708" spans="1:7" x14ac:dyDescent="0.25">
      <c r="A1708">
        <v>3807</v>
      </c>
      <c r="B1708">
        <v>769</v>
      </c>
      <c r="C1708" t="s">
        <v>1188</v>
      </c>
      <c r="D1708" t="s">
        <v>1917</v>
      </c>
      <c r="F1708" t="s">
        <v>5550</v>
      </c>
      <c r="G1708" t="s">
        <v>4440</v>
      </c>
    </row>
    <row r="1709" spans="1:7" x14ac:dyDescent="0.25">
      <c r="A1709">
        <v>3808</v>
      </c>
      <c r="B1709">
        <v>770</v>
      </c>
      <c r="C1709" t="s">
        <v>1188</v>
      </c>
      <c r="D1709" t="s">
        <v>5527</v>
      </c>
      <c r="G1709" t="s">
        <v>4441</v>
      </c>
    </row>
    <row r="1710" spans="1:7" x14ac:dyDescent="0.25">
      <c r="A1710">
        <v>3809</v>
      </c>
      <c r="B1710">
        <v>770</v>
      </c>
      <c r="C1710" t="s">
        <v>1188</v>
      </c>
      <c r="D1710" t="s">
        <v>5551</v>
      </c>
    </row>
    <row r="1711" spans="1:7" x14ac:dyDescent="0.25">
      <c r="A1711">
        <v>3810</v>
      </c>
      <c r="B1711">
        <v>770</v>
      </c>
      <c r="C1711" t="s">
        <v>1188</v>
      </c>
      <c r="D1711" t="s">
        <v>5552</v>
      </c>
      <c r="G1711" t="s">
        <v>4445</v>
      </c>
    </row>
    <row r="1712" spans="1:7" ht="75" x14ac:dyDescent="0.25">
      <c r="A1712">
        <v>3812</v>
      </c>
      <c r="B1712">
        <v>8</v>
      </c>
      <c r="C1712" t="s">
        <v>894</v>
      </c>
      <c r="D1712" t="s">
        <v>5553</v>
      </c>
      <c r="E1712" s="1" t="s">
        <v>5554</v>
      </c>
      <c r="F1712" t="s">
        <v>5555</v>
      </c>
      <c r="G1712" t="s">
        <v>4446</v>
      </c>
    </row>
    <row r="1713" spans="1:8" x14ac:dyDescent="0.25">
      <c r="A1713">
        <v>3813</v>
      </c>
      <c r="B1713">
        <v>889</v>
      </c>
      <c r="C1713" t="s">
        <v>894</v>
      </c>
      <c r="D1713" t="s">
        <v>5556</v>
      </c>
      <c r="E1713" t="s">
        <v>5557</v>
      </c>
      <c r="F1713" t="s">
        <v>5558</v>
      </c>
    </row>
    <row r="1714" spans="1:8" ht="195" x14ac:dyDescent="0.25">
      <c r="A1714">
        <v>3814</v>
      </c>
      <c r="B1714">
        <v>8</v>
      </c>
      <c r="C1714" t="s">
        <v>894</v>
      </c>
      <c r="D1714" t="s">
        <v>5559</v>
      </c>
      <c r="E1714" s="1" t="s">
        <v>5560</v>
      </c>
      <c r="F1714" t="s">
        <v>5561</v>
      </c>
      <c r="G1714" t="s">
        <v>4453</v>
      </c>
      <c r="H1714">
        <v>5</v>
      </c>
    </row>
    <row r="1715" spans="1:8" x14ac:dyDescent="0.25">
      <c r="A1715">
        <v>3815</v>
      </c>
      <c r="B1715">
        <v>8</v>
      </c>
      <c r="C1715" t="s">
        <v>894</v>
      </c>
      <c r="D1715" t="s">
        <v>5562</v>
      </c>
      <c r="E1715" t="s">
        <v>5563</v>
      </c>
      <c r="F1715" t="s">
        <v>5564</v>
      </c>
      <c r="G1715" t="s">
        <v>4445</v>
      </c>
      <c r="H1715">
        <v>1100</v>
      </c>
    </row>
    <row r="1716" spans="1:8" x14ac:dyDescent="0.25">
      <c r="A1716">
        <v>3817</v>
      </c>
      <c r="B1716">
        <v>13</v>
      </c>
      <c r="C1716" t="s">
        <v>894</v>
      </c>
      <c r="D1716" t="s">
        <v>1272</v>
      </c>
      <c r="E1716" t="s">
        <v>5565</v>
      </c>
      <c r="F1716" t="s">
        <v>925</v>
      </c>
      <c r="G1716" t="s">
        <v>4442</v>
      </c>
    </row>
    <row r="1717" spans="1:8" x14ac:dyDescent="0.25">
      <c r="A1717">
        <v>3818</v>
      </c>
      <c r="B1717">
        <v>13</v>
      </c>
      <c r="C1717" t="s">
        <v>894</v>
      </c>
      <c r="D1717" t="s">
        <v>5566</v>
      </c>
      <c r="E1717" t="s">
        <v>5567</v>
      </c>
      <c r="F1717" t="s">
        <v>925</v>
      </c>
      <c r="G1717" t="s">
        <v>4442</v>
      </c>
    </row>
    <row r="1718" spans="1:8" x14ac:dyDescent="0.25">
      <c r="A1718">
        <v>3819</v>
      </c>
      <c r="B1718">
        <v>13</v>
      </c>
      <c r="C1718" t="s">
        <v>894</v>
      </c>
      <c r="D1718" t="s">
        <v>5568</v>
      </c>
      <c r="E1718" t="s">
        <v>5569</v>
      </c>
      <c r="F1718" t="s">
        <v>925</v>
      </c>
      <c r="G1718" t="s">
        <v>4447</v>
      </c>
    </row>
    <row r="1719" spans="1:8" x14ac:dyDescent="0.25">
      <c r="A1719">
        <v>3820</v>
      </c>
      <c r="B1719">
        <v>13</v>
      </c>
      <c r="C1719" t="s">
        <v>894</v>
      </c>
      <c r="D1719" t="s">
        <v>5570</v>
      </c>
      <c r="E1719" t="s">
        <v>5571</v>
      </c>
      <c r="F1719" t="s">
        <v>925</v>
      </c>
      <c r="G1719" t="s">
        <v>4447</v>
      </c>
    </row>
    <row r="1720" spans="1:8" x14ac:dyDescent="0.25">
      <c r="A1720">
        <v>3821</v>
      </c>
      <c r="B1720">
        <v>13</v>
      </c>
      <c r="C1720" t="s">
        <v>894</v>
      </c>
      <c r="D1720" t="s">
        <v>917</v>
      </c>
      <c r="E1720" t="s">
        <v>5572</v>
      </c>
      <c r="F1720" t="s">
        <v>925</v>
      </c>
      <c r="G1720" t="s">
        <v>919</v>
      </c>
    </row>
    <row r="1721" spans="1:8" x14ac:dyDescent="0.25">
      <c r="A1721">
        <v>3822</v>
      </c>
      <c r="B1721">
        <v>13</v>
      </c>
      <c r="C1721" t="s">
        <v>894</v>
      </c>
      <c r="D1721" t="s">
        <v>2352</v>
      </c>
      <c r="E1721" t="s">
        <v>5573</v>
      </c>
      <c r="F1721" t="s">
        <v>925</v>
      </c>
      <c r="G1721" t="s">
        <v>1262</v>
      </c>
    </row>
    <row r="1722" spans="1:8" x14ac:dyDescent="0.25">
      <c r="A1722">
        <v>3824</v>
      </c>
      <c r="B1722">
        <v>13</v>
      </c>
      <c r="C1722" t="s">
        <v>894</v>
      </c>
      <c r="D1722" t="s">
        <v>5379</v>
      </c>
      <c r="E1722" t="s">
        <v>5574</v>
      </c>
      <c r="F1722" t="s">
        <v>925</v>
      </c>
      <c r="G1722" t="s">
        <v>4446</v>
      </c>
    </row>
    <row r="1723" spans="1:8" x14ac:dyDescent="0.25">
      <c r="A1723">
        <v>3827</v>
      </c>
      <c r="B1723">
        <v>772</v>
      </c>
      <c r="C1723" t="s">
        <v>894</v>
      </c>
      <c r="D1723" t="s">
        <v>5575</v>
      </c>
      <c r="F1723" t="s">
        <v>5576</v>
      </c>
      <c r="G1723" t="s">
        <v>4447</v>
      </c>
    </row>
    <row r="1724" spans="1:8" x14ac:dyDescent="0.25">
      <c r="A1724">
        <v>3828</v>
      </c>
      <c r="B1724">
        <v>772</v>
      </c>
      <c r="C1724" t="s">
        <v>894</v>
      </c>
      <c r="D1724" t="s">
        <v>5577</v>
      </c>
      <c r="F1724" t="s">
        <v>5576</v>
      </c>
      <c r="G1724" t="s">
        <v>4447</v>
      </c>
    </row>
    <row r="1725" spans="1:8" x14ac:dyDescent="0.25">
      <c r="A1725">
        <v>3829</v>
      </c>
      <c r="B1725">
        <v>772</v>
      </c>
      <c r="C1725" t="s">
        <v>894</v>
      </c>
      <c r="D1725" t="s">
        <v>5578</v>
      </c>
      <c r="F1725" t="s">
        <v>5576</v>
      </c>
      <c r="G1725" t="s">
        <v>1670</v>
      </c>
    </row>
    <row r="1726" spans="1:8" x14ac:dyDescent="0.25">
      <c r="A1726">
        <v>3830</v>
      </c>
      <c r="B1726">
        <v>772</v>
      </c>
      <c r="C1726" t="s">
        <v>894</v>
      </c>
      <c r="D1726" t="s">
        <v>2330</v>
      </c>
      <c r="E1726" t="s">
        <v>5579</v>
      </c>
      <c r="F1726" t="s">
        <v>5576</v>
      </c>
      <c r="G1726" t="s">
        <v>2758</v>
      </c>
    </row>
    <row r="1727" spans="1:8" x14ac:dyDescent="0.25">
      <c r="A1727">
        <v>3831</v>
      </c>
      <c r="B1727">
        <v>772</v>
      </c>
      <c r="C1727" t="s">
        <v>894</v>
      </c>
      <c r="D1727" t="s">
        <v>5580</v>
      </c>
      <c r="E1727" t="s">
        <v>5581</v>
      </c>
      <c r="F1727" t="s">
        <v>5576</v>
      </c>
      <c r="G1727" t="s">
        <v>4450</v>
      </c>
    </row>
    <row r="1728" spans="1:8" x14ac:dyDescent="0.25">
      <c r="A1728">
        <v>3834</v>
      </c>
      <c r="B1728">
        <v>553</v>
      </c>
      <c r="C1728" t="s">
        <v>894</v>
      </c>
      <c r="D1728" t="s">
        <v>1320</v>
      </c>
      <c r="E1728" t="s">
        <v>5582</v>
      </c>
      <c r="F1728" t="s">
        <v>1240</v>
      </c>
      <c r="G1728" t="s">
        <v>4447</v>
      </c>
    </row>
    <row r="1729" spans="1:8" x14ac:dyDescent="0.25">
      <c r="A1729">
        <v>3835</v>
      </c>
      <c r="B1729">
        <v>553</v>
      </c>
      <c r="C1729" t="s">
        <v>894</v>
      </c>
      <c r="D1729" t="s">
        <v>1072</v>
      </c>
      <c r="E1729" t="s">
        <v>5583</v>
      </c>
      <c r="F1729" t="s">
        <v>1240</v>
      </c>
      <c r="G1729" t="s">
        <v>4447</v>
      </c>
    </row>
    <row r="1730" spans="1:8" x14ac:dyDescent="0.25">
      <c r="A1730">
        <v>3836</v>
      </c>
      <c r="B1730">
        <v>553</v>
      </c>
      <c r="C1730" t="s">
        <v>894</v>
      </c>
      <c r="D1730" t="s">
        <v>963</v>
      </c>
      <c r="E1730" t="s">
        <v>5584</v>
      </c>
      <c r="F1730" t="s">
        <v>1240</v>
      </c>
      <c r="G1730" t="s">
        <v>4447</v>
      </c>
    </row>
    <row r="1731" spans="1:8" x14ac:dyDescent="0.25">
      <c r="A1731">
        <v>3838</v>
      </c>
      <c r="B1731">
        <v>773</v>
      </c>
      <c r="C1731" t="s">
        <v>894</v>
      </c>
      <c r="D1731" t="s">
        <v>5585</v>
      </c>
      <c r="E1731" t="s">
        <v>5586</v>
      </c>
      <c r="F1731" t="s">
        <v>5587</v>
      </c>
      <c r="G1731" t="s">
        <v>4445</v>
      </c>
    </row>
    <row r="1732" spans="1:8" x14ac:dyDescent="0.25">
      <c r="A1732">
        <v>3839</v>
      </c>
      <c r="B1732">
        <v>521</v>
      </c>
      <c r="C1732" t="s">
        <v>894</v>
      </c>
      <c r="D1732" t="s">
        <v>5588</v>
      </c>
      <c r="E1732" t="s">
        <v>5589</v>
      </c>
      <c r="F1732" t="s">
        <v>2271</v>
      </c>
      <c r="G1732" t="s">
        <v>4445</v>
      </c>
    </row>
    <row r="1733" spans="1:8" x14ac:dyDescent="0.25">
      <c r="A1733">
        <v>3841</v>
      </c>
      <c r="B1733">
        <v>52</v>
      </c>
      <c r="C1733" t="s">
        <v>894</v>
      </c>
      <c r="D1733" t="s">
        <v>5590</v>
      </c>
      <c r="E1733" t="s">
        <v>5591</v>
      </c>
      <c r="F1733" t="s">
        <v>995</v>
      </c>
      <c r="G1733" t="s">
        <v>4445</v>
      </c>
      <c r="H1733">
        <v>2000</v>
      </c>
    </row>
    <row r="1734" spans="1:8" x14ac:dyDescent="0.25">
      <c r="A1734">
        <v>3842</v>
      </c>
      <c r="B1734">
        <v>52</v>
      </c>
      <c r="C1734" t="s">
        <v>894</v>
      </c>
      <c r="D1734" t="s">
        <v>5592</v>
      </c>
      <c r="E1734" t="s">
        <v>5593</v>
      </c>
      <c r="F1734" t="s">
        <v>995</v>
      </c>
      <c r="G1734" t="s">
        <v>4442</v>
      </c>
    </row>
    <row r="1735" spans="1:8" x14ac:dyDescent="0.25">
      <c r="A1735">
        <v>3846</v>
      </c>
      <c r="B1735">
        <v>42</v>
      </c>
      <c r="C1735" t="s">
        <v>894</v>
      </c>
      <c r="D1735" t="s">
        <v>2239</v>
      </c>
      <c r="E1735" t="s">
        <v>5594</v>
      </c>
      <c r="F1735" t="s">
        <v>1136</v>
      </c>
      <c r="G1735" t="s">
        <v>4445</v>
      </c>
      <c r="H1735">
        <v>850</v>
      </c>
    </row>
    <row r="1736" spans="1:8" x14ac:dyDescent="0.25">
      <c r="A1736">
        <v>3847</v>
      </c>
      <c r="B1736">
        <v>694</v>
      </c>
      <c r="C1736" t="s">
        <v>1188</v>
      </c>
      <c r="D1736" t="s">
        <v>5595</v>
      </c>
      <c r="F1736" t="s">
        <v>5177</v>
      </c>
    </row>
    <row r="1737" spans="1:8" x14ac:dyDescent="0.25">
      <c r="A1737">
        <v>3848</v>
      </c>
      <c r="B1737">
        <v>714</v>
      </c>
      <c r="C1737" t="s">
        <v>1188</v>
      </c>
      <c r="D1737" t="s">
        <v>5596</v>
      </c>
      <c r="E1737" t="s">
        <v>5597</v>
      </c>
      <c r="F1737" t="s">
        <v>5278</v>
      </c>
      <c r="G1737" t="s">
        <v>4449</v>
      </c>
    </row>
    <row r="1738" spans="1:8" x14ac:dyDescent="0.25">
      <c r="A1738">
        <v>3850</v>
      </c>
      <c r="B1738">
        <v>13</v>
      </c>
      <c r="C1738" t="s">
        <v>894</v>
      </c>
      <c r="D1738" t="s">
        <v>5598</v>
      </c>
      <c r="E1738" t="s">
        <v>5599</v>
      </c>
      <c r="F1738" t="s">
        <v>5600</v>
      </c>
      <c r="G1738" t="s">
        <v>4447</v>
      </c>
    </row>
    <row r="1739" spans="1:8" x14ac:dyDescent="0.25">
      <c r="A1739">
        <v>3851</v>
      </c>
      <c r="B1739">
        <v>339</v>
      </c>
      <c r="C1739" t="s">
        <v>894</v>
      </c>
      <c r="D1739" t="s">
        <v>963</v>
      </c>
      <c r="E1739" t="s">
        <v>5601</v>
      </c>
      <c r="F1739" t="s">
        <v>1569</v>
      </c>
      <c r="G1739" t="s">
        <v>4447</v>
      </c>
    </row>
    <row r="1740" spans="1:8" x14ac:dyDescent="0.25">
      <c r="A1740">
        <v>3852</v>
      </c>
      <c r="B1740">
        <v>66</v>
      </c>
      <c r="C1740" t="s">
        <v>894</v>
      </c>
      <c r="D1740" t="s">
        <v>5562</v>
      </c>
      <c r="F1740" t="s">
        <v>5602</v>
      </c>
      <c r="G1740" t="s">
        <v>4445</v>
      </c>
    </row>
    <row r="1741" spans="1:8" x14ac:dyDescent="0.25">
      <c r="A1741">
        <v>3854</v>
      </c>
      <c r="B1741">
        <v>66</v>
      </c>
      <c r="C1741" t="s">
        <v>894</v>
      </c>
      <c r="D1741" t="s">
        <v>1320</v>
      </c>
      <c r="F1741" t="s">
        <v>5602</v>
      </c>
      <c r="G1741" t="s">
        <v>4447</v>
      </c>
    </row>
    <row r="1742" spans="1:8" x14ac:dyDescent="0.25">
      <c r="A1742">
        <v>3855</v>
      </c>
      <c r="B1742">
        <v>686</v>
      </c>
      <c r="C1742" t="s">
        <v>894</v>
      </c>
      <c r="D1742" t="s">
        <v>5414</v>
      </c>
      <c r="E1742" t="s">
        <v>5603</v>
      </c>
      <c r="F1742" t="s">
        <v>5155</v>
      </c>
      <c r="G1742" t="s">
        <v>2758</v>
      </c>
    </row>
    <row r="1743" spans="1:8" x14ac:dyDescent="0.25">
      <c r="A1743">
        <v>3856</v>
      </c>
      <c r="B1743">
        <v>686</v>
      </c>
      <c r="C1743" t="s">
        <v>894</v>
      </c>
      <c r="D1743" t="s">
        <v>5604</v>
      </c>
      <c r="E1743" t="s">
        <v>5605</v>
      </c>
      <c r="F1743" t="s">
        <v>5155</v>
      </c>
      <c r="G1743" t="s">
        <v>1309</v>
      </c>
    </row>
    <row r="1744" spans="1:8" x14ac:dyDescent="0.25">
      <c r="A1744">
        <v>3857</v>
      </c>
      <c r="B1744">
        <v>150</v>
      </c>
      <c r="C1744" t="s">
        <v>894</v>
      </c>
      <c r="D1744" t="s">
        <v>5606</v>
      </c>
      <c r="E1744" t="s">
        <v>5607</v>
      </c>
      <c r="F1744" t="s">
        <v>5608</v>
      </c>
      <c r="G1744" t="s">
        <v>1670</v>
      </c>
    </row>
    <row r="1745" spans="1:7" x14ac:dyDescent="0.25">
      <c r="A1745">
        <v>3859</v>
      </c>
      <c r="B1745">
        <v>377</v>
      </c>
      <c r="C1745" t="s">
        <v>894</v>
      </c>
      <c r="D1745" t="s">
        <v>960</v>
      </c>
      <c r="E1745" t="s">
        <v>5609</v>
      </c>
      <c r="F1745" t="s">
        <v>1444</v>
      </c>
      <c r="G1745" t="s">
        <v>4447</v>
      </c>
    </row>
    <row r="1746" spans="1:7" x14ac:dyDescent="0.25">
      <c r="A1746">
        <v>3862</v>
      </c>
      <c r="B1746">
        <v>647</v>
      </c>
      <c r="C1746" t="s">
        <v>898</v>
      </c>
      <c r="D1746" t="s">
        <v>5610</v>
      </c>
      <c r="F1746" t="s">
        <v>4745</v>
      </c>
      <c r="G1746" t="s">
        <v>4440</v>
      </c>
    </row>
    <row r="1747" spans="1:7" x14ac:dyDescent="0.25">
      <c r="A1747">
        <v>3863</v>
      </c>
      <c r="B1747">
        <v>334</v>
      </c>
      <c r="C1747" t="s">
        <v>894</v>
      </c>
      <c r="D1747" t="s">
        <v>923</v>
      </c>
      <c r="E1747" t="s">
        <v>5611</v>
      </c>
      <c r="F1747" t="s">
        <v>1666</v>
      </c>
      <c r="G1747" t="s">
        <v>4444</v>
      </c>
    </row>
    <row r="1748" spans="1:7" x14ac:dyDescent="0.25">
      <c r="A1748">
        <v>3864</v>
      </c>
      <c r="B1748">
        <v>17</v>
      </c>
      <c r="C1748" t="s">
        <v>894</v>
      </c>
      <c r="D1748" t="s">
        <v>5612</v>
      </c>
      <c r="E1748" t="s">
        <v>5613</v>
      </c>
      <c r="F1748" t="s">
        <v>943</v>
      </c>
      <c r="G1748" t="s">
        <v>2758</v>
      </c>
    </row>
    <row r="1749" spans="1:7" x14ac:dyDescent="0.25">
      <c r="A1749">
        <v>3865</v>
      </c>
      <c r="B1749">
        <v>17</v>
      </c>
      <c r="C1749" t="s">
        <v>894</v>
      </c>
      <c r="D1749" t="s">
        <v>4601</v>
      </c>
      <c r="E1749" t="s">
        <v>5614</v>
      </c>
      <c r="F1749" t="s">
        <v>943</v>
      </c>
      <c r="G1749" t="s">
        <v>1670</v>
      </c>
    </row>
    <row r="1750" spans="1:7" x14ac:dyDescent="0.25">
      <c r="A1750">
        <v>3871</v>
      </c>
      <c r="B1750">
        <v>11</v>
      </c>
      <c r="C1750" t="s">
        <v>894</v>
      </c>
      <c r="D1750" t="s">
        <v>5615</v>
      </c>
      <c r="E1750" t="s">
        <v>5616</v>
      </c>
      <c r="F1750" t="s">
        <v>916</v>
      </c>
      <c r="G1750" t="s">
        <v>2758</v>
      </c>
    </row>
    <row r="1751" spans="1:7" x14ac:dyDescent="0.25">
      <c r="A1751">
        <v>3872</v>
      </c>
      <c r="B1751">
        <v>11</v>
      </c>
      <c r="C1751" t="s">
        <v>894</v>
      </c>
      <c r="D1751" t="s">
        <v>5604</v>
      </c>
      <c r="E1751" t="s">
        <v>5617</v>
      </c>
      <c r="F1751" t="s">
        <v>916</v>
      </c>
      <c r="G1751" t="s">
        <v>1309</v>
      </c>
    </row>
    <row r="1752" spans="1:7" x14ac:dyDescent="0.25">
      <c r="A1752">
        <v>3873</v>
      </c>
      <c r="B1752">
        <v>650</v>
      </c>
      <c r="C1752" t="s">
        <v>898</v>
      </c>
      <c r="D1752" t="s">
        <v>5002</v>
      </c>
      <c r="E1752" t="s">
        <v>4778</v>
      </c>
      <c r="F1752" t="s">
        <v>4774</v>
      </c>
      <c r="G1752" t="s">
        <v>4441</v>
      </c>
    </row>
    <row r="1753" spans="1:7" x14ac:dyDescent="0.25">
      <c r="A1753">
        <v>3875</v>
      </c>
      <c r="B1753">
        <v>314</v>
      </c>
      <c r="C1753" t="s">
        <v>894</v>
      </c>
      <c r="D1753" t="s">
        <v>1241</v>
      </c>
      <c r="E1753" t="s">
        <v>5618</v>
      </c>
      <c r="F1753" t="s">
        <v>1578</v>
      </c>
      <c r="G1753" t="s">
        <v>4442</v>
      </c>
    </row>
    <row r="1754" spans="1:7" x14ac:dyDescent="0.25">
      <c r="A1754">
        <v>3881</v>
      </c>
      <c r="B1754">
        <v>412</v>
      </c>
      <c r="C1754" t="s">
        <v>894</v>
      </c>
      <c r="D1754" t="s">
        <v>5619</v>
      </c>
      <c r="E1754" t="s">
        <v>5620</v>
      </c>
      <c r="F1754" t="s">
        <v>2015</v>
      </c>
      <c r="G1754" t="s">
        <v>4447</v>
      </c>
    </row>
    <row r="1755" spans="1:7" x14ac:dyDescent="0.25">
      <c r="A1755">
        <v>3883</v>
      </c>
      <c r="B1755">
        <v>203</v>
      </c>
      <c r="C1755" t="s">
        <v>894</v>
      </c>
      <c r="D1755" t="s">
        <v>5621</v>
      </c>
      <c r="E1755" t="s">
        <v>5622</v>
      </c>
      <c r="F1755" t="s">
        <v>5623</v>
      </c>
      <c r="G1755" t="s">
        <v>4445</v>
      </c>
    </row>
    <row r="1756" spans="1:7" x14ac:dyDescent="0.25">
      <c r="A1756">
        <v>3884</v>
      </c>
      <c r="B1756">
        <v>203</v>
      </c>
      <c r="C1756" t="s">
        <v>894</v>
      </c>
      <c r="D1756" t="s">
        <v>5624</v>
      </c>
      <c r="E1756" t="s">
        <v>5625</v>
      </c>
      <c r="F1756" t="s">
        <v>1339</v>
      </c>
      <c r="G1756" t="s">
        <v>4447</v>
      </c>
    </row>
    <row r="1757" spans="1:7" x14ac:dyDescent="0.25">
      <c r="A1757">
        <v>3885</v>
      </c>
      <c r="B1757">
        <v>203</v>
      </c>
      <c r="C1757" t="s">
        <v>894</v>
      </c>
      <c r="D1757" t="s">
        <v>1320</v>
      </c>
      <c r="E1757" t="s">
        <v>5626</v>
      </c>
      <c r="F1757" t="s">
        <v>1339</v>
      </c>
      <c r="G1757" t="s">
        <v>4447</v>
      </c>
    </row>
    <row r="1758" spans="1:7" x14ac:dyDescent="0.25">
      <c r="A1758">
        <v>3886</v>
      </c>
      <c r="B1758">
        <v>203</v>
      </c>
      <c r="C1758" t="s">
        <v>894</v>
      </c>
      <c r="D1758" t="s">
        <v>5627</v>
      </c>
      <c r="F1758" t="s">
        <v>1339</v>
      </c>
      <c r="G1758" t="s">
        <v>1670</v>
      </c>
    </row>
    <row r="1759" spans="1:7" x14ac:dyDescent="0.25">
      <c r="A1759">
        <v>3887</v>
      </c>
      <c r="B1759">
        <v>111</v>
      </c>
      <c r="C1759" t="s">
        <v>898</v>
      </c>
      <c r="D1759" t="s">
        <v>5628</v>
      </c>
      <c r="F1759" t="s">
        <v>5629</v>
      </c>
      <c r="G1759" t="s">
        <v>4440</v>
      </c>
    </row>
    <row r="1760" spans="1:7" x14ac:dyDescent="0.25">
      <c r="A1760">
        <v>3888</v>
      </c>
      <c r="B1760">
        <v>372</v>
      </c>
      <c r="C1760" t="s">
        <v>898</v>
      </c>
      <c r="D1760" t="s">
        <v>5630</v>
      </c>
      <c r="E1760" t="s">
        <v>5631</v>
      </c>
      <c r="F1760" t="s">
        <v>5632</v>
      </c>
    </row>
    <row r="1761" spans="1:7" x14ac:dyDescent="0.25">
      <c r="A1761">
        <v>3890</v>
      </c>
      <c r="B1761">
        <v>672</v>
      </c>
      <c r="C1761" t="s">
        <v>898</v>
      </c>
      <c r="D1761" t="s">
        <v>4820</v>
      </c>
      <c r="E1761" t="s">
        <v>5633</v>
      </c>
      <c r="F1761" t="s">
        <v>5634</v>
      </c>
      <c r="G1761" t="s">
        <v>4441</v>
      </c>
    </row>
    <row r="1762" spans="1:7" x14ac:dyDescent="0.25">
      <c r="A1762">
        <v>3891</v>
      </c>
      <c r="B1762">
        <v>672</v>
      </c>
      <c r="C1762" t="s">
        <v>898</v>
      </c>
      <c r="D1762" t="s">
        <v>4897</v>
      </c>
      <c r="F1762" t="s">
        <v>5634</v>
      </c>
      <c r="G1762" t="s">
        <v>4441</v>
      </c>
    </row>
    <row r="1763" spans="1:7" x14ac:dyDescent="0.25">
      <c r="A1763">
        <v>3892</v>
      </c>
      <c r="B1763">
        <v>672</v>
      </c>
      <c r="C1763" t="s">
        <v>898</v>
      </c>
      <c r="D1763" t="s">
        <v>5635</v>
      </c>
      <c r="F1763" t="s">
        <v>5634</v>
      </c>
      <c r="G1763" t="s">
        <v>4456</v>
      </c>
    </row>
    <row r="1764" spans="1:7" x14ac:dyDescent="0.25">
      <c r="A1764">
        <v>3893</v>
      </c>
      <c r="B1764">
        <v>672</v>
      </c>
      <c r="C1764" t="s">
        <v>898</v>
      </c>
      <c r="D1764" t="s">
        <v>5636</v>
      </c>
      <c r="F1764" t="s">
        <v>5634</v>
      </c>
      <c r="G1764" t="s">
        <v>4452</v>
      </c>
    </row>
    <row r="1765" spans="1:7" x14ac:dyDescent="0.25">
      <c r="A1765">
        <v>3894</v>
      </c>
      <c r="B1765">
        <v>672</v>
      </c>
      <c r="C1765" t="s">
        <v>898</v>
      </c>
      <c r="D1765" t="s">
        <v>5637</v>
      </c>
      <c r="F1765" t="s">
        <v>5634</v>
      </c>
      <c r="G1765" t="s">
        <v>4440</v>
      </c>
    </row>
    <row r="1766" spans="1:7" x14ac:dyDescent="0.25">
      <c r="A1766">
        <v>3896</v>
      </c>
      <c r="B1766">
        <v>778</v>
      </c>
      <c r="C1766" t="s">
        <v>894</v>
      </c>
      <c r="D1766" t="s">
        <v>895</v>
      </c>
      <c r="E1766" t="s">
        <v>5638</v>
      </c>
      <c r="F1766" t="s">
        <v>5639</v>
      </c>
      <c r="G1766" t="s">
        <v>4448</v>
      </c>
    </row>
    <row r="1767" spans="1:7" x14ac:dyDescent="0.25">
      <c r="A1767">
        <v>3897</v>
      </c>
      <c r="B1767">
        <v>778</v>
      </c>
      <c r="C1767" t="s">
        <v>894</v>
      </c>
      <c r="D1767" t="s">
        <v>5640</v>
      </c>
      <c r="E1767" t="s">
        <v>5641</v>
      </c>
      <c r="F1767" t="s">
        <v>5639</v>
      </c>
      <c r="G1767" t="s">
        <v>4442</v>
      </c>
    </row>
    <row r="1768" spans="1:7" x14ac:dyDescent="0.25">
      <c r="A1768">
        <v>3898</v>
      </c>
      <c r="B1768">
        <v>778</v>
      </c>
      <c r="C1768" t="s">
        <v>894</v>
      </c>
      <c r="D1768" t="s">
        <v>963</v>
      </c>
      <c r="E1768" t="s">
        <v>5642</v>
      </c>
      <c r="F1768" t="s">
        <v>5639</v>
      </c>
      <c r="G1768" t="s">
        <v>4447</v>
      </c>
    </row>
    <row r="1769" spans="1:7" x14ac:dyDescent="0.25">
      <c r="A1769">
        <v>3900</v>
      </c>
      <c r="B1769">
        <v>292</v>
      </c>
      <c r="C1769" t="s">
        <v>894</v>
      </c>
      <c r="D1769" t="s">
        <v>5643</v>
      </c>
      <c r="E1769" t="s">
        <v>5644</v>
      </c>
      <c r="F1769" t="s">
        <v>1328</v>
      </c>
      <c r="G1769" t="s">
        <v>4443</v>
      </c>
    </row>
    <row r="1770" spans="1:7" x14ac:dyDescent="0.25">
      <c r="A1770">
        <v>3903</v>
      </c>
      <c r="B1770">
        <v>779</v>
      </c>
      <c r="C1770" t="s">
        <v>898</v>
      </c>
      <c r="D1770" t="s">
        <v>5645</v>
      </c>
      <c r="E1770" t="s">
        <v>5646</v>
      </c>
      <c r="F1770" t="s">
        <v>5647</v>
      </c>
    </row>
    <row r="1771" spans="1:7" x14ac:dyDescent="0.25">
      <c r="A1771">
        <v>3905</v>
      </c>
      <c r="B1771">
        <v>29</v>
      </c>
      <c r="C1771" t="s">
        <v>894</v>
      </c>
      <c r="D1771" t="s">
        <v>5648</v>
      </c>
      <c r="E1771" t="s">
        <v>5649</v>
      </c>
      <c r="F1771" t="s">
        <v>5650</v>
      </c>
      <c r="G1771" t="s">
        <v>4459</v>
      </c>
    </row>
    <row r="1772" spans="1:7" x14ac:dyDescent="0.25">
      <c r="A1772">
        <v>3906</v>
      </c>
      <c r="B1772">
        <v>29</v>
      </c>
      <c r="C1772" t="s">
        <v>894</v>
      </c>
      <c r="D1772" t="s">
        <v>5651</v>
      </c>
      <c r="E1772" t="s">
        <v>5652</v>
      </c>
      <c r="F1772" t="s">
        <v>5653</v>
      </c>
    </row>
    <row r="1773" spans="1:7" x14ac:dyDescent="0.25">
      <c r="A1773">
        <v>3908</v>
      </c>
      <c r="B1773">
        <v>29</v>
      </c>
      <c r="C1773" t="s">
        <v>894</v>
      </c>
      <c r="D1773" t="s">
        <v>5654</v>
      </c>
      <c r="E1773" t="s">
        <v>5655</v>
      </c>
      <c r="F1773" t="s">
        <v>5656</v>
      </c>
      <c r="G1773" t="s">
        <v>4447</v>
      </c>
    </row>
    <row r="1774" spans="1:7" x14ac:dyDescent="0.25">
      <c r="A1774">
        <v>3913</v>
      </c>
      <c r="B1774">
        <v>35</v>
      </c>
      <c r="C1774" t="s">
        <v>898</v>
      </c>
      <c r="D1774" t="s">
        <v>5657</v>
      </c>
      <c r="E1774" t="s">
        <v>5658</v>
      </c>
      <c r="F1774" t="s">
        <v>5659</v>
      </c>
      <c r="G1774" t="s">
        <v>1309</v>
      </c>
    </row>
    <row r="1775" spans="1:7" x14ac:dyDescent="0.25">
      <c r="A1775">
        <v>3914</v>
      </c>
      <c r="B1775">
        <v>16</v>
      </c>
      <c r="C1775" t="s">
        <v>894</v>
      </c>
      <c r="D1775" t="s">
        <v>5660</v>
      </c>
      <c r="E1775" t="s">
        <v>5661</v>
      </c>
      <c r="F1775" t="s">
        <v>941</v>
      </c>
      <c r="G1775" t="s">
        <v>4447</v>
      </c>
    </row>
    <row r="1776" spans="1:7" x14ac:dyDescent="0.25">
      <c r="A1776">
        <v>3916</v>
      </c>
      <c r="B1776">
        <v>16</v>
      </c>
      <c r="C1776" t="s">
        <v>894</v>
      </c>
      <c r="D1776" t="s">
        <v>5662</v>
      </c>
      <c r="E1776" t="s">
        <v>5663</v>
      </c>
      <c r="F1776" t="s">
        <v>941</v>
      </c>
      <c r="G1776" t="s">
        <v>1670</v>
      </c>
    </row>
    <row r="1777" spans="1:7" x14ac:dyDescent="0.25">
      <c r="A1777">
        <v>3917</v>
      </c>
      <c r="B1777">
        <v>16</v>
      </c>
      <c r="C1777" t="s">
        <v>894</v>
      </c>
      <c r="D1777" t="s">
        <v>5664</v>
      </c>
      <c r="E1777" t="s">
        <v>5665</v>
      </c>
      <c r="F1777" t="s">
        <v>941</v>
      </c>
      <c r="G1777" t="s">
        <v>4447</v>
      </c>
    </row>
    <row r="1778" spans="1:7" x14ac:dyDescent="0.25">
      <c r="A1778">
        <v>3920</v>
      </c>
      <c r="B1778">
        <v>452</v>
      </c>
      <c r="C1778" t="s">
        <v>894</v>
      </c>
      <c r="D1778" t="s">
        <v>5666</v>
      </c>
      <c r="F1778" t="s">
        <v>2689</v>
      </c>
    </row>
    <row r="1779" spans="1:7" x14ac:dyDescent="0.25">
      <c r="A1779">
        <v>3921</v>
      </c>
      <c r="B1779">
        <v>627</v>
      </c>
      <c r="C1779" t="s">
        <v>894</v>
      </c>
      <c r="D1779" t="s">
        <v>5667</v>
      </c>
      <c r="F1779" t="s">
        <v>2689</v>
      </c>
      <c r="G1779" t="s">
        <v>4445</v>
      </c>
    </row>
    <row r="1780" spans="1:7" x14ac:dyDescent="0.25">
      <c r="A1780">
        <v>3922</v>
      </c>
      <c r="B1780">
        <v>98</v>
      </c>
      <c r="C1780" t="s">
        <v>894</v>
      </c>
      <c r="D1780" t="s">
        <v>902</v>
      </c>
      <c r="E1780" t="s">
        <v>5668</v>
      </c>
      <c r="F1780" t="s">
        <v>5669</v>
      </c>
      <c r="G1780" t="s">
        <v>4447</v>
      </c>
    </row>
    <row r="1781" spans="1:7" x14ac:dyDescent="0.25">
      <c r="A1781">
        <v>3923</v>
      </c>
      <c r="B1781">
        <v>98</v>
      </c>
      <c r="C1781" t="s">
        <v>894</v>
      </c>
      <c r="D1781" t="s">
        <v>5670</v>
      </c>
      <c r="E1781" t="s">
        <v>5671</v>
      </c>
      <c r="F1781" t="s">
        <v>5672</v>
      </c>
      <c r="G1781" t="s">
        <v>919</v>
      </c>
    </row>
    <row r="1782" spans="1:7" x14ac:dyDescent="0.25">
      <c r="A1782">
        <v>3925</v>
      </c>
      <c r="B1782">
        <v>98</v>
      </c>
      <c r="C1782" t="s">
        <v>894</v>
      </c>
      <c r="D1782" t="s">
        <v>5673</v>
      </c>
      <c r="E1782" t="s">
        <v>5674</v>
      </c>
      <c r="F1782" t="s">
        <v>5669</v>
      </c>
      <c r="G1782" t="s">
        <v>4443</v>
      </c>
    </row>
    <row r="1783" spans="1:7" x14ac:dyDescent="0.25">
      <c r="A1783">
        <v>3926</v>
      </c>
      <c r="B1783">
        <v>25</v>
      </c>
      <c r="C1783" t="s">
        <v>894</v>
      </c>
      <c r="D1783" t="s">
        <v>5675</v>
      </c>
      <c r="E1783" t="s">
        <v>5676</v>
      </c>
      <c r="F1783" t="s">
        <v>2131</v>
      </c>
      <c r="G1783" t="s">
        <v>4447</v>
      </c>
    </row>
    <row r="1784" spans="1:7" x14ac:dyDescent="0.25">
      <c r="A1784">
        <v>3928</v>
      </c>
      <c r="B1784">
        <v>46</v>
      </c>
      <c r="C1784" t="s">
        <v>894</v>
      </c>
      <c r="D1784" t="s">
        <v>5677</v>
      </c>
      <c r="F1784" t="s">
        <v>5678</v>
      </c>
      <c r="G1784" t="s">
        <v>4447</v>
      </c>
    </row>
    <row r="1785" spans="1:7" x14ac:dyDescent="0.25">
      <c r="A1785">
        <v>3929</v>
      </c>
      <c r="B1785">
        <v>46</v>
      </c>
      <c r="C1785" t="s">
        <v>894</v>
      </c>
      <c r="D1785" t="s">
        <v>5679</v>
      </c>
      <c r="F1785" t="s">
        <v>5678</v>
      </c>
      <c r="G1785" t="s">
        <v>4442</v>
      </c>
    </row>
    <row r="1786" spans="1:7" x14ac:dyDescent="0.25">
      <c r="A1786">
        <v>3930</v>
      </c>
      <c r="B1786">
        <v>46</v>
      </c>
      <c r="C1786" t="s">
        <v>894</v>
      </c>
      <c r="D1786" t="s">
        <v>5680</v>
      </c>
      <c r="F1786" t="s">
        <v>1024</v>
      </c>
      <c r="G1786" t="s">
        <v>1670</v>
      </c>
    </row>
    <row r="1787" spans="1:7" x14ac:dyDescent="0.25">
      <c r="A1787">
        <v>3931</v>
      </c>
      <c r="B1787">
        <v>46</v>
      </c>
      <c r="C1787" t="s">
        <v>894</v>
      </c>
      <c r="D1787" t="s">
        <v>4666</v>
      </c>
      <c r="E1787" t="s">
        <v>5681</v>
      </c>
      <c r="F1787" t="s">
        <v>1649</v>
      </c>
      <c r="G1787" t="s">
        <v>4445</v>
      </c>
    </row>
    <row r="1788" spans="1:7" x14ac:dyDescent="0.25">
      <c r="A1788">
        <v>3932</v>
      </c>
      <c r="B1788">
        <v>46</v>
      </c>
      <c r="C1788" t="s">
        <v>894</v>
      </c>
      <c r="D1788" t="s">
        <v>5682</v>
      </c>
      <c r="F1788" t="s">
        <v>1649</v>
      </c>
      <c r="G1788" t="s">
        <v>4440</v>
      </c>
    </row>
    <row r="1789" spans="1:7" x14ac:dyDescent="0.25">
      <c r="A1789">
        <v>3933</v>
      </c>
      <c r="B1789">
        <v>46</v>
      </c>
      <c r="C1789" t="s">
        <v>894</v>
      </c>
      <c r="D1789" t="s">
        <v>5683</v>
      </c>
      <c r="F1789" t="s">
        <v>1649</v>
      </c>
    </row>
    <row r="1790" spans="1:7" x14ac:dyDescent="0.25">
      <c r="A1790">
        <v>3934</v>
      </c>
      <c r="B1790">
        <v>780</v>
      </c>
      <c r="C1790" t="s">
        <v>898</v>
      </c>
      <c r="D1790" t="s">
        <v>5684</v>
      </c>
      <c r="E1790" t="s">
        <v>5685</v>
      </c>
      <c r="F1790" t="s">
        <v>5686</v>
      </c>
    </row>
    <row r="1791" spans="1:7" x14ac:dyDescent="0.25">
      <c r="A1791">
        <v>3935</v>
      </c>
      <c r="B1791">
        <v>736</v>
      </c>
      <c r="C1791" t="s">
        <v>894</v>
      </c>
      <c r="D1791" t="s">
        <v>5687</v>
      </c>
      <c r="F1791" t="s">
        <v>5410</v>
      </c>
      <c r="G1791" t="s">
        <v>1309</v>
      </c>
    </row>
    <row r="1792" spans="1:7" x14ac:dyDescent="0.25">
      <c r="A1792">
        <v>3936</v>
      </c>
      <c r="B1792">
        <v>736</v>
      </c>
      <c r="C1792" t="s">
        <v>894</v>
      </c>
      <c r="D1792" t="s">
        <v>5688</v>
      </c>
      <c r="F1792" t="s">
        <v>5410</v>
      </c>
      <c r="G1792" t="s">
        <v>1670</v>
      </c>
    </row>
    <row r="1793" spans="1:7" x14ac:dyDescent="0.25">
      <c r="A1793">
        <v>3938</v>
      </c>
      <c r="B1793">
        <v>782</v>
      </c>
      <c r="C1793" t="s">
        <v>894</v>
      </c>
      <c r="D1793" t="s">
        <v>1241</v>
      </c>
      <c r="E1793" t="s">
        <v>5689</v>
      </c>
      <c r="F1793" t="s">
        <v>5690</v>
      </c>
      <c r="G1793" t="s">
        <v>4442</v>
      </c>
    </row>
    <row r="1794" spans="1:7" x14ac:dyDescent="0.25">
      <c r="A1794">
        <v>3939</v>
      </c>
      <c r="B1794">
        <v>782</v>
      </c>
      <c r="C1794" t="s">
        <v>894</v>
      </c>
      <c r="D1794" t="s">
        <v>963</v>
      </c>
      <c r="E1794" t="s">
        <v>5691</v>
      </c>
      <c r="F1794" t="s">
        <v>5690</v>
      </c>
      <c r="G1794" t="s">
        <v>4447</v>
      </c>
    </row>
    <row r="1795" spans="1:7" x14ac:dyDescent="0.25">
      <c r="A1795">
        <v>3940</v>
      </c>
      <c r="B1795">
        <v>782</v>
      </c>
      <c r="C1795" t="s">
        <v>894</v>
      </c>
      <c r="D1795" t="s">
        <v>5692</v>
      </c>
      <c r="F1795" t="s">
        <v>5690</v>
      </c>
      <c r="G1795" t="s">
        <v>4447</v>
      </c>
    </row>
    <row r="1796" spans="1:7" x14ac:dyDescent="0.25">
      <c r="A1796">
        <v>3941</v>
      </c>
      <c r="B1796">
        <v>782</v>
      </c>
      <c r="C1796" t="s">
        <v>894</v>
      </c>
      <c r="D1796" t="s">
        <v>933</v>
      </c>
      <c r="F1796" t="s">
        <v>5690</v>
      </c>
      <c r="G1796" t="s">
        <v>4444</v>
      </c>
    </row>
    <row r="1797" spans="1:7" x14ac:dyDescent="0.25">
      <c r="A1797">
        <v>3942</v>
      </c>
      <c r="B1797">
        <v>782</v>
      </c>
      <c r="C1797" t="s">
        <v>894</v>
      </c>
      <c r="D1797" t="s">
        <v>5693</v>
      </c>
      <c r="F1797" t="s">
        <v>5690</v>
      </c>
      <c r="G1797" t="s">
        <v>4447</v>
      </c>
    </row>
    <row r="1798" spans="1:7" x14ac:dyDescent="0.25">
      <c r="A1798">
        <v>3943</v>
      </c>
      <c r="B1798">
        <v>782</v>
      </c>
      <c r="C1798" t="s">
        <v>894</v>
      </c>
      <c r="D1798" t="s">
        <v>917</v>
      </c>
      <c r="F1798" t="s">
        <v>5690</v>
      </c>
      <c r="G1798" t="s">
        <v>919</v>
      </c>
    </row>
    <row r="1799" spans="1:7" x14ac:dyDescent="0.25">
      <c r="A1799">
        <v>3944</v>
      </c>
      <c r="B1799">
        <v>114</v>
      </c>
      <c r="C1799" t="s">
        <v>1188</v>
      </c>
      <c r="D1799" t="s">
        <v>5241</v>
      </c>
      <c r="F1799" t="s">
        <v>1212</v>
      </c>
      <c r="G1799" t="s">
        <v>4442</v>
      </c>
    </row>
    <row r="1800" spans="1:7" x14ac:dyDescent="0.25">
      <c r="A1800">
        <v>3945</v>
      </c>
      <c r="B1800">
        <v>114</v>
      </c>
      <c r="C1800" t="s">
        <v>1188</v>
      </c>
      <c r="D1800" t="s">
        <v>5694</v>
      </c>
      <c r="F1800" t="s">
        <v>1212</v>
      </c>
      <c r="G1800" t="s">
        <v>4447</v>
      </c>
    </row>
    <row r="1801" spans="1:7" x14ac:dyDescent="0.25">
      <c r="A1801">
        <v>3946</v>
      </c>
      <c r="B1801">
        <v>114</v>
      </c>
      <c r="C1801" t="s">
        <v>1188</v>
      </c>
      <c r="D1801" t="s">
        <v>5695</v>
      </c>
      <c r="F1801" t="s">
        <v>1212</v>
      </c>
    </row>
    <row r="1802" spans="1:7" x14ac:dyDescent="0.25">
      <c r="A1802">
        <v>3947</v>
      </c>
      <c r="B1802">
        <v>114</v>
      </c>
      <c r="C1802" t="s">
        <v>1188</v>
      </c>
      <c r="D1802" t="s">
        <v>5696</v>
      </c>
      <c r="F1802" t="s">
        <v>1212</v>
      </c>
    </row>
    <row r="1803" spans="1:7" x14ac:dyDescent="0.25">
      <c r="A1803">
        <v>3948</v>
      </c>
      <c r="B1803">
        <v>114</v>
      </c>
      <c r="C1803" t="s">
        <v>1188</v>
      </c>
      <c r="D1803" t="s">
        <v>5697</v>
      </c>
      <c r="F1803" t="s">
        <v>1212</v>
      </c>
      <c r="G1803" t="s">
        <v>4445</v>
      </c>
    </row>
    <row r="1804" spans="1:7" x14ac:dyDescent="0.25">
      <c r="A1804">
        <v>3950</v>
      </c>
      <c r="B1804">
        <v>760</v>
      </c>
      <c r="C1804" t="s">
        <v>1188</v>
      </c>
      <c r="D1804" t="s">
        <v>5698</v>
      </c>
      <c r="G1804" t="s">
        <v>4445</v>
      </c>
    </row>
    <row r="1805" spans="1:7" x14ac:dyDescent="0.25">
      <c r="A1805">
        <v>3951</v>
      </c>
      <c r="B1805">
        <v>760</v>
      </c>
      <c r="C1805" t="s">
        <v>1188</v>
      </c>
      <c r="D1805" t="s">
        <v>1903</v>
      </c>
      <c r="G1805" t="s">
        <v>919</v>
      </c>
    </row>
    <row r="1806" spans="1:7" x14ac:dyDescent="0.25">
      <c r="A1806">
        <v>3952</v>
      </c>
      <c r="B1806">
        <v>760</v>
      </c>
      <c r="C1806" t="s">
        <v>1188</v>
      </c>
      <c r="D1806" t="s">
        <v>5699</v>
      </c>
      <c r="G1806" t="s">
        <v>2758</v>
      </c>
    </row>
    <row r="1807" spans="1:7" x14ac:dyDescent="0.25">
      <c r="A1807">
        <v>3953</v>
      </c>
      <c r="B1807">
        <v>760</v>
      </c>
      <c r="C1807" t="s">
        <v>1188</v>
      </c>
      <c r="D1807" t="s">
        <v>5700</v>
      </c>
      <c r="G1807" t="s">
        <v>4447</v>
      </c>
    </row>
    <row r="1808" spans="1:7" x14ac:dyDescent="0.25">
      <c r="A1808">
        <v>3954</v>
      </c>
      <c r="B1808">
        <v>760</v>
      </c>
      <c r="C1808" t="s">
        <v>1188</v>
      </c>
      <c r="D1808" t="s">
        <v>5701</v>
      </c>
    </row>
    <row r="1809" spans="1:7" x14ac:dyDescent="0.25">
      <c r="A1809">
        <v>3955</v>
      </c>
      <c r="B1809">
        <v>760</v>
      </c>
      <c r="C1809" t="s">
        <v>1188</v>
      </c>
      <c r="D1809" t="s">
        <v>1907</v>
      </c>
      <c r="G1809" t="s">
        <v>4442</v>
      </c>
    </row>
    <row r="1810" spans="1:7" x14ac:dyDescent="0.25">
      <c r="A1810">
        <v>3962</v>
      </c>
      <c r="B1810">
        <v>137</v>
      </c>
      <c r="C1810" t="s">
        <v>894</v>
      </c>
      <c r="D1810" t="s">
        <v>1525</v>
      </c>
      <c r="F1810" t="s">
        <v>1255</v>
      </c>
      <c r="G1810" t="s">
        <v>4442</v>
      </c>
    </row>
    <row r="1811" spans="1:7" x14ac:dyDescent="0.25">
      <c r="A1811">
        <v>3964</v>
      </c>
      <c r="B1811">
        <v>151</v>
      </c>
      <c r="C1811" t="s">
        <v>894</v>
      </c>
      <c r="D1811" t="s">
        <v>5702</v>
      </c>
      <c r="F1811" t="s">
        <v>1267</v>
      </c>
      <c r="G1811" t="s">
        <v>1309</v>
      </c>
    </row>
    <row r="1812" spans="1:7" x14ac:dyDescent="0.25">
      <c r="A1812">
        <v>3965</v>
      </c>
      <c r="B1812">
        <v>151</v>
      </c>
      <c r="C1812" t="s">
        <v>894</v>
      </c>
      <c r="D1812" t="s">
        <v>5703</v>
      </c>
      <c r="E1812" t="s">
        <v>5704</v>
      </c>
      <c r="F1812" t="s">
        <v>1267</v>
      </c>
      <c r="G1812" t="s">
        <v>4447</v>
      </c>
    </row>
    <row r="1813" spans="1:7" x14ac:dyDescent="0.25">
      <c r="A1813">
        <v>3969</v>
      </c>
      <c r="B1813">
        <v>151</v>
      </c>
      <c r="C1813" t="s">
        <v>894</v>
      </c>
      <c r="D1813" t="s">
        <v>5705</v>
      </c>
      <c r="F1813" t="s">
        <v>1267</v>
      </c>
      <c r="G1813" t="s">
        <v>4453</v>
      </c>
    </row>
    <row r="1814" spans="1:7" x14ac:dyDescent="0.25">
      <c r="A1814">
        <v>3970</v>
      </c>
      <c r="B1814">
        <v>186</v>
      </c>
      <c r="C1814" t="s">
        <v>894</v>
      </c>
      <c r="D1814" t="s">
        <v>5706</v>
      </c>
      <c r="E1814" t="s">
        <v>5707</v>
      </c>
      <c r="F1814" t="s">
        <v>1292</v>
      </c>
    </row>
    <row r="1815" spans="1:7" x14ac:dyDescent="0.25">
      <c r="A1815">
        <v>3972</v>
      </c>
      <c r="B1815">
        <v>186</v>
      </c>
      <c r="C1815" t="s">
        <v>894</v>
      </c>
      <c r="D1815" t="s">
        <v>5708</v>
      </c>
      <c r="E1815" t="s">
        <v>5709</v>
      </c>
      <c r="F1815" t="s">
        <v>1292</v>
      </c>
      <c r="G1815" t="s">
        <v>1670</v>
      </c>
    </row>
    <row r="1816" spans="1:7" x14ac:dyDescent="0.25">
      <c r="A1816">
        <v>3973</v>
      </c>
      <c r="B1816">
        <v>186</v>
      </c>
      <c r="C1816" t="s">
        <v>894</v>
      </c>
      <c r="D1816" t="s">
        <v>5710</v>
      </c>
      <c r="F1816" t="s">
        <v>1292</v>
      </c>
    </row>
    <row r="1817" spans="1:7" x14ac:dyDescent="0.25">
      <c r="A1817">
        <v>3974</v>
      </c>
      <c r="B1817">
        <v>235</v>
      </c>
      <c r="C1817" t="s">
        <v>894</v>
      </c>
      <c r="D1817" t="s">
        <v>5711</v>
      </c>
      <c r="F1817" t="s">
        <v>5712</v>
      </c>
      <c r="G1817" t="s">
        <v>4440</v>
      </c>
    </row>
    <row r="1818" spans="1:7" x14ac:dyDescent="0.25">
      <c r="A1818">
        <v>3975</v>
      </c>
      <c r="B1818">
        <v>235</v>
      </c>
      <c r="C1818" t="s">
        <v>894</v>
      </c>
      <c r="D1818" t="s">
        <v>5713</v>
      </c>
      <c r="F1818" t="s">
        <v>5712</v>
      </c>
      <c r="G1818" t="s">
        <v>1125</v>
      </c>
    </row>
    <row r="1819" spans="1:7" x14ac:dyDescent="0.25">
      <c r="A1819">
        <v>3976</v>
      </c>
      <c r="B1819">
        <v>320</v>
      </c>
      <c r="C1819" t="s">
        <v>894</v>
      </c>
      <c r="D1819" t="s">
        <v>966</v>
      </c>
      <c r="E1819" t="s">
        <v>5714</v>
      </c>
      <c r="F1819" t="s">
        <v>5715</v>
      </c>
      <c r="G1819" t="s">
        <v>2758</v>
      </c>
    </row>
    <row r="1820" spans="1:7" x14ac:dyDescent="0.25">
      <c r="A1820">
        <v>3977</v>
      </c>
      <c r="B1820">
        <v>331</v>
      </c>
      <c r="C1820" t="s">
        <v>894</v>
      </c>
      <c r="D1820" t="s">
        <v>895</v>
      </c>
      <c r="F1820" t="s">
        <v>5716</v>
      </c>
      <c r="G1820" t="s">
        <v>4448</v>
      </c>
    </row>
    <row r="1821" spans="1:7" x14ac:dyDescent="0.25">
      <c r="A1821">
        <v>3978</v>
      </c>
      <c r="B1821">
        <v>728</v>
      </c>
      <c r="C1821" t="s">
        <v>1188</v>
      </c>
      <c r="D1821" t="s">
        <v>5717</v>
      </c>
      <c r="F1821" t="s">
        <v>5330</v>
      </c>
      <c r="G1821" t="s">
        <v>4442</v>
      </c>
    </row>
    <row r="1822" spans="1:7" x14ac:dyDescent="0.25">
      <c r="A1822">
        <v>3979</v>
      </c>
      <c r="B1822">
        <v>728</v>
      </c>
      <c r="C1822" t="s">
        <v>1188</v>
      </c>
      <c r="D1822" t="s">
        <v>5718</v>
      </c>
      <c r="F1822" t="s">
        <v>5330</v>
      </c>
    </row>
    <row r="1823" spans="1:7" x14ac:dyDescent="0.25">
      <c r="A1823">
        <v>3980</v>
      </c>
      <c r="B1823">
        <v>728</v>
      </c>
      <c r="C1823" t="s">
        <v>1188</v>
      </c>
      <c r="D1823" t="s">
        <v>5719</v>
      </c>
      <c r="F1823" t="s">
        <v>5330</v>
      </c>
      <c r="G1823" t="s">
        <v>4447</v>
      </c>
    </row>
    <row r="1824" spans="1:7" x14ac:dyDescent="0.25">
      <c r="A1824">
        <v>3981</v>
      </c>
      <c r="B1824">
        <v>728</v>
      </c>
      <c r="C1824" t="s">
        <v>1188</v>
      </c>
      <c r="D1824" t="s">
        <v>1209</v>
      </c>
      <c r="F1824" t="s">
        <v>5330</v>
      </c>
      <c r="G1824" t="s">
        <v>4443</v>
      </c>
    </row>
    <row r="1825" spans="1:7" x14ac:dyDescent="0.25">
      <c r="A1825">
        <v>3982</v>
      </c>
      <c r="B1825">
        <v>728</v>
      </c>
      <c r="C1825" t="s">
        <v>1188</v>
      </c>
      <c r="D1825" t="s">
        <v>5720</v>
      </c>
      <c r="F1825" t="s">
        <v>5330</v>
      </c>
      <c r="G1825" t="s">
        <v>919</v>
      </c>
    </row>
    <row r="1826" spans="1:7" x14ac:dyDescent="0.25">
      <c r="A1826">
        <v>3983</v>
      </c>
      <c r="B1826">
        <v>728</v>
      </c>
      <c r="C1826" t="s">
        <v>1188</v>
      </c>
      <c r="D1826" t="s">
        <v>5721</v>
      </c>
      <c r="F1826" t="s">
        <v>5330</v>
      </c>
      <c r="G1826" t="s">
        <v>1670</v>
      </c>
    </row>
    <row r="1827" spans="1:7" x14ac:dyDescent="0.25">
      <c r="A1827">
        <v>3984</v>
      </c>
      <c r="B1827">
        <v>728</v>
      </c>
      <c r="C1827" t="s">
        <v>1188</v>
      </c>
      <c r="D1827" t="s">
        <v>1917</v>
      </c>
      <c r="F1827" t="s">
        <v>5330</v>
      </c>
      <c r="G1827" t="s">
        <v>4440</v>
      </c>
    </row>
    <row r="1828" spans="1:7" x14ac:dyDescent="0.25">
      <c r="A1828">
        <v>3985</v>
      </c>
      <c r="B1828">
        <v>728</v>
      </c>
      <c r="C1828" t="s">
        <v>1188</v>
      </c>
      <c r="D1828" t="s">
        <v>5722</v>
      </c>
      <c r="F1828" t="s">
        <v>5330</v>
      </c>
    </row>
    <row r="1829" spans="1:7" x14ac:dyDescent="0.25">
      <c r="A1829">
        <v>3986</v>
      </c>
      <c r="B1829">
        <v>728</v>
      </c>
      <c r="C1829" t="s">
        <v>1188</v>
      </c>
      <c r="D1829" t="s">
        <v>5723</v>
      </c>
      <c r="F1829" t="s">
        <v>5330</v>
      </c>
      <c r="G1829" t="s">
        <v>4445</v>
      </c>
    </row>
    <row r="1830" spans="1:7" x14ac:dyDescent="0.25">
      <c r="A1830">
        <v>3995</v>
      </c>
      <c r="B1830">
        <v>394</v>
      </c>
      <c r="C1830" t="s">
        <v>898</v>
      </c>
      <c r="D1830" t="s">
        <v>5724</v>
      </c>
      <c r="F1830" t="s">
        <v>5725</v>
      </c>
      <c r="G1830" t="s">
        <v>4447</v>
      </c>
    </row>
    <row r="1831" spans="1:7" x14ac:dyDescent="0.25">
      <c r="A1831">
        <v>3997</v>
      </c>
      <c r="B1831">
        <v>394</v>
      </c>
      <c r="C1831" t="s">
        <v>898</v>
      </c>
      <c r="D1831" t="s">
        <v>5726</v>
      </c>
      <c r="F1831" t="s">
        <v>5725</v>
      </c>
      <c r="G1831" t="s">
        <v>4450</v>
      </c>
    </row>
    <row r="1832" spans="1:7" x14ac:dyDescent="0.25">
      <c r="A1832">
        <v>3998</v>
      </c>
      <c r="B1832">
        <v>394</v>
      </c>
      <c r="C1832" t="s">
        <v>898</v>
      </c>
      <c r="D1832" t="s">
        <v>5727</v>
      </c>
      <c r="E1832" t="s">
        <v>5728</v>
      </c>
      <c r="F1832" t="s">
        <v>5725</v>
      </c>
    </row>
    <row r="1833" spans="1:7" x14ac:dyDescent="0.25">
      <c r="A1833">
        <v>3999</v>
      </c>
      <c r="B1833">
        <v>399</v>
      </c>
      <c r="C1833" t="s">
        <v>1188</v>
      </c>
      <c r="D1833" t="s">
        <v>5305</v>
      </c>
      <c r="F1833" t="s">
        <v>1904</v>
      </c>
      <c r="G1833" t="s">
        <v>4447</v>
      </c>
    </row>
    <row r="1834" spans="1:7" x14ac:dyDescent="0.25">
      <c r="A1834">
        <v>4000</v>
      </c>
      <c r="B1834">
        <v>399</v>
      </c>
      <c r="C1834" t="s">
        <v>1188</v>
      </c>
      <c r="D1834" t="s">
        <v>5729</v>
      </c>
      <c r="F1834" t="s">
        <v>1904</v>
      </c>
      <c r="G1834" t="s">
        <v>1670</v>
      </c>
    </row>
    <row r="1835" spans="1:7" x14ac:dyDescent="0.25">
      <c r="A1835">
        <v>4002</v>
      </c>
      <c r="B1835">
        <v>399</v>
      </c>
      <c r="C1835" t="s">
        <v>1188</v>
      </c>
      <c r="D1835" t="s">
        <v>5228</v>
      </c>
      <c r="F1835" t="s">
        <v>1904</v>
      </c>
    </row>
    <row r="1836" spans="1:7" x14ac:dyDescent="0.25">
      <c r="A1836">
        <v>4003</v>
      </c>
      <c r="B1836">
        <v>400</v>
      </c>
      <c r="C1836" t="s">
        <v>1188</v>
      </c>
      <c r="D1836" t="s">
        <v>1917</v>
      </c>
      <c r="F1836" t="s">
        <v>1904</v>
      </c>
      <c r="G1836" t="s">
        <v>4440</v>
      </c>
    </row>
    <row r="1837" spans="1:7" x14ac:dyDescent="0.25">
      <c r="A1837">
        <v>4004</v>
      </c>
      <c r="B1837">
        <v>400</v>
      </c>
      <c r="C1837" t="s">
        <v>1188</v>
      </c>
      <c r="D1837" t="s">
        <v>5228</v>
      </c>
      <c r="F1837" t="s">
        <v>1904</v>
      </c>
    </row>
    <row r="1838" spans="1:7" x14ac:dyDescent="0.25">
      <c r="A1838">
        <v>4006</v>
      </c>
      <c r="B1838">
        <v>622</v>
      </c>
      <c r="C1838" t="s">
        <v>894</v>
      </c>
      <c r="D1838" t="s">
        <v>2655</v>
      </c>
      <c r="F1838" t="s">
        <v>2635</v>
      </c>
      <c r="G1838" t="s">
        <v>4442</v>
      </c>
    </row>
    <row r="1839" spans="1:7" x14ac:dyDescent="0.25">
      <c r="A1839">
        <v>4007</v>
      </c>
      <c r="B1839">
        <v>406</v>
      </c>
      <c r="C1839" t="s">
        <v>898</v>
      </c>
      <c r="D1839" t="s">
        <v>5730</v>
      </c>
      <c r="F1839" t="s">
        <v>1975</v>
      </c>
      <c r="G1839" t="s">
        <v>4440</v>
      </c>
    </row>
    <row r="1840" spans="1:7" x14ac:dyDescent="0.25">
      <c r="A1840">
        <v>4008</v>
      </c>
      <c r="B1840">
        <v>514</v>
      </c>
      <c r="C1840" t="s">
        <v>898</v>
      </c>
      <c r="D1840" t="s">
        <v>1925</v>
      </c>
      <c r="F1840" t="s">
        <v>2171</v>
      </c>
      <c r="G1840" t="s">
        <v>4442</v>
      </c>
    </row>
    <row r="1841" spans="1:7" x14ac:dyDescent="0.25">
      <c r="A1841">
        <v>4009</v>
      </c>
      <c r="B1841">
        <v>514</v>
      </c>
      <c r="C1841" t="s">
        <v>898</v>
      </c>
      <c r="D1841" t="s">
        <v>5731</v>
      </c>
      <c r="F1841" t="s">
        <v>2171</v>
      </c>
      <c r="G1841" t="s">
        <v>2758</v>
      </c>
    </row>
    <row r="1842" spans="1:7" x14ac:dyDescent="0.25">
      <c r="A1842">
        <v>4023</v>
      </c>
      <c r="B1842">
        <v>657</v>
      </c>
      <c r="C1842" t="s">
        <v>898</v>
      </c>
      <c r="D1842" t="s">
        <v>2642</v>
      </c>
      <c r="F1842" t="s">
        <v>4900</v>
      </c>
      <c r="G1842" t="s">
        <v>4445</v>
      </c>
    </row>
    <row r="1843" spans="1:7" x14ac:dyDescent="0.25">
      <c r="A1843">
        <v>4024</v>
      </c>
      <c r="B1843">
        <v>663</v>
      </c>
      <c r="C1843" t="s">
        <v>898</v>
      </c>
      <c r="D1843" t="s">
        <v>5732</v>
      </c>
      <c r="F1843" t="s">
        <v>5733</v>
      </c>
      <c r="G1843" t="s">
        <v>4447</v>
      </c>
    </row>
    <row r="1844" spans="1:7" x14ac:dyDescent="0.25">
      <c r="A1844">
        <v>4025</v>
      </c>
      <c r="B1844">
        <v>663</v>
      </c>
      <c r="C1844" t="s">
        <v>898</v>
      </c>
      <c r="D1844" t="s">
        <v>4790</v>
      </c>
      <c r="F1844" t="s">
        <v>4950</v>
      </c>
      <c r="G1844" t="s">
        <v>4442</v>
      </c>
    </row>
    <row r="1845" spans="1:7" x14ac:dyDescent="0.25">
      <c r="A1845">
        <v>4026</v>
      </c>
      <c r="B1845">
        <v>663</v>
      </c>
      <c r="C1845" t="s">
        <v>898</v>
      </c>
      <c r="D1845" t="s">
        <v>5734</v>
      </c>
      <c r="F1845" t="s">
        <v>4950</v>
      </c>
      <c r="G1845" t="s">
        <v>4447</v>
      </c>
    </row>
    <row r="1846" spans="1:7" x14ac:dyDescent="0.25">
      <c r="A1846">
        <v>4027</v>
      </c>
      <c r="B1846">
        <v>663</v>
      </c>
      <c r="C1846" t="s">
        <v>898</v>
      </c>
      <c r="D1846" t="s">
        <v>5735</v>
      </c>
      <c r="F1846" t="s">
        <v>4950</v>
      </c>
      <c r="G1846" t="s">
        <v>4458</v>
      </c>
    </row>
    <row r="1847" spans="1:7" x14ac:dyDescent="0.25">
      <c r="A1847">
        <v>4028</v>
      </c>
      <c r="B1847">
        <v>663</v>
      </c>
      <c r="C1847" t="s">
        <v>898</v>
      </c>
      <c r="D1847" t="s">
        <v>5736</v>
      </c>
      <c r="F1847" t="s">
        <v>4950</v>
      </c>
      <c r="G1847" t="s">
        <v>4458</v>
      </c>
    </row>
    <row r="1848" spans="1:7" x14ac:dyDescent="0.25">
      <c r="A1848">
        <v>4029</v>
      </c>
      <c r="B1848">
        <v>663</v>
      </c>
      <c r="C1848" t="s">
        <v>898</v>
      </c>
      <c r="D1848" t="s">
        <v>5737</v>
      </c>
      <c r="F1848" t="s">
        <v>4950</v>
      </c>
    </row>
    <row r="1849" spans="1:7" x14ac:dyDescent="0.25">
      <c r="A1849">
        <v>4030</v>
      </c>
      <c r="B1849">
        <v>663</v>
      </c>
      <c r="C1849" t="s">
        <v>898</v>
      </c>
      <c r="D1849" t="s">
        <v>5738</v>
      </c>
      <c r="F1849" t="s">
        <v>4950</v>
      </c>
      <c r="G1849" t="s">
        <v>4457</v>
      </c>
    </row>
    <row r="1850" spans="1:7" x14ac:dyDescent="0.25">
      <c r="A1850">
        <v>4031</v>
      </c>
      <c r="B1850">
        <v>663</v>
      </c>
      <c r="C1850" t="s">
        <v>898</v>
      </c>
      <c r="D1850" t="s">
        <v>5739</v>
      </c>
      <c r="F1850" t="s">
        <v>4950</v>
      </c>
      <c r="G1850" t="s">
        <v>1309</v>
      </c>
    </row>
    <row r="1851" spans="1:7" x14ac:dyDescent="0.25">
      <c r="A1851">
        <v>4032</v>
      </c>
      <c r="B1851">
        <v>663</v>
      </c>
      <c r="C1851" t="s">
        <v>898</v>
      </c>
      <c r="D1851" t="s">
        <v>5740</v>
      </c>
      <c r="F1851" t="s">
        <v>4950</v>
      </c>
      <c r="G1851" t="s">
        <v>4445</v>
      </c>
    </row>
    <row r="1852" spans="1:7" x14ac:dyDescent="0.25">
      <c r="A1852">
        <v>4033</v>
      </c>
      <c r="B1852">
        <v>668</v>
      </c>
      <c r="C1852" t="s">
        <v>898</v>
      </c>
      <c r="D1852" t="s">
        <v>5741</v>
      </c>
      <c r="F1852" t="s">
        <v>5025</v>
      </c>
      <c r="G1852" t="s">
        <v>4447</v>
      </c>
    </row>
    <row r="1853" spans="1:7" x14ac:dyDescent="0.25">
      <c r="A1853">
        <v>4034</v>
      </c>
      <c r="B1853">
        <v>668</v>
      </c>
      <c r="C1853" t="s">
        <v>898</v>
      </c>
      <c r="D1853" t="s">
        <v>5742</v>
      </c>
      <c r="F1853" t="s">
        <v>5025</v>
      </c>
      <c r="G1853" t="s">
        <v>4455</v>
      </c>
    </row>
    <row r="1854" spans="1:7" x14ac:dyDescent="0.25">
      <c r="A1854">
        <v>4035</v>
      </c>
      <c r="B1854">
        <v>668</v>
      </c>
      <c r="C1854" t="s">
        <v>898</v>
      </c>
      <c r="D1854" t="s">
        <v>5743</v>
      </c>
      <c r="F1854" t="s">
        <v>5025</v>
      </c>
      <c r="G1854" t="s">
        <v>4442</v>
      </c>
    </row>
    <row r="1855" spans="1:7" x14ac:dyDescent="0.25">
      <c r="A1855">
        <v>4036</v>
      </c>
      <c r="B1855">
        <v>668</v>
      </c>
      <c r="C1855" t="s">
        <v>898</v>
      </c>
      <c r="D1855" t="s">
        <v>5744</v>
      </c>
      <c r="F1855" t="s">
        <v>5025</v>
      </c>
      <c r="G1855" t="s">
        <v>4448</v>
      </c>
    </row>
    <row r="1856" spans="1:7" x14ac:dyDescent="0.25">
      <c r="A1856">
        <v>4037</v>
      </c>
      <c r="B1856">
        <v>668</v>
      </c>
      <c r="C1856" t="s">
        <v>898</v>
      </c>
      <c r="D1856" t="s">
        <v>5745</v>
      </c>
      <c r="F1856" t="s">
        <v>5025</v>
      </c>
      <c r="G1856" t="s">
        <v>1262</v>
      </c>
    </row>
    <row r="1857" spans="1:7" x14ac:dyDescent="0.25">
      <c r="A1857">
        <v>4038</v>
      </c>
      <c r="B1857">
        <v>668</v>
      </c>
      <c r="C1857" t="s">
        <v>898</v>
      </c>
      <c r="D1857" t="s">
        <v>5746</v>
      </c>
      <c r="F1857" t="s">
        <v>5025</v>
      </c>
      <c r="G1857" t="s">
        <v>4446</v>
      </c>
    </row>
    <row r="1858" spans="1:7" x14ac:dyDescent="0.25">
      <c r="A1858">
        <v>4039</v>
      </c>
      <c r="B1858">
        <v>668</v>
      </c>
      <c r="C1858" t="s">
        <v>898</v>
      </c>
      <c r="D1858" t="s">
        <v>5747</v>
      </c>
      <c r="F1858" t="s">
        <v>5025</v>
      </c>
      <c r="G1858" t="s">
        <v>4451</v>
      </c>
    </row>
    <row r="1859" spans="1:7" x14ac:dyDescent="0.25">
      <c r="A1859">
        <v>4040</v>
      </c>
      <c r="B1859">
        <v>710</v>
      </c>
      <c r="C1859" t="s">
        <v>1188</v>
      </c>
      <c r="D1859" t="s">
        <v>5207</v>
      </c>
      <c r="F1859" t="s">
        <v>5262</v>
      </c>
      <c r="G1859" t="s">
        <v>4440</v>
      </c>
    </row>
    <row r="1860" spans="1:7" x14ac:dyDescent="0.25">
      <c r="A1860">
        <v>4043</v>
      </c>
      <c r="B1860">
        <v>13</v>
      </c>
      <c r="C1860" t="s">
        <v>894</v>
      </c>
      <c r="D1860" t="s">
        <v>1621</v>
      </c>
      <c r="E1860" t="s">
        <v>5748</v>
      </c>
      <c r="F1860" t="s">
        <v>5749</v>
      </c>
      <c r="G1860" t="s">
        <v>1309</v>
      </c>
    </row>
    <row r="1861" spans="1:7" x14ac:dyDescent="0.25">
      <c r="A1861">
        <v>4046</v>
      </c>
      <c r="B1861">
        <v>501</v>
      </c>
      <c r="C1861" t="s">
        <v>894</v>
      </c>
      <c r="D1861" t="s">
        <v>5750</v>
      </c>
      <c r="E1861" t="s">
        <v>5751</v>
      </c>
      <c r="F1861" t="s">
        <v>2147</v>
      </c>
      <c r="G1861" t="s">
        <v>4447</v>
      </c>
    </row>
    <row r="1862" spans="1:7" x14ac:dyDescent="0.25">
      <c r="A1862">
        <v>4047</v>
      </c>
      <c r="B1862">
        <v>13</v>
      </c>
      <c r="C1862" t="s">
        <v>894</v>
      </c>
      <c r="D1862" t="s">
        <v>4666</v>
      </c>
      <c r="E1862" t="s">
        <v>5752</v>
      </c>
      <c r="F1862" t="s">
        <v>5753</v>
      </c>
      <c r="G1862" t="s">
        <v>4445</v>
      </c>
    </row>
    <row r="1863" spans="1:7" x14ac:dyDescent="0.25">
      <c r="A1863">
        <v>4050</v>
      </c>
      <c r="B1863">
        <v>31</v>
      </c>
      <c r="C1863" t="s">
        <v>898</v>
      </c>
      <c r="D1863" t="s">
        <v>5754</v>
      </c>
      <c r="E1863" t="s">
        <v>5755</v>
      </c>
      <c r="F1863" t="s">
        <v>5756</v>
      </c>
      <c r="G1863" t="s">
        <v>4447</v>
      </c>
    </row>
    <row r="1864" spans="1:7" x14ac:dyDescent="0.25">
      <c r="A1864">
        <v>4052</v>
      </c>
      <c r="B1864">
        <v>784</v>
      </c>
      <c r="C1864" t="s">
        <v>898</v>
      </c>
      <c r="D1864" t="s">
        <v>1137</v>
      </c>
      <c r="F1864" t="s">
        <v>5757</v>
      </c>
      <c r="G1864" t="s">
        <v>4444</v>
      </c>
    </row>
    <row r="1865" spans="1:7" x14ac:dyDescent="0.25">
      <c r="A1865">
        <v>4053</v>
      </c>
      <c r="B1865">
        <v>784</v>
      </c>
      <c r="C1865" t="s">
        <v>898</v>
      </c>
      <c r="D1865" t="s">
        <v>1224</v>
      </c>
      <c r="F1865" t="s">
        <v>5758</v>
      </c>
      <c r="G1865" t="s">
        <v>919</v>
      </c>
    </row>
    <row r="1866" spans="1:7" x14ac:dyDescent="0.25">
      <c r="A1866">
        <v>4054</v>
      </c>
      <c r="B1866">
        <v>784</v>
      </c>
      <c r="C1866" t="s">
        <v>898</v>
      </c>
      <c r="D1866" t="s">
        <v>1972</v>
      </c>
      <c r="F1866" t="s">
        <v>5759</v>
      </c>
      <c r="G1866" t="s">
        <v>4447</v>
      </c>
    </row>
    <row r="1867" spans="1:7" x14ac:dyDescent="0.25">
      <c r="A1867">
        <v>4055</v>
      </c>
      <c r="B1867">
        <v>784</v>
      </c>
      <c r="C1867" t="s">
        <v>898</v>
      </c>
      <c r="D1867" t="s">
        <v>5760</v>
      </c>
      <c r="F1867" t="s">
        <v>5761</v>
      </c>
      <c r="G1867" t="s">
        <v>4447</v>
      </c>
    </row>
    <row r="1868" spans="1:7" x14ac:dyDescent="0.25">
      <c r="A1868">
        <v>4056</v>
      </c>
      <c r="B1868">
        <v>784</v>
      </c>
      <c r="C1868" t="s">
        <v>898</v>
      </c>
      <c r="D1868" t="s">
        <v>5762</v>
      </c>
      <c r="F1868" t="s">
        <v>5763</v>
      </c>
      <c r="G1868" t="s">
        <v>4442</v>
      </c>
    </row>
    <row r="1869" spans="1:7" x14ac:dyDescent="0.25">
      <c r="A1869">
        <v>4057</v>
      </c>
      <c r="B1869">
        <v>784</v>
      </c>
      <c r="C1869" t="s">
        <v>898</v>
      </c>
      <c r="D1869" t="s">
        <v>5764</v>
      </c>
      <c r="F1869" t="s">
        <v>5765</v>
      </c>
      <c r="G1869" t="s">
        <v>4442</v>
      </c>
    </row>
    <row r="1870" spans="1:7" x14ac:dyDescent="0.25">
      <c r="A1870">
        <v>4058</v>
      </c>
      <c r="B1870">
        <v>784</v>
      </c>
      <c r="C1870" t="s">
        <v>898</v>
      </c>
      <c r="D1870" t="s">
        <v>5766</v>
      </c>
      <c r="F1870" t="s">
        <v>5767</v>
      </c>
      <c r="G1870" t="s">
        <v>4442</v>
      </c>
    </row>
    <row r="1871" spans="1:7" x14ac:dyDescent="0.25">
      <c r="A1871">
        <v>4059</v>
      </c>
      <c r="B1871">
        <v>784</v>
      </c>
      <c r="C1871" t="s">
        <v>898</v>
      </c>
      <c r="D1871" t="s">
        <v>5768</v>
      </c>
      <c r="F1871" t="s">
        <v>5769</v>
      </c>
      <c r="G1871" t="s">
        <v>4448</v>
      </c>
    </row>
    <row r="1872" spans="1:7" x14ac:dyDescent="0.25">
      <c r="A1872">
        <v>4060</v>
      </c>
      <c r="B1872">
        <v>784</v>
      </c>
      <c r="C1872" t="s">
        <v>898</v>
      </c>
      <c r="D1872" t="s">
        <v>5770</v>
      </c>
      <c r="F1872" t="s">
        <v>5771</v>
      </c>
      <c r="G1872" t="s">
        <v>4440</v>
      </c>
    </row>
    <row r="1873" spans="1:7" x14ac:dyDescent="0.25">
      <c r="A1873">
        <v>4061</v>
      </c>
      <c r="B1873">
        <v>784</v>
      </c>
      <c r="C1873" t="s">
        <v>898</v>
      </c>
      <c r="D1873" t="s">
        <v>5772</v>
      </c>
      <c r="E1873" t="s">
        <v>5773</v>
      </c>
      <c r="F1873" t="s">
        <v>5774</v>
      </c>
      <c r="G1873" t="s">
        <v>4441</v>
      </c>
    </row>
    <row r="1874" spans="1:7" x14ac:dyDescent="0.25">
      <c r="A1874">
        <v>4062</v>
      </c>
      <c r="B1874">
        <v>391</v>
      </c>
      <c r="C1874" t="s">
        <v>1188</v>
      </c>
      <c r="D1874" t="s">
        <v>5775</v>
      </c>
      <c r="F1874" t="s">
        <v>1886</v>
      </c>
      <c r="G1874" t="s">
        <v>4448</v>
      </c>
    </row>
    <row r="1875" spans="1:7" x14ac:dyDescent="0.25">
      <c r="A1875">
        <v>4063</v>
      </c>
      <c r="B1875">
        <v>391</v>
      </c>
      <c r="C1875" t="s">
        <v>1188</v>
      </c>
      <c r="D1875" t="s">
        <v>5776</v>
      </c>
      <c r="E1875" t="s">
        <v>5777</v>
      </c>
      <c r="F1875" t="s">
        <v>1886</v>
      </c>
      <c r="G1875" t="s">
        <v>4447</v>
      </c>
    </row>
    <row r="1876" spans="1:7" x14ac:dyDescent="0.25">
      <c r="A1876">
        <v>4064</v>
      </c>
      <c r="B1876">
        <v>391</v>
      </c>
      <c r="C1876" t="s">
        <v>1188</v>
      </c>
      <c r="D1876" t="s">
        <v>5778</v>
      </c>
      <c r="F1876" t="s">
        <v>1886</v>
      </c>
      <c r="G1876" t="s">
        <v>1457</v>
      </c>
    </row>
    <row r="1877" spans="1:7" x14ac:dyDescent="0.25">
      <c r="A1877">
        <v>4065</v>
      </c>
      <c r="B1877">
        <v>391</v>
      </c>
      <c r="C1877" t="s">
        <v>1188</v>
      </c>
      <c r="D1877" t="s">
        <v>5779</v>
      </c>
      <c r="F1877" t="s">
        <v>1886</v>
      </c>
      <c r="G1877" t="s">
        <v>4461</v>
      </c>
    </row>
    <row r="1878" spans="1:7" x14ac:dyDescent="0.25">
      <c r="A1878">
        <v>4066</v>
      </c>
      <c r="B1878">
        <v>391</v>
      </c>
      <c r="C1878" t="s">
        <v>1188</v>
      </c>
      <c r="D1878" t="s">
        <v>5780</v>
      </c>
      <c r="F1878" t="s">
        <v>1886</v>
      </c>
      <c r="G1878" t="s">
        <v>1457</v>
      </c>
    </row>
    <row r="1879" spans="1:7" x14ac:dyDescent="0.25">
      <c r="A1879">
        <v>4067</v>
      </c>
      <c r="B1879">
        <v>138</v>
      </c>
      <c r="C1879" t="s">
        <v>894</v>
      </c>
      <c r="D1879" t="s">
        <v>963</v>
      </c>
      <c r="E1879" t="s">
        <v>5781</v>
      </c>
      <c r="F1879" t="s">
        <v>5782</v>
      </c>
      <c r="G1879" t="s">
        <v>4447</v>
      </c>
    </row>
    <row r="1880" spans="1:7" x14ac:dyDescent="0.25">
      <c r="A1880">
        <v>4068</v>
      </c>
      <c r="B1880">
        <v>138</v>
      </c>
      <c r="C1880" t="s">
        <v>894</v>
      </c>
      <c r="D1880" t="s">
        <v>1072</v>
      </c>
      <c r="E1880" t="s">
        <v>5783</v>
      </c>
      <c r="F1880" t="s">
        <v>5782</v>
      </c>
      <c r="G1880" t="s">
        <v>4447</v>
      </c>
    </row>
    <row r="1881" spans="1:7" x14ac:dyDescent="0.25">
      <c r="A1881">
        <v>4069</v>
      </c>
      <c r="B1881">
        <v>138</v>
      </c>
      <c r="C1881" t="s">
        <v>894</v>
      </c>
      <c r="D1881" t="s">
        <v>1320</v>
      </c>
      <c r="E1881" t="s">
        <v>5784</v>
      </c>
      <c r="F1881" t="s">
        <v>5782</v>
      </c>
      <c r="G1881" t="s">
        <v>4447</v>
      </c>
    </row>
    <row r="1882" spans="1:7" x14ac:dyDescent="0.25">
      <c r="A1882">
        <v>4075</v>
      </c>
      <c r="B1882">
        <v>785</v>
      </c>
      <c r="C1882" t="s">
        <v>898</v>
      </c>
      <c r="D1882" t="s">
        <v>2416</v>
      </c>
      <c r="F1882" t="s">
        <v>5785</v>
      </c>
      <c r="G1882" t="s">
        <v>4441</v>
      </c>
    </row>
    <row r="1883" spans="1:7" x14ac:dyDescent="0.25">
      <c r="A1883">
        <v>4076</v>
      </c>
      <c r="B1883">
        <v>785</v>
      </c>
      <c r="C1883" t="s">
        <v>898</v>
      </c>
      <c r="D1883" t="s">
        <v>1479</v>
      </c>
      <c r="F1883" t="s">
        <v>5785</v>
      </c>
      <c r="G1883" t="s">
        <v>2758</v>
      </c>
    </row>
    <row r="1884" spans="1:7" x14ac:dyDescent="0.25">
      <c r="A1884">
        <v>4077</v>
      </c>
      <c r="B1884">
        <v>785</v>
      </c>
      <c r="C1884" t="s">
        <v>898</v>
      </c>
      <c r="D1884" t="s">
        <v>1224</v>
      </c>
      <c r="F1884" t="s">
        <v>5785</v>
      </c>
      <c r="G1884" t="s">
        <v>919</v>
      </c>
    </row>
    <row r="1885" spans="1:7" x14ac:dyDescent="0.25">
      <c r="A1885">
        <v>4078</v>
      </c>
      <c r="B1885">
        <v>785</v>
      </c>
      <c r="C1885" t="s">
        <v>898</v>
      </c>
      <c r="D1885" t="s">
        <v>5786</v>
      </c>
      <c r="F1885" t="s">
        <v>5785</v>
      </c>
      <c r="G1885" t="s">
        <v>4442</v>
      </c>
    </row>
    <row r="1886" spans="1:7" x14ac:dyDescent="0.25">
      <c r="A1886">
        <v>4079</v>
      </c>
      <c r="B1886">
        <v>785</v>
      </c>
      <c r="C1886" t="s">
        <v>898</v>
      </c>
      <c r="D1886" t="s">
        <v>1230</v>
      </c>
      <c r="F1886" t="s">
        <v>5785</v>
      </c>
      <c r="G1886" t="s">
        <v>4447</v>
      </c>
    </row>
    <row r="1887" spans="1:7" x14ac:dyDescent="0.25">
      <c r="A1887">
        <v>4080</v>
      </c>
      <c r="B1887">
        <v>786</v>
      </c>
      <c r="C1887" t="s">
        <v>898</v>
      </c>
      <c r="D1887" t="s">
        <v>5787</v>
      </c>
      <c r="F1887" t="s">
        <v>5788</v>
      </c>
      <c r="G1887" t="s">
        <v>2758</v>
      </c>
    </row>
    <row r="1888" spans="1:7" x14ac:dyDescent="0.25">
      <c r="A1888">
        <v>4081</v>
      </c>
      <c r="B1888">
        <v>786</v>
      </c>
      <c r="C1888" t="s">
        <v>898</v>
      </c>
      <c r="D1888" t="s">
        <v>5789</v>
      </c>
      <c r="F1888" t="s">
        <v>5788</v>
      </c>
      <c r="G1888" t="s">
        <v>4441</v>
      </c>
    </row>
    <row r="1889" spans="1:7" x14ac:dyDescent="0.25">
      <c r="A1889">
        <v>4082</v>
      </c>
      <c r="B1889">
        <v>786</v>
      </c>
      <c r="C1889" t="s">
        <v>898</v>
      </c>
      <c r="D1889" t="s">
        <v>5790</v>
      </c>
      <c r="F1889" t="s">
        <v>5788</v>
      </c>
      <c r="G1889" t="s">
        <v>919</v>
      </c>
    </row>
    <row r="1890" spans="1:7" x14ac:dyDescent="0.25">
      <c r="A1890">
        <v>4084</v>
      </c>
      <c r="B1890">
        <v>786</v>
      </c>
      <c r="C1890" t="s">
        <v>898</v>
      </c>
      <c r="D1890" t="s">
        <v>5791</v>
      </c>
      <c r="F1890" t="s">
        <v>5788</v>
      </c>
    </row>
    <row r="1891" spans="1:7" x14ac:dyDescent="0.25">
      <c r="A1891">
        <v>4085</v>
      </c>
      <c r="B1891">
        <v>787</v>
      </c>
      <c r="C1891" t="s">
        <v>894</v>
      </c>
      <c r="D1891" t="s">
        <v>4601</v>
      </c>
      <c r="E1891" t="s">
        <v>5792</v>
      </c>
      <c r="F1891" t="s">
        <v>5793</v>
      </c>
      <c r="G1891" t="s">
        <v>1670</v>
      </c>
    </row>
    <row r="1892" spans="1:7" x14ac:dyDescent="0.25">
      <c r="A1892">
        <v>4086</v>
      </c>
      <c r="B1892">
        <v>787</v>
      </c>
      <c r="C1892" t="s">
        <v>894</v>
      </c>
      <c r="D1892" t="s">
        <v>960</v>
      </c>
      <c r="E1892" t="s">
        <v>5794</v>
      </c>
      <c r="F1892" t="s">
        <v>5793</v>
      </c>
      <c r="G1892" t="s">
        <v>4447</v>
      </c>
    </row>
    <row r="1893" spans="1:7" x14ac:dyDescent="0.25">
      <c r="A1893">
        <v>4087</v>
      </c>
      <c r="B1893">
        <v>210</v>
      </c>
      <c r="C1893" t="s">
        <v>894</v>
      </c>
      <c r="D1893" t="s">
        <v>895</v>
      </c>
      <c r="E1893" t="s">
        <v>5795</v>
      </c>
      <c r="F1893" t="s">
        <v>1589</v>
      </c>
      <c r="G1893" t="s">
        <v>4448</v>
      </c>
    </row>
    <row r="1894" spans="1:7" x14ac:dyDescent="0.25">
      <c r="A1894">
        <v>4088</v>
      </c>
      <c r="B1894">
        <v>50</v>
      </c>
      <c r="C1894" t="s">
        <v>894</v>
      </c>
      <c r="D1894" t="s">
        <v>1021</v>
      </c>
      <c r="E1894" t="s">
        <v>5796</v>
      </c>
      <c r="F1894" t="s">
        <v>1470</v>
      </c>
      <c r="G1894" t="s">
        <v>4444</v>
      </c>
    </row>
    <row r="1895" spans="1:7" x14ac:dyDescent="0.25">
      <c r="A1895">
        <v>4089</v>
      </c>
      <c r="B1895">
        <v>788</v>
      </c>
      <c r="C1895" t="s">
        <v>898</v>
      </c>
      <c r="D1895" t="s">
        <v>1230</v>
      </c>
      <c r="F1895" t="s">
        <v>5797</v>
      </c>
      <c r="G1895" t="s">
        <v>4447</v>
      </c>
    </row>
    <row r="1896" spans="1:7" x14ac:dyDescent="0.25">
      <c r="A1896">
        <v>4090</v>
      </c>
      <c r="B1896">
        <v>788</v>
      </c>
      <c r="C1896" t="s">
        <v>898</v>
      </c>
      <c r="D1896" t="s">
        <v>2032</v>
      </c>
      <c r="F1896" t="s">
        <v>5797</v>
      </c>
      <c r="G1896" t="s">
        <v>4444</v>
      </c>
    </row>
    <row r="1897" spans="1:7" x14ac:dyDescent="0.25">
      <c r="A1897">
        <v>4091</v>
      </c>
      <c r="B1897">
        <v>788</v>
      </c>
      <c r="C1897" t="s">
        <v>898</v>
      </c>
      <c r="D1897" t="s">
        <v>2067</v>
      </c>
      <c r="F1897" t="s">
        <v>5797</v>
      </c>
      <c r="G1897" t="s">
        <v>919</v>
      </c>
    </row>
    <row r="1898" spans="1:7" x14ac:dyDescent="0.25">
      <c r="A1898">
        <v>4092</v>
      </c>
      <c r="B1898">
        <v>788</v>
      </c>
      <c r="C1898" t="s">
        <v>898</v>
      </c>
      <c r="D1898" t="s">
        <v>5798</v>
      </c>
      <c r="F1898" t="s">
        <v>5797</v>
      </c>
    </row>
    <row r="1899" spans="1:7" x14ac:dyDescent="0.25">
      <c r="A1899">
        <v>4093</v>
      </c>
      <c r="B1899">
        <v>788</v>
      </c>
      <c r="C1899" t="s">
        <v>898</v>
      </c>
      <c r="D1899" t="s">
        <v>1479</v>
      </c>
      <c r="F1899" t="s">
        <v>5797</v>
      </c>
      <c r="G1899" t="s">
        <v>2758</v>
      </c>
    </row>
    <row r="1900" spans="1:7" x14ac:dyDescent="0.25">
      <c r="A1900">
        <v>4094</v>
      </c>
      <c r="B1900">
        <v>788</v>
      </c>
      <c r="C1900" t="s">
        <v>898</v>
      </c>
      <c r="D1900" t="s">
        <v>5799</v>
      </c>
      <c r="F1900" t="s">
        <v>5797</v>
      </c>
      <c r="G1900" t="s">
        <v>1309</v>
      </c>
    </row>
    <row r="1901" spans="1:7" x14ac:dyDescent="0.25">
      <c r="A1901">
        <v>4095</v>
      </c>
      <c r="B1901">
        <v>788</v>
      </c>
      <c r="C1901" t="s">
        <v>898</v>
      </c>
      <c r="D1901" t="s">
        <v>5800</v>
      </c>
      <c r="F1901" t="s">
        <v>5797</v>
      </c>
      <c r="G1901" t="s">
        <v>4442</v>
      </c>
    </row>
    <row r="1902" spans="1:7" x14ac:dyDescent="0.25">
      <c r="A1902">
        <v>4096</v>
      </c>
      <c r="B1902">
        <v>788</v>
      </c>
      <c r="C1902" t="s">
        <v>898</v>
      </c>
      <c r="D1902" t="s">
        <v>5801</v>
      </c>
      <c r="F1902" t="s">
        <v>5797</v>
      </c>
      <c r="G1902" t="s">
        <v>4464</v>
      </c>
    </row>
    <row r="1903" spans="1:7" x14ac:dyDescent="0.25">
      <c r="A1903">
        <v>4097</v>
      </c>
      <c r="B1903">
        <v>788</v>
      </c>
      <c r="C1903" t="s">
        <v>898</v>
      </c>
      <c r="D1903" t="s">
        <v>5802</v>
      </c>
      <c r="F1903" t="s">
        <v>5797</v>
      </c>
      <c r="G1903" t="s">
        <v>4446</v>
      </c>
    </row>
    <row r="1904" spans="1:7" x14ac:dyDescent="0.25">
      <c r="A1904">
        <v>4098</v>
      </c>
      <c r="B1904">
        <v>788</v>
      </c>
      <c r="C1904" t="s">
        <v>898</v>
      </c>
      <c r="D1904" t="s">
        <v>2757</v>
      </c>
      <c r="F1904" t="s">
        <v>5797</v>
      </c>
    </row>
    <row r="1905" spans="1:7" x14ac:dyDescent="0.25">
      <c r="A1905">
        <v>4099</v>
      </c>
      <c r="B1905">
        <v>788</v>
      </c>
      <c r="C1905" t="s">
        <v>898</v>
      </c>
      <c r="D1905" t="s">
        <v>4971</v>
      </c>
      <c r="F1905" t="s">
        <v>5797</v>
      </c>
      <c r="G1905" t="s">
        <v>4440</v>
      </c>
    </row>
    <row r="1906" spans="1:7" x14ac:dyDescent="0.25">
      <c r="A1906">
        <v>4100</v>
      </c>
      <c r="B1906">
        <v>788</v>
      </c>
      <c r="C1906" t="s">
        <v>898</v>
      </c>
      <c r="D1906" t="s">
        <v>5803</v>
      </c>
      <c r="F1906" t="s">
        <v>5797</v>
      </c>
      <c r="G1906" t="s">
        <v>4449</v>
      </c>
    </row>
    <row r="1907" spans="1:7" x14ac:dyDescent="0.25">
      <c r="A1907">
        <v>4102</v>
      </c>
      <c r="B1907">
        <v>111</v>
      </c>
      <c r="C1907" t="s">
        <v>898</v>
      </c>
      <c r="D1907" t="s">
        <v>5804</v>
      </c>
      <c r="F1907" t="s">
        <v>5805</v>
      </c>
      <c r="G1907" t="s">
        <v>2756</v>
      </c>
    </row>
    <row r="1908" spans="1:7" x14ac:dyDescent="0.25">
      <c r="A1908">
        <v>4103</v>
      </c>
      <c r="B1908">
        <v>111</v>
      </c>
      <c r="C1908" t="s">
        <v>898</v>
      </c>
      <c r="D1908" t="s">
        <v>5806</v>
      </c>
      <c r="F1908" t="s">
        <v>5807</v>
      </c>
      <c r="G1908" t="s">
        <v>4447</v>
      </c>
    </row>
    <row r="1909" spans="1:7" x14ac:dyDescent="0.25">
      <c r="A1909">
        <v>4104</v>
      </c>
      <c r="B1909">
        <v>789</v>
      </c>
      <c r="C1909" t="s">
        <v>894</v>
      </c>
      <c r="D1909" t="s">
        <v>1028</v>
      </c>
      <c r="F1909" t="s">
        <v>5808</v>
      </c>
      <c r="G1909" t="s">
        <v>919</v>
      </c>
    </row>
    <row r="1910" spans="1:7" x14ac:dyDescent="0.25">
      <c r="A1910">
        <v>4105</v>
      </c>
      <c r="B1910">
        <v>789</v>
      </c>
      <c r="C1910" t="s">
        <v>894</v>
      </c>
      <c r="D1910" t="s">
        <v>4601</v>
      </c>
      <c r="F1910" t="s">
        <v>5808</v>
      </c>
      <c r="G1910" t="s">
        <v>1670</v>
      </c>
    </row>
    <row r="1911" spans="1:7" x14ac:dyDescent="0.25">
      <c r="A1911">
        <v>4106</v>
      </c>
      <c r="B1911">
        <v>790</v>
      </c>
      <c r="C1911" t="s">
        <v>894</v>
      </c>
      <c r="D1911" t="s">
        <v>895</v>
      </c>
      <c r="E1911" t="s">
        <v>5809</v>
      </c>
      <c r="F1911" t="s">
        <v>5810</v>
      </c>
      <c r="G1911" t="s">
        <v>4448</v>
      </c>
    </row>
    <row r="1912" spans="1:7" x14ac:dyDescent="0.25">
      <c r="A1912">
        <v>4107</v>
      </c>
      <c r="B1912">
        <v>791</v>
      </c>
      <c r="C1912" t="s">
        <v>894</v>
      </c>
      <c r="D1912" t="s">
        <v>1593</v>
      </c>
      <c r="F1912" t="s">
        <v>5811</v>
      </c>
      <c r="G1912" t="s">
        <v>4447</v>
      </c>
    </row>
    <row r="1913" spans="1:7" x14ac:dyDescent="0.25">
      <c r="A1913">
        <v>4108</v>
      </c>
      <c r="B1913">
        <v>791</v>
      </c>
      <c r="C1913" t="s">
        <v>894</v>
      </c>
      <c r="D1913" t="s">
        <v>5812</v>
      </c>
      <c r="E1913" t="s">
        <v>5813</v>
      </c>
      <c r="F1913" t="s">
        <v>5811</v>
      </c>
      <c r="G1913" t="s">
        <v>4447</v>
      </c>
    </row>
    <row r="1914" spans="1:7" x14ac:dyDescent="0.25">
      <c r="A1914">
        <v>4109</v>
      </c>
      <c r="B1914">
        <v>791</v>
      </c>
      <c r="C1914" t="s">
        <v>894</v>
      </c>
      <c r="D1914" t="s">
        <v>1320</v>
      </c>
      <c r="F1914" t="s">
        <v>5811</v>
      </c>
      <c r="G1914" t="s">
        <v>4447</v>
      </c>
    </row>
    <row r="1915" spans="1:7" x14ac:dyDescent="0.25">
      <c r="A1915">
        <v>4110</v>
      </c>
      <c r="B1915">
        <v>791</v>
      </c>
      <c r="C1915" t="s">
        <v>894</v>
      </c>
      <c r="D1915" t="s">
        <v>5640</v>
      </c>
      <c r="E1915" t="s">
        <v>5814</v>
      </c>
      <c r="F1915" t="s">
        <v>5811</v>
      </c>
      <c r="G1915" t="s">
        <v>4442</v>
      </c>
    </row>
    <row r="1916" spans="1:7" x14ac:dyDescent="0.25">
      <c r="A1916">
        <v>4111</v>
      </c>
      <c r="B1916">
        <v>791</v>
      </c>
      <c r="C1916" t="s">
        <v>894</v>
      </c>
      <c r="D1916" t="s">
        <v>917</v>
      </c>
      <c r="F1916" t="s">
        <v>5811</v>
      </c>
      <c r="G1916" t="s">
        <v>919</v>
      </c>
    </row>
    <row r="1917" spans="1:7" x14ac:dyDescent="0.25">
      <c r="A1917">
        <v>4112</v>
      </c>
      <c r="B1917">
        <v>791</v>
      </c>
      <c r="C1917" t="s">
        <v>894</v>
      </c>
      <c r="D1917" t="s">
        <v>1011</v>
      </c>
      <c r="E1917" t="s">
        <v>5815</v>
      </c>
      <c r="F1917" t="s">
        <v>5811</v>
      </c>
      <c r="G1917" t="s">
        <v>4444</v>
      </c>
    </row>
    <row r="1918" spans="1:7" x14ac:dyDescent="0.25">
      <c r="A1918">
        <v>4122</v>
      </c>
      <c r="B1918">
        <v>136</v>
      </c>
      <c r="C1918" t="s">
        <v>894</v>
      </c>
      <c r="D1918" t="s">
        <v>5816</v>
      </c>
      <c r="E1918" t="s">
        <v>5817</v>
      </c>
      <c r="F1918" t="s">
        <v>1251</v>
      </c>
      <c r="G1918" t="s">
        <v>4445</v>
      </c>
    </row>
    <row r="1919" spans="1:7" x14ac:dyDescent="0.25">
      <c r="A1919">
        <v>4123</v>
      </c>
      <c r="B1919">
        <v>136</v>
      </c>
      <c r="C1919" t="s">
        <v>894</v>
      </c>
      <c r="D1919" t="s">
        <v>4601</v>
      </c>
      <c r="E1919" t="s">
        <v>5818</v>
      </c>
      <c r="F1919" t="s">
        <v>1251</v>
      </c>
      <c r="G1919" t="s">
        <v>1670</v>
      </c>
    </row>
    <row r="1920" spans="1:7" x14ac:dyDescent="0.25">
      <c r="A1920">
        <v>4124</v>
      </c>
      <c r="B1920">
        <v>136</v>
      </c>
      <c r="C1920" t="s">
        <v>894</v>
      </c>
      <c r="D1920" t="s">
        <v>5819</v>
      </c>
      <c r="F1920" t="s">
        <v>1251</v>
      </c>
      <c r="G1920" t="s">
        <v>919</v>
      </c>
    </row>
    <row r="1921" spans="1:8" x14ac:dyDescent="0.25">
      <c r="A1921">
        <v>4125</v>
      </c>
      <c r="B1921">
        <v>62</v>
      </c>
      <c r="C1921" t="s">
        <v>894</v>
      </c>
      <c r="D1921" t="s">
        <v>4660</v>
      </c>
      <c r="E1921" t="s">
        <v>5820</v>
      </c>
      <c r="F1921" t="s">
        <v>5821</v>
      </c>
      <c r="G1921" t="s">
        <v>4455</v>
      </c>
    </row>
    <row r="1922" spans="1:8" x14ac:dyDescent="0.25">
      <c r="A1922">
        <v>4126</v>
      </c>
      <c r="B1922">
        <v>105</v>
      </c>
      <c r="C1922" t="s">
        <v>898</v>
      </c>
      <c r="D1922" t="s">
        <v>5822</v>
      </c>
      <c r="E1922" t="s">
        <v>5823</v>
      </c>
      <c r="F1922" t="s">
        <v>5824</v>
      </c>
      <c r="G1922" t="s">
        <v>4448</v>
      </c>
      <c r="H1922">
        <v>6000</v>
      </c>
    </row>
    <row r="1923" spans="1:8" x14ac:dyDescent="0.25">
      <c r="A1923">
        <v>4127</v>
      </c>
      <c r="B1923">
        <v>794</v>
      </c>
      <c r="C1923" t="s">
        <v>894</v>
      </c>
      <c r="D1923" t="s">
        <v>966</v>
      </c>
      <c r="E1923" t="s">
        <v>5825</v>
      </c>
      <c r="F1923" t="s">
        <v>5826</v>
      </c>
      <c r="G1923" t="s">
        <v>2758</v>
      </c>
    </row>
    <row r="1924" spans="1:8" x14ac:dyDescent="0.25">
      <c r="A1924">
        <v>4128</v>
      </c>
      <c r="B1924">
        <v>103</v>
      </c>
      <c r="C1924" t="s">
        <v>898</v>
      </c>
      <c r="D1924" t="s">
        <v>1479</v>
      </c>
      <c r="E1924" t="s">
        <v>5827</v>
      </c>
      <c r="F1924" t="s">
        <v>1151</v>
      </c>
      <c r="G1924" t="s">
        <v>2758</v>
      </c>
      <c r="H1924">
        <v>1250</v>
      </c>
    </row>
    <row r="1925" spans="1:8" ht="45" x14ac:dyDescent="0.25">
      <c r="A1925">
        <v>4130</v>
      </c>
      <c r="B1925">
        <v>795</v>
      </c>
      <c r="C1925" t="s">
        <v>898</v>
      </c>
      <c r="D1925" s="1" t="s">
        <v>5828</v>
      </c>
      <c r="E1925" t="s">
        <v>5829</v>
      </c>
      <c r="F1925" t="s">
        <v>5830</v>
      </c>
      <c r="G1925" t="s">
        <v>4447</v>
      </c>
    </row>
    <row r="1926" spans="1:8" x14ac:dyDescent="0.25">
      <c r="A1926">
        <v>4131</v>
      </c>
      <c r="B1926">
        <v>795</v>
      </c>
      <c r="C1926" t="s">
        <v>898</v>
      </c>
      <c r="D1926" t="s">
        <v>2642</v>
      </c>
      <c r="E1926" t="s">
        <v>5831</v>
      </c>
      <c r="F1926" t="s">
        <v>5830</v>
      </c>
      <c r="G1926" t="s">
        <v>4445</v>
      </c>
    </row>
    <row r="1927" spans="1:8" x14ac:dyDescent="0.25">
      <c r="A1927">
        <v>4132</v>
      </c>
      <c r="B1927">
        <v>795</v>
      </c>
      <c r="C1927" t="s">
        <v>898</v>
      </c>
      <c r="D1927" t="s">
        <v>5832</v>
      </c>
      <c r="E1927" t="s">
        <v>5833</v>
      </c>
      <c r="F1927" t="s">
        <v>5830</v>
      </c>
    </row>
    <row r="1928" spans="1:8" x14ac:dyDescent="0.25">
      <c r="A1928">
        <v>4139</v>
      </c>
      <c r="B1928">
        <v>487</v>
      </c>
      <c r="C1928" t="s">
        <v>898</v>
      </c>
      <c r="D1928" t="s">
        <v>5834</v>
      </c>
      <c r="F1928" t="s">
        <v>2066</v>
      </c>
      <c r="G1928" t="s">
        <v>4447</v>
      </c>
    </row>
    <row r="1929" spans="1:8" x14ac:dyDescent="0.25">
      <c r="A1929">
        <v>4140</v>
      </c>
      <c r="B1929">
        <v>487</v>
      </c>
      <c r="C1929" t="s">
        <v>898</v>
      </c>
      <c r="D1929" t="s">
        <v>5835</v>
      </c>
      <c r="F1929" t="s">
        <v>2066</v>
      </c>
      <c r="G1929" t="s">
        <v>4447</v>
      </c>
    </row>
    <row r="1930" spans="1:8" x14ac:dyDescent="0.25">
      <c r="A1930">
        <v>4141</v>
      </c>
      <c r="B1930">
        <v>487</v>
      </c>
      <c r="C1930" t="s">
        <v>898</v>
      </c>
      <c r="D1930" t="s">
        <v>4805</v>
      </c>
      <c r="F1930" t="s">
        <v>2066</v>
      </c>
      <c r="G1930" t="s">
        <v>4456</v>
      </c>
    </row>
    <row r="1931" spans="1:8" x14ac:dyDescent="0.25">
      <c r="A1931">
        <v>4142</v>
      </c>
      <c r="B1931">
        <v>487</v>
      </c>
      <c r="C1931" t="s">
        <v>898</v>
      </c>
      <c r="D1931" t="s">
        <v>4843</v>
      </c>
      <c r="F1931" t="s">
        <v>2066</v>
      </c>
      <c r="G1931" t="s">
        <v>4451</v>
      </c>
    </row>
    <row r="1932" spans="1:8" x14ac:dyDescent="0.25">
      <c r="A1932">
        <v>4143</v>
      </c>
      <c r="B1932">
        <v>487</v>
      </c>
      <c r="C1932" t="s">
        <v>898</v>
      </c>
      <c r="D1932" t="s">
        <v>5836</v>
      </c>
      <c r="F1932" t="s">
        <v>2066</v>
      </c>
      <c r="G1932" t="s">
        <v>4440</v>
      </c>
    </row>
    <row r="1933" spans="1:8" x14ac:dyDescent="0.25">
      <c r="A1933">
        <v>4144</v>
      </c>
      <c r="B1933">
        <v>487</v>
      </c>
      <c r="C1933" t="s">
        <v>898</v>
      </c>
      <c r="D1933" t="s">
        <v>5837</v>
      </c>
      <c r="F1933" t="s">
        <v>2066</v>
      </c>
      <c r="G1933" t="s">
        <v>4448</v>
      </c>
    </row>
    <row r="1934" spans="1:8" x14ac:dyDescent="0.25">
      <c r="A1934">
        <v>4145</v>
      </c>
      <c r="B1934">
        <v>136</v>
      </c>
      <c r="C1934" t="s">
        <v>894</v>
      </c>
      <c r="D1934" t="s">
        <v>5838</v>
      </c>
      <c r="F1934" t="s">
        <v>1251</v>
      </c>
      <c r="G1934" t="s">
        <v>4447</v>
      </c>
    </row>
    <row r="1935" spans="1:8" x14ac:dyDescent="0.25">
      <c r="A1935">
        <v>4146</v>
      </c>
      <c r="B1935">
        <v>8</v>
      </c>
      <c r="C1935" t="s">
        <v>894</v>
      </c>
      <c r="D1935" t="s">
        <v>5839</v>
      </c>
      <c r="E1935" t="s">
        <v>5840</v>
      </c>
      <c r="F1935" t="s">
        <v>5841</v>
      </c>
      <c r="G1935" t="s">
        <v>4447</v>
      </c>
    </row>
    <row r="1936" spans="1:8" x14ac:dyDescent="0.25">
      <c r="A1936">
        <v>4147</v>
      </c>
      <c r="B1936">
        <v>549</v>
      </c>
      <c r="C1936" t="s">
        <v>898</v>
      </c>
      <c r="D1936" t="s">
        <v>5842</v>
      </c>
      <c r="E1936" t="s">
        <v>5843</v>
      </c>
      <c r="F1936" t="s">
        <v>2411</v>
      </c>
      <c r="G1936" t="s">
        <v>4445</v>
      </c>
    </row>
    <row r="1937" spans="1:7" x14ac:dyDescent="0.25">
      <c r="A1937">
        <v>4148</v>
      </c>
      <c r="B1937">
        <v>41</v>
      </c>
      <c r="C1937" t="s">
        <v>894</v>
      </c>
      <c r="D1937" t="s">
        <v>5844</v>
      </c>
      <c r="E1937" t="s">
        <v>4673</v>
      </c>
      <c r="F1937" t="s">
        <v>988</v>
      </c>
      <c r="G1937" t="s">
        <v>4445</v>
      </c>
    </row>
    <row r="1938" spans="1:7" x14ac:dyDescent="0.25">
      <c r="A1938">
        <v>4149</v>
      </c>
      <c r="B1938">
        <v>41</v>
      </c>
      <c r="C1938" t="s">
        <v>894</v>
      </c>
      <c r="D1938" t="s">
        <v>1440</v>
      </c>
      <c r="E1938" t="s">
        <v>5845</v>
      </c>
      <c r="F1938" t="s">
        <v>988</v>
      </c>
      <c r="G1938" t="s">
        <v>4447</v>
      </c>
    </row>
    <row r="1939" spans="1:7" x14ac:dyDescent="0.25">
      <c r="A1939">
        <v>4150</v>
      </c>
      <c r="B1939">
        <v>41</v>
      </c>
      <c r="C1939" t="s">
        <v>894</v>
      </c>
      <c r="D1939" t="s">
        <v>963</v>
      </c>
      <c r="E1939" t="s">
        <v>5846</v>
      </c>
      <c r="F1939" t="s">
        <v>988</v>
      </c>
      <c r="G1939" t="s">
        <v>4447</v>
      </c>
    </row>
    <row r="1940" spans="1:7" x14ac:dyDescent="0.25">
      <c r="A1940">
        <v>4151</v>
      </c>
      <c r="B1940">
        <v>41</v>
      </c>
      <c r="C1940" t="s">
        <v>894</v>
      </c>
      <c r="D1940" t="s">
        <v>5847</v>
      </c>
      <c r="E1940" t="s">
        <v>5848</v>
      </c>
      <c r="F1940" t="s">
        <v>988</v>
      </c>
      <c r="G1940" t="s">
        <v>4446</v>
      </c>
    </row>
    <row r="1941" spans="1:7" x14ac:dyDescent="0.25">
      <c r="A1941">
        <v>4152</v>
      </c>
      <c r="B1941">
        <v>798</v>
      </c>
      <c r="C1941" t="s">
        <v>894</v>
      </c>
      <c r="D1941" t="s">
        <v>895</v>
      </c>
      <c r="E1941" t="s">
        <v>5849</v>
      </c>
      <c r="F1941" t="s">
        <v>5850</v>
      </c>
      <c r="G1941" t="s">
        <v>4448</v>
      </c>
    </row>
    <row r="1942" spans="1:7" x14ac:dyDescent="0.25">
      <c r="A1942">
        <v>4153</v>
      </c>
      <c r="B1942">
        <v>798</v>
      </c>
      <c r="C1942" t="s">
        <v>894</v>
      </c>
      <c r="D1942" t="s">
        <v>966</v>
      </c>
      <c r="E1942" t="s">
        <v>5851</v>
      </c>
      <c r="F1942" t="s">
        <v>5850</v>
      </c>
      <c r="G1942" t="s">
        <v>2758</v>
      </c>
    </row>
    <row r="1943" spans="1:7" x14ac:dyDescent="0.25">
      <c r="A1943">
        <v>4154</v>
      </c>
      <c r="B1943">
        <v>798</v>
      </c>
      <c r="C1943" t="s">
        <v>894</v>
      </c>
      <c r="D1943" t="s">
        <v>5852</v>
      </c>
      <c r="E1943" t="s">
        <v>5853</v>
      </c>
      <c r="F1943" t="s">
        <v>5850</v>
      </c>
      <c r="G1943" t="s">
        <v>4448</v>
      </c>
    </row>
    <row r="1944" spans="1:7" x14ac:dyDescent="0.25">
      <c r="A1944">
        <v>4155</v>
      </c>
      <c r="B1944">
        <v>798</v>
      </c>
      <c r="C1944" t="s">
        <v>894</v>
      </c>
      <c r="D1944" t="s">
        <v>1440</v>
      </c>
      <c r="E1944" t="s">
        <v>5854</v>
      </c>
      <c r="F1944" t="s">
        <v>5850</v>
      </c>
      <c r="G1944" t="s">
        <v>4447</v>
      </c>
    </row>
    <row r="1945" spans="1:7" x14ac:dyDescent="0.25">
      <c r="A1945">
        <v>4156</v>
      </c>
      <c r="B1945">
        <v>798</v>
      </c>
      <c r="C1945" t="s">
        <v>894</v>
      </c>
      <c r="D1945" t="s">
        <v>933</v>
      </c>
      <c r="E1945" t="s">
        <v>5855</v>
      </c>
      <c r="F1945" t="s">
        <v>5850</v>
      </c>
      <c r="G1945" t="s">
        <v>4444</v>
      </c>
    </row>
    <row r="1946" spans="1:7" x14ac:dyDescent="0.25">
      <c r="A1946">
        <v>4157</v>
      </c>
      <c r="B1946">
        <v>798</v>
      </c>
      <c r="C1946" t="s">
        <v>894</v>
      </c>
      <c r="D1946" t="s">
        <v>917</v>
      </c>
      <c r="E1946" t="s">
        <v>5856</v>
      </c>
      <c r="F1946" t="s">
        <v>5850</v>
      </c>
      <c r="G1946" t="s">
        <v>919</v>
      </c>
    </row>
    <row r="1947" spans="1:7" x14ac:dyDescent="0.25">
      <c r="A1947">
        <v>4158</v>
      </c>
      <c r="B1947">
        <v>798</v>
      </c>
      <c r="C1947" t="s">
        <v>894</v>
      </c>
      <c r="D1947" t="s">
        <v>4601</v>
      </c>
      <c r="E1947" t="s">
        <v>5857</v>
      </c>
      <c r="F1947" t="s">
        <v>5850</v>
      </c>
      <c r="G1947" t="s">
        <v>1670</v>
      </c>
    </row>
    <row r="1948" spans="1:7" x14ac:dyDescent="0.25">
      <c r="A1948">
        <v>4160</v>
      </c>
      <c r="B1948">
        <v>798</v>
      </c>
      <c r="C1948" t="s">
        <v>894</v>
      </c>
      <c r="D1948" t="s">
        <v>1340</v>
      </c>
      <c r="E1948" t="s">
        <v>5858</v>
      </c>
      <c r="F1948" t="s">
        <v>5850</v>
      </c>
      <c r="G1948" t="s">
        <v>4442</v>
      </c>
    </row>
    <row r="1949" spans="1:7" x14ac:dyDescent="0.25">
      <c r="A1949">
        <v>4161</v>
      </c>
      <c r="B1949">
        <v>801</v>
      </c>
      <c r="C1949" t="s">
        <v>894</v>
      </c>
      <c r="D1949" t="s">
        <v>917</v>
      </c>
      <c r="F1949" t="s">
        <v>5859</v>
      </c>
      <c r="G1949" t="s">
        <v>919</v>
      </c>
    </row>
    <row r="1950" spans="1:7" x14ac:dyDescent="0.25">
      <c r="A1950">
        <v>4162</v>
      </c>
      <c r="B1950">
        <v>801</v>
      </c>
      <c r="C1950" t="s">
        <v>894</v>
      </c>
      <c r="D1950" t="s">
        <v>933</v>
      </c>
      <c r="F1950" t="s">
        <v>5860</v>
      </c>
      <c r="G1950" t="s">
        <v>4444</v>
      </c>
    </row>
    <row r="1951" spans="1:7" x14ac:dyDescent="0.25">
      <c r="A1951">
        <v>4166</v>
      </c>
      <c r="B1951">
        <v>803</v>
      </c>
      <c r="C1951" t="s">
        <v>894</v>
      </c>
      <c r="D1951" t="s">
        <v>966</v>
      </c>
      <c r="E1951" t="s">
        <v>5861</v>
      </c>
      <c r="F1951" t="s">
        <v>5862</v>
      </c>
      <c r="G1951" t="s">
        <v>2758</v>
      </c>
    </row>
    <row r="1952" spans="1:7" x14ac:dyDescent="0.25">
      <c r="A1952">
        <v>4167</v>
      </c>
      <c r="B1952">
        <v>805</v>
      </c>
      <c r="C1952" t="s">
        <v>898</v>
      </c>
      <c r="D1952" t="s">
        <v>1479</v>
      </c>
      <c r="F1952" t="s">
        <v>5863</v>
      </c>
      <c r="G1952" t="s">
        <v>2758</v>
      </c>
    </row>
    <row r="1953" spans="1:7" x14ac:dyDescent="0.25">
      <c r="A1953">
        <v>4168</v>
      </c>
      <c r="B1953">
        <v>473</v>
      </c>
      <c r="C1953" t="s">
        <v>898</v>
      </c>
      <c r="D1953" t="s">
        <v>5864</v>
      </c>
      <c r="E1953" t="s">
        <v>5865</v>
      </c>
      <c r="F1953" t="s">
        <v>5866</v>
      </c>
    </row>
    <row r="1954" spans="1:7" x14ac:dyDescent="0.25">
      <c r="A1954">
        <v>4170</v>
      </c>
      <c r="B1954">
        <v>855</v>
      </c>
      <c r="C1954" t="s">
        <v>898</v>
      </c>
      <c r="D1954" t="s">
        <v>5867</v>
      </c>
      <c r="E1954" t="s">
        <v>5868</v>
      </c>
      <c r="F1954" t="s">
        <v>5869</v>
      </c>
    </row>
    <row r="1955" spans="1:7" x14ac:dyDescent="0.25">
      <c r="A1955">
        <v>4171</v>
      </c>
      <c r="B1955">
        <v>806</v>
      </c>
      <c r="C1955" t="s">
        <v>898</v>
      </c>
      <c r="D1955" t="s">
        <v>5870</v>
      </c>
      <c r="E1955" t="s">
        <v>5871</v>
      </c>
      <c r="F1955" t="s">
        <v>5872</v>
      </c>
    </row>
    <row r="1956" spans="1:7" x14ac:dyDescent="0.25">
      <c r="A1956">
        <v>4172</v>
      </c>
      <c r="B1956">
        <v>325</v>
      </c>
      <c r="C1956" t="s">
        <v>898</v>
      </c>
      <c r="D1956" t="s">
        <v>5873</v>
      </c>
      <c r="E1956" t="s">
        <v>5874</v>
      </c>
      <c r="F1956" t="s">
        <v>5875</v>
      </c>
    </row>
    <row r="1957" spans="1:7" x14ac:dyDescent="0.25">
      <c r="A1957">
        <v>4173</v>
      </c>
      <c r="B1957">
        <v>325</v>
      </c>
      <c r="C1957" t="s">
        <v>898</v>
      </c>
      <c r="D1957" t="s">
        <v>5876</v>
      </c>
      <c r="E1957" t="s">
        <v>5877</v>
      </c>
      <c r="F1957" t="s">
        <v>5878</v>
      </c>
    </row>
    <row r="1958" spans="1:7" x14ac:dyDescent="0.25">
      <c r="A1958">
        <v>4174</v>
      </c>
      <c r="B1958">
        <v>807</v>
      </c>
      <c r="C1958" t="s">
        <v>894</v>
      </c>
      <c r="D1958" t="s">
        <v>895</v>
      </c>
      <c r="F1958" t="s">
        <v>5879</v>
      </c>
      <c r="G1958" t="s">
        <v>4448</v>
      </c>
    </row>
    <row r="1959" spans="1:7" x14ac:dyDescent="0.25">
      <c r="A1959">
        <v>4175</v>
      </c>
      <c r="B1959">
        <v>807</v>
      </c>
      <c r="C1959" t="s">
        <v>894</v>
      </c>
      <c r="D1959" t="s">
        <v>966</v>
      </c>
      <c r="F1959" t="s">
        <v>5880</v>
      </c>
      <c r="G1959" t="s">
        <v>2758</v>
      </c>
    </row>
    <row r="1960" spans="1:7" x14ac:dyDescent="0.25">
      <c r="A1960">
        <v>4176</v>
      </c>
      <c r="B1960">
        <v>807</v>
      </c>
      <c r="C1960" t="s">
        <v>894</v>
      </c>
      <c r="D1960" t="s">
        <v>5881</v>
      </c>
      <c r="F1960" t="s">
        <v>5880</v>
      </c>
      <c r="G1960" t="s">
        <v>1309</v>
      </c>
    </row>
    <row r="1961" spans="1:7" x14ac:dyDescent="0.25">
      <c r="A1961">
        <v>4177</v>
      </c>
      <c r="B1961">
        <v>807</v>
      </c>
      <c r="C1961" t="s">
        <v>894</v>
      </c>
      <c r="D1961" t="s">
        <v>5882</v>
      </c>
      <c r="F1961" t="s">
        <v>5883</v>
      </c>
      <c r="G1961" t="s">
        <v>4442</v>
      </c>
    </row>
    <row r="1962" spans="1:7" x14ac:dyDescent="0.25">
      <c r="A1962">
        <v>4178</v>
      </c>
      <c r="B1962">
        <v>807</v>
      </c>
      <c r="C1962" t="s">
        <v>894</v>
      </c>
      <c r="D1962" t="s">
        <v>5884</v>
      </c>
      <c r="F1962" t="s">
        <v>5880</v>
      </c>
      <c r="G1962" t="s">
        <v>4442</v>
      </c>
    </row>
    <row r="1963" spans="1:7" x14ac:dyDescent="0.25">
      <c r="A1963">
        <v>4179</v>
      </c>
      <c r="B1963">
        <v>807</v>
      </c>
      <c r="C1963" t="s">
        <v>894</v>
      </c>
      <c r="D1963" t="s">
        <v>923</v>
      </c>
      <c r="F1963" t="s">
        <v>5880</v>
      </c>
      <c r="G1963" t="s">
        <v>4444</v>
      </c>
    </row>
    <row r="1964" spans="1:7" x14ac:dyDescent="0.25">
      <c r="A1964">
        <v>4180</v>
      </c>
      <c r="B1964">
        <v>807</v>
      </c>
      <c r="C1964" t="s">
        <v>894</v>
      </c>
      <c r="D1964" t="s">
        <v>917</v>
      </c>
      <c r="F1964" t="s">
        <v>5880</v>
      </c>
      <c r="G1964" t="s">
        <v>919</v>
      </c>
    </row>
    <row r="1965" spans="1:7" x14ac:dyDescent="0.25">
      <c r="A1965">
        <v>4181</v>
      </c>
      <c r="B1965">
        <v>366</v>
      </c>
      <c r="C1965" t="s">
        <v>898</v>
      </c>
      <c r="D1965" t="s">
        <v>5885</v>
      </c>
      <c r="E1965" t="s">
        <v>5886</v>
      </c>
      <c r="F1965" t="s">
        <v>5887</v>
      </c>
    </row>
    <row r="1966" spans="1:7" x14ac:dyDescent="0.25">
      <c r="A1966">
        <v>4182</v>
      </c>
      <c r="B1966">
        <v>625</v>
      </c>
      <c r="C1966" t="s">
        <v>898</v>
      </c>
      <c r="D1966" t="s">
        <v>5888</v>
      </c>
      <c r="E1966" t="s">
        <v>5889</v>
      </c>
      <c r="F1966" t="s">
        <v>5890</v>
      </c>
    </row>
    <row r="1967" spans="1:7" x14ac:dyDescent="0.25">
      <c r="A1967">
        <v>4183</v>
      </c>
      <c r="B1967">
        <v>809</v>
      </c>
      <c r="C1967" t="s">
        <v>898</v>
      </c>
      <c r="D1967" t="s">
        <v>2067</v>
      </c>
      <c r="F1967" t="s">
        <v>5891</v>
      </c>
      <c r="G1967" t="s">
        <v>919</v>
      </c>
    </row>
    <row r="1968" spans="1:7" x14ac:dyDescent="0.25">
      <c r="A1968">
        <v>4184</v>
      </c>
      <c r="B1968">
        <v>809</v>
      </c>
      <c r="C1968" t="s">
        <v>898</v>
      </c>
      <c r="D1968" t="s">
        <v>2032</v>
      </c>
      <c r="F1968" t="s">
        <v>5891</v>
      </c>
      <c r="G1968" t="s">
        <v>4444</v>
      </c>
    </row>
    <row r="1969" spans="1:7" x14ac:dyDescent="0.25">
      <c r="A1969">
        <v>4185</v>
      </c>
      <c r="B1969">
        <v>809</v>
      </c>
      <c r="C1969" t="s">
        <v>898</v>
      </c>
      <c r="D1969" t="s">
        <v>1230</v>
      </c>
      <c r="F1969" t="s">
        <v>5891</v>
      </c>
      <c r="G1969" t="s">
        <v>4447</v>
      </c>
    </row>
    <row r="1970" spans="1:7" x14ac:dyDescent="0.25">
      <c r="A1970">
        <v>4186</v>
      </c>
      <c r="B1970">
        <v>809</v>
      </c>
      <c r="C1970" t="s">
        <v>898</v>
      </c>
      <c r="D1970" t="s">
        <v>5787</v>
      </c>
      <c r="F1970" t="s">
        <v>5891</v>
      </c>
      <c r="G1970" t="s">
        <v>2758</v>
      </c>
    </row>
    <row r="1971" spans="1:7" x14ac:dyDescent="0.25">
      <c r="A1971">
        <v>4187</v>
      </c>
      <c r="B1971">
        <v>809</v>
      </c>
      <c r="C1971" t="s">
        <v>898</v>
      </c>
      <c r="D1971" t="s">
        <v>5892</v>
      </c>
      <c r="F1971" t="s">
        <v>5891</v>
      </c>
      <c r="G1971" t="s">
        <v>4445</v>
      </c>
    </row>
    <row r="1972" spans="1:7" x14ac:dyDescent="0.25">
      <c r="A1972">
        <v>4188</v>
      </c>
      <c r="B1972">
        <v>809</v>
      </c>
      <c r="C1972" t="s">
        <v>898</v>
      </c>
      <c r="D1972" t="s">
        <v>5893</v>
      </c>
      <c r="F1972" t="s">
        <v>5891</v>
      </c>
      <c r="G1972" t="s">
        <v>4454</v>
      </c>
    </row>
    <row r="1973" spans="1:7" x14ac:dyDescent="0.25">
      <c r="A1973">
        <v>4189</v>
      </c>
      <c r="B1973">
        <v>809</v>
      </c>
      <c r="C1973" t="s">
        <v>898</v>
      </c>
      <c r="D1973" t="s">
        <v>5894</v>
      </c>
      <c r="F1973" t="s">
        <v>5891</v>
      </c>
      <c r="G1973" t="s">
        <v>4447</v>
      </c>
    </row>
    <row r="1974" spans="1:7" x14ac:dyDescent="0.25">
      <c r="A1974">
        <v>4192</v>
      </c>
      <c r="B1974">
        <v>1</v>
      </c>
      <c r="C1974" t="s">
        <v>894</v>
      </c>
      <c r="D1974" t="s">
        <v>5895</v>
      </c>
      <c r="E1974" t="s">
        <v>5896</v>
      </c>
      <c r="F1974" t="s">
        <v>5897</v>
      </c>
      <c r="G1974" t="s">
        <v>4442</v>
      </c>
    </row>
    <row r="1975" spans="1:7" x14ac:dyDescent="0.25">
      <c r="A1975">
        <v>4193</v>
      </c>
      <c r="B1975">
        <v>1</v>
      </c>
      <c r="C1975" t="s">
        <v>894</v>
      </c>
      <c r="D1975" t="s">
        <v>5898</v>
      </c>
      <c r="E1975" t="s">
        <v>5899</v>
      </c>
      <c r="F1975" t="s">
        <v>5897</v>
      </c>
      <c r="G1975" t="s">
        <v>4442</v>
      </c>
    </row>
    <row r="1976" spans="1:7" x14ac:dyDescent="0.25">
      <c r="A1976">
        <v>4194</v>
      </c>
      <c r="B1976">
        <v>374</v>
      </c>
      <c r="C1976" t="s">
        <v>894</v>
      </c>
      <c r="D1976" t="s">
        <v>5900</v>
      </c>
      <c r="E1976" t="s">
        <v>5901</v>
      </c>
      <c r="F1976" t="s">
        <v>5902</v>
      </c>
      <c r="G1976" t="s">
        <v>4447</v>
      </c>
    </row>
    <row r="1977" spans="1:7" x14ac:dyDescent="0.25">
      <c r="A1977">
        <v>4195</v>
      </c>
      <c r="B1977">
        <v>810</v>
      </c>
      <c r="C1977" t="s">
        <v>898</v>
      </c>
      <c r="D1977" t="s">
        <v>1479</v>
      </c>
      <c r="E1977" t="s">
        <v>5903</v>
      </c>
      <c r="F1977" t="s">
        <v>5904</v>
      </c>
      <c r="G1977" t="s">
        <v>2758</v>
      </c>
    </row>
    <row r="1978" spans="1:7" x14ac:dyDescent="0.25">
      <c r="A1978">
        <v>4196</v>
      </c>
      <c r="B1978">
        <v>810</v>
      </c>
      <c r="C1978" t="s">
        <v>898</v>
      </c>
      <c r="D1978" t="s">
        <v>1221</v>
      </c>
      <c r="E1978" t="s">
        <v>5905</v>
      </c>
      <c r="F1978" t="s">
        <v>5904</v>
      </c>
      <c r="G1978" t="s">
        <v>4444</v>
      </c>
    </row>
    <row r="1979" spans="1:7" x14ac:dyDescent="0.25">
      <c r="A1979">
        <v>4197</v>
      </c>
      <c r="B1979">
        <v>810</v>
      </c>
      <c r="C1979" t="s">
        <v>898</v>
      </c>
      <c r="D1979" t="s">
        <v>1224</v>
      </c>
      <c r="E1979" t="s">
        <v>5906</v>
      </c>
      <c r="F1979" t="s">
        <v>5904</v>
      </c>
      <c r="G1979" t="s">
        <v>919</v>
      </c>
    </row>
    <row r="1980" spans="1:7" x14ac:dyDescent="0.25">
      <c r="A1980">
        <v>4198</v>
      </c>
      <c r="B1980">
        <v>810</v>
      </c>
      <c r="C1980" t="s">
        <v>898</v>
      </c>
      <c r="D1980" t="s">
        <v>5907</v>
      </c>
      <c r="E1980" t="s">
        <v>5908</v>
      </c>
      <c r="F1980" t="s">
        <v>5904</v>
      </c>
      <c r="G1980" t="s">
        <v>4447</v>
      </c>
    </row>
    <row r="1981" spans="1:7" x14ac:dyDescent="0.25">
      <c r="A1981">
        <v>4199</v>
      </c>
      <c r="B1981">
        <v>810</v>
      </c>
      <c r="C1981" t="s">
        <v>898</v>
      </c>
      <c r="D1981" t="s">
        <v>5909</v>
      </c>
      <c r="E1981" t="s">
        <v>5910</v>
      </c>
      <c r="F1981" t="s">
        <v>5904</v>
      </c>
      <c r="G1981" t="s">
        <v>4445</v>
      </c>
    </row>
    <row r="1982" spans="1:7" x14ac:dyDescent="0.25">
      <c r="A1982">
        <v>4200</v>
      </c>
      <c r="B1982">
        <v>810</v>
      </c>
      <c r="C1982" t="s">
        <v>898</v>
      </c>
      <c r="D1982" t="s">
        <v>4746</v>
      </c>
      <c r="E1982" t="s">
        <v>5911</v>
      </c>
      <c r="F1982" t="s">
        <v>5904</v>
      </c>
      <c r="G1982" t="s">
        <v>1262</v>
      </c>
    </row>
    <row r="1983" spans="1:7" x14ac:dyDescent="0.25">
      <c r="A1983">
        <v>4201</v>
      </c>
      <c r="B1983">
        <v>810</v>
      </c>
      <c r="C1983" t="s">
        <v>898</v>
      </c>
      <c r="D1983" t="s">
        <v>5912</v>
      </c>
      <c r="E1983" t="s">
        <v>5913</v>
      </c>
      <c r="F1983" t="s">
        <v>5904</v>
      </c>
      <c r="G1983" t="s">
        <v>4448</v>
      </c>
    </row>
    <row r="1984" spans="1:7" x14ac:dyDescent="0.25">
      <c r="A1984">
        <v>4202</v>
      </c>
      <c r="B1984">
        <v>811</v>
      </c>
      <c r="C1984" t="s">
        <v>898</v>
      </c>
      <c r="D1984" t="s">
        <v>5914</v>
      </c>
      <c r="E1984" t="s">
        <v>5915</v>
      </c>
      <c r="F1984" t="s">
        <v>5916</v>
      </c>
      <c r="G1984" t="s">
        <v>4448</v>
      </c>
    </row>
    <row r="1985" spans="1:7" x14ac:dyDescent="0.25">
      <c r="A1985">
        <v>4203</v>
      </c>
      <c r="B1985">
        <v>811</v>
      </c>
      <c r="C1985" t="s">
        <v>898</v>
      </c>
      <c r="D1985" t="s">
        <v>5917</v>
      </c>
      <c r="E1985" t="s">
        <v>5918</v>
      </c>
      <c r="F1985" t="s">
        <v>5916</v>
      </c>
      <c r="G1985" t="s">
        <v>2758</v>
      </c>
    </row>
    <row r="1986" spans="1:7" x14ac:dyDescent="0.25">
      <c r="A1986">
        <v>4204</v>
      </c>
      <c r="B1986">
        <v>811</v>
      </c>
      <c r="C1986" t="s">
        <v>898</v>
      </c>
      <c r="D1986" t="s">
        <v>5919</v>
      </c>
      <c r="E1986" t="s">
        <v>5920</v>
      </c>
      <c r="F1986" t="s">
        <v>5916</v>
      </c>
      <c r="G1986" t="s">
        <v>4447</v>
      </c>
    </row>
    <row r="1987" spans="1:7" x14ac:dyDescent="0.25">
      <c r="A1987">
        <v>4205</v>
      </c>
      <c r="B1987">
        <v>811</v>
      </c>
      <c r="C1987" t="s">
        <v>898</v>
      </c>
      <c r="D1987" t="s">
        <v>1221</v>
      </c>
      <c r="E1987" t="s">
        <v>5921</v>
      </c>
      <c r="F1987" t="s">
        <v>5916</v>
      </c>
      <c r="G1987" t="s">
        <v>4444</v>
      </c>
    </row>
    <row r="1988" spans="1:7" x14ac:dyDescent="0.25">
      <c r="A1988">
        <v>4206</v>
      </c>
      <c r="B1988">
        <v>811</v>
      </c>
      <c r="C1988" t="s">
        <v>898</v>
      </c>
      <c r="D1988" t="s">
        <v>5922</v>
      </c>
      <c r="E1988" t="s">
        <v>5923</v>
      </c>
      <c r="F1988" t="s">
        <v>5916</v>
      </c>
      <c r="G1988" t="s">
        <v>4447</v>
      </c>
    </row>
    <row r="1989" spans="1:7" x14ac:dyDescent="0.25">
      <c r="A1989">
        <v>4207</v>
      </c>
      <c r="B1989">
        <v>811</v>
      </c>
      <c r="C1989" t="s">
        <v>898</v>
      </c>
      <c r="D1989" t="s">
        <v>5396</v>
      </c>
      <c r="E1989" t="s">
        <v>5924</v>
      </c>
      <c r="F1989" t="s">
        <v>5916</v>
      </c>
      <c r="G1989" t="s">
        <v>4443</v>
      </c>
    </row>
    <row r="1990" spans="1:7" x14ac:dyDescent="0.25">
      <c r="A1990">
        <v>4208</v>
      </c>
      <c r="B1990">
        <v>811</v>
      </c>
      <c r="C1990" t="s">
        <v>898</v>
      </c>
      <c r="D1990" t="s">
        <v>5925</v>
      </c>
      <c r="E1990" t="s">
        <v>5926</v>
      </c>
      <c r="F1990" t="s">
        <v>5916</v>
      </c>
      <c r="G1990" t="s">
        <v>4442</v>
      </c>
    </row>
    <row r="1991" spans="1:7" x14ac:dyDescent="0.25">
      <c r="A1991">
        <v>4209</v>
      </c>
      <c r="B1991">
        <v>811</v>
      </c>
      <c r="C1991" t="s">
        <v>898</v>
      </c>
      <c r="D1991" t="s">
        <v>5927</v>
      </c>
      <c r="E1991" t="s">
        <v>5928</v>
      </c>
      <c r="F1991" t="s">
        <v>5916</v>
      </c>
      <c r="G1991" t="s">
        <v>4442</v>
      </c>
    </row>
    <row r="1992" spans="1:7" x14ac:dyDescent="0.25">
      <c r="A1992">
        <v>4210</v>
      </c>
      <c r="B1992">
        <v>811</v>
      </c>
      <c r="C1992" t="s">
        <v>898</v>
      </c>
      <c r="D1992" t="s">
        <v>5929</v>
      </c>
      <c r="E1992" t="s">
        <v>5930</v>
      </c>
      <c r="F1992" t="s">
        <v>5916</v>
      </c>
      <c r="G1992" t="s">
        <v>4442</v>
      </c>
    </row>
    <row r="1993" spans="1:7" x14ac:dyDescent="0.25">
      <c r="A1993">
        <v>4211</v>
      </c>
      <c r="B1993">
        <v>811</v>
      </c>
      <c r="C1993" t="s">
        <v>898</v>
      </c>
      <c r="D1993" t="s">
        <v>5931</v>
      </c>
      <c r="E1993" t="s">
        <v>5932</v>
      </c>
      <c r="F1993" t="s">
        <v>5916</v>
      </c>
      <c r="G1993" t="s">
        <v>4442</v>
      </c>
    </row>
    <row r="1994" spans="1:7" x14ac:dyDescent="0.25">
      <c r="A1994">
        <v>4212</v>
      </c>
      <c r="B1994">
        <v>811</v>
      </c>
      <c r="C1994" t="s">
        <v>898</v>
      </c>
      <c r="D1994" t="s">
        <v>5933</v>
      </c>
      <c r="E1994" t="s">
        <v>5934</v>
      </c>
      <c r="F1994" t="s">
        <v>5916</v>
      </c>
      <c r="G1994" t="s">
        <v>4445</v>
      </c>
    </row>
    <row r="1995" spans="1:7" x14ac:dyDescent="0.25">
      <c r="A1995">
        <v>4213</v>
      </c>
      <c r="B1995">
        <v>811</v>
      </c>
      <c r="C1995" t="s">
        <v>898</v>
      </c>
      <c r="D1995" t="s">
        <v>4746</v>
      </c>
      <c r="E1995" t="s">
        <v>5935</v>
      </c>
      <c r="F1995" t="s">
        <v>5916</v>
      </c>
      <c r="G1995" t="s">
        <v>1262</v>
      </c>
    </row>
    <row r="1996" spans="1:7" x14ac:dyDescent="0.25">
      <c r="A1996">
        <v>4214</v>
      </c>
      <c r="B1996">
        <v>812</v>
      </c>
      <c r="C1996" t="s">
        <v>894</v>
      </c>
      <c r="D1996" t="s">
        <v>966</v>
      </c>
      <c r="E1996" t="s">
        <v>5936</v>
      </c>
      <c r="F1996" t="s">
        <v>5937</v>
      </c>
      <c r="G1996" t="s">
        <v>2758</v>
      </c>
    </row>
    <row r="1997" spans="1:7" x14ac:dyDescent="0.25">
      <c r="A1997">
        <v>4215</v>
      </c>
      <c r="B1997">
        <v>812</v>
      </c>
      <c r="C1997" t="s">
        <v>894</v>
      </c>
      <c r="D1997" t="s">
        <v>5938</v>
      </c>
      <c r="E1997" t="s">
        <v>5939</v>
      </c>
      <c r="F1997" t="s">
        <v>5940</v>
      </c>
      <c r="G1997" t="s">
        <v>1309</v>
      </c>
    </row>
    <row r="1998" spans="1:7" x14ac:dyDescent="0.25">
      <c r="A1998">
        <v>4217</v>
      </c>
      <c r="B1998">
        <v>813</v>
      </c>
      <c r="C1998" t="s">
        <v>898</v>
      </c>
      <c r="D1998" t="s">
        <v>1479</v>
      </c>
      <c r="F1998" t="s">
        <v>5941</v>
      </c>
      <c r="G1998" t="s">
        <v>2758</v>
      </c>
    </row>
    <row r="1999" spans="1:7" x14ac:dyDescent="0.25">
      <c r="A1999">
        <v>4218</v>
      </c>
      <c r="B1999">
        <v>813</v>
      </c>
      <c r="C1999" t="s">
        <v>898</v>
      </c>
      <c r="D1999" t="s">
        <v>1378</v>
      </c>
      <c r="F1999" t="s">
        <v>5941</v>
      </c>
      <c r="G1999" t="s">
        <v>4442</v>
      </c>
    </row>
    <row r="2000" spans="1:7" x14ac:dyDescent="0.25">
      <c r="A2000">
        <v>4219</v>
      </c>
      <c r="B2000">
        <v>813</v>
      </c>
      <c r="C2000" t="s">
        <v>898</v>
      </c>
      <c r="D2000" t="s">
        <v>1230</v>
      </c>
      <c r="F2000" t="s">
        <v>5941</v>
      </c>
      <c r="G2000" t="s">
        <v>4447</v>
      </c>
    </row>
    <row r="2001" spans="1:7" x14ac:dyDescent="0.25">
      <c r="A2001">
        <v>4220</v>
      </c>
      <c r="B2001">
        <v>813</v>
      </c>
      <c r="C2001" t="s">
        <v>898</v>
      </c>
      <c r="D2001" t="s">
        <v>2710</v>
      </c>
      <c r="F2001" t="s">
        <v>5941</v>
      </c>
      <c r="G2001" t="s">
        <v>4444</v>
      </c>
    </row>
    <row r="2002" spans="1:7" x14ac:dyDescent="0.25">
      <c r="A2002">
        <v>4221</v>
      </c>
      <c r="B2002">
        <v>813</v>
      </c>
      <c r="C2002" t="s">
        <v>898</v>
      </c>
      <c r="D2002" t="s">
        <v>5942</v>
      </c>
      <c r="F2002" t="s">
        <v>5941</v>
      </c>
      <c r="G2002" t="s">
        <v>4442</v>
      </c>
    </row>
    <row r="2003" spans="1:7" x14ac:dyDescent="0.25">
      <c r="A2003">
        <v>4222</v>
      </c>
      <c r="B2003">
        <v>813</v>
      </c>
      <c r="C2003" t="s">
        <v>898</v>
      </c>
      <c r="D2003" t="s">
        <v>5943</v>
      </c>
      <c r="F2003" t="s">
        <v>5941</v>
      </c>
      <c r="G2003" t="s">
        <v>4442</v>
      </c>
    </row>
    <row r="2004" spans="1:7" x14ac:dyDescent="0.25">
      <c r="A2004">
        <v>4223</v>
      </c>
      <c r="B2004">
        <v>813</v>
      </c>
      <c r="C2004" t="s">
        <v>898</v>
      </c>
      <c r="D2004" t="s">
        <v>5944</v>
      </c>
      <c r="F2004" t="s">
        <v>5941</v>
      </c>
      <c r="G2004" t="s">
        <v>4447</v>
      </c>
    </row>
    <row r="2005" spans="1:7" x14ac:dyDescent="0.25">
      <c r="A2005">
        <v>4224</v>
      </c>
      <c r="B2005">
        <v>813</v>
      </c>
      <c r="C2005" t="s">
        <v>898</v>
      </c>
      <c r="D2005" t="s">
        <v>5945</v>
      </c>
      <c r="F2005" t="s">
        <v>5941</v>
      </c>
      <c r="G2005" t="s">
        <v>919</v>
      </c>
    </row>
    <row r="2006" spans="1:7" x14ac:dyDescent="0.25">
      <c r="A2006">
        <v>4225</v>
      </c>
      <c r="B2006">
        <v>625</v>
      </c>
      <c r="C2006" t="s">
        <v>898</v>
      </c>
      <c r="D2006" t="s">
        <v>5946</v>
      </c>
      <c r="E2006" t="s">
        <v>5947</v>
      </c>
      <c r="F2006" t="s">
        <v>5890</v>
      </c>
      <c r="G2006" t="s">
        <v>1309</v>
      </c>
    </row>
    <row r="2007" spans="1:7" x14ac:dyDescent="0.25">
      <c r="A2007">
        <v>4226</v>
      </c>
      <c r="B2007">
        <v>25</v>
      </c>
      <c r="C2007" t="s">
        <v>894</v>
      </c>
      <c r="D2007" t="s">
        <v>952</v>
      </c>
      <c r="E2007" t="s">
        <v>5948</v>
      </c>
      <c r="F2007" t="s">
        <v>2131</v>
      </c>
      <c r="G2007" t="s">
        <v>4442</v>
      </c>
    </row>
    <row r="2008" spans="1:7" x14ac:dyDescent="0.25">
      <c r="A2008">
        <v>4227</v>
      </c>
      <c r="B2008">
        <v>25</v>
      </c>
      <c r="C2008" t="s">
        <v>894</v>
      </c>
      <c r="D2008" t="s">
        <v>5949</v>
      </c>
      <c r="E2008" t="s">
        <v>5950</v>
      </c>
      <c r="F2008" t="s">
        <v>2131</v>
      </c>
      <c r="G2008" t="s">
        <v>4447</v>
      </c>
    </row>
    <row r="2009" spans="1:7" x14ac:dyDescent="0.25">
      <c r="A2009">
        <v>4228</v>
      </c>
      <c r="B2009">
        <v>25</v>
      </c>
      <c r="C2009" t="s">
        <v>894</v>
      </c>
      <c r="D2009" t="s">
        <v>5951</v>
      </c>
      <c r="E2009" t="s">
        <v>5952</v>
      </c>
      <c r="F2009" t="s">
        <v>2131</v>
      </c>
      <c r="G2009" t="s">
        <v>4447</v>
      </c>
    </row>
    <row r="2010" spans="1:7" x14ac:dyDescent="0.25">
      <c r="A2010">
        <v>4229</v>
      </c>
      <c r="B2010">
        <v>25</v>
      </c>
      <c r="C2010" t="s">
        <v>894</v>
      </c>
      <c r="D2010" t="s">
        <v>5953</v>
      </c>
      <c r="E2010" t="s">
        <v>5954</v>
      </c>
      <c r="F2010" t="s">
        <v>2131</v>
      </c>
      <c r="G2010" t="s">
        <v>4447</v>
      </c>
    </row>
    <row r="2011" spans="1:7" x14ac:dyDescent="0.25">
      <c r="A2011">
        <v>4230</v>
      </c>
      <c r="B2011">
        <v>25</v>
      </c>
      <c r="C2011" t="s">
        <v>894</v>
      </c>
      <c r="D2011" t="s">
        <v>5955</v>
      </c>
      <c r="E2011" t="s">
        <v>5956</v>
      </c>
      <c r="G2011" t="s">
        <v>4448</v>
      </c>
    </row>
    <row r="2012" spans="1:7" x14ac:dyDescent="0.25">
      <c r="A2012">
        <v>4231</v>
      </c>
      <c r="B2012">
        <v>814</v>
      </c>
      <c r="C2012" t="s">
        <v>898</v>
      </c>
      <c r="D2012" t="s">
        <v>1137</v>
      </c>
      <c r="F2012" t="s">
        <v>5957</v>
      </c>
      <c r="G2012" t="s">
        <v>4444</v>
      </c>
    </row>
    <row r="2013" spans="1:7" x14ac:dyDescent="0.25">
      <c r="A2013">
        <v>4232</v>
      </c>
      <c r="B2013">
        <v>814</v>
      </c>
      <c r="C2013" t="s">
        <v>898</v>
      </c>
      <c r="D2013" t="s">
        <v>4764</v>
      </c>
      <c r="F2013" t="s">
        <v>5957</v>
      </c>
      <c r="G2013" t="s">
        <v>919</v>
      </c>
    </row>
    <row r="2014" spans="1:7" x14ac:dyDescent="0.25">
      <c r="A2014">
        <v>4233</v>
      </c>
      <c r="B2014">
        <v>814</v>
      </c>
      <c r="C2014" t="s">
        <v>898</v>
      </c>
      <c r="D2014" t="s">
        <v>1228</v>
      </c>
      <c r="F2014" t="s">
        <v>5957</v>
      </c>
      <c r="G2014" t="s">
        <v>4447</v>
      </c>
    </row>
    <row r="2015" spans="1:7" x14ac:dyDescent="0.25">
      <c r="A2015">
        <v>4234</v>
      </c>
      <c r="B2015">
        <v>814</v>
      </c>
      <c r="C2015" t="s">
        <v>898</v>
      </c>
      <c r="D2015" t="s">
        <v>1972</v>
      </c>
      <c r="F2015" t="s">
        <v>5957</v>
      </c>
      <c r="G2015" t="s">
        <v>4447</v>
      </c>
    </row>
    <row r="2016" spans="1:7" x14ac:dyDescent="0.25">
      <c r="A2016">
        <v>4236</v>
      </c>
      <c r="B2016">
        <v>814</v>
      </c>
      <c r="C2016" t="s">
        <v>898</v>
      </c>
      <c r="D2016" t="s">
        <v>2416</v>
      </c>
      <c r="F2016" t="s">
        <v>5957</v>
      </c>
      <c r="G2016" t="s">
        <v>4441</v>
      </c>
    </row>
    <row r="2017" spans="1:8" x14ac:dyDescent="0.25">
      <c r="A2017">
        <v>4237</v>
      </c>
      <c r="B2017">
        <v>814</v>
      </c>
      <c r="C2017" t="s">
        <v>898</v>
      </c>
      <c r="D2017" t="s">
        <v>5958</v>
      </c>
      <c r="F2017" t="s">
        <v>5957</v>
      </c>
      <c r="G2017" t="s">
        <v>4445</v>
      </c>
    </row>
    <row r="2018" spans="1:8" x14ac:dyDescent="0.25">
      <c r="A2018">
        <v>4238</v>
      </c>
      <c r="B2018">
        <v>814</v>
      </c>
      <c r="C2018" t="s">
        <v>898</v>
      </c>
      <c r="D2018" t="s">
        <v>5959</v>
      </c>
      <c r="F2018" t="s">
        <v>5957</v>
      </c>
    </row>
    <row r="2019" spans="1:8" x14ac:dyDescent="0.25">
      <c r="A2019">
        <v>4239</v>
      </c>
      <c r="B2019">
        <v>814</v>
      </c>
      <c r="C2019" t="s">
        <v>898</v>
      </c>
      <c r="D2019" t="s">
        <v>2664</v>
      </c>
      <c r="F2019" t="s">
        <v>5957</v>
      </c>
      <c r="G2019" t="s">
        <v>2758</v>
      </c>
    </row>
    <row r="2020" spans="1:8" x14ac:dyDescent="0.25">
      <c r="A2020">
        <v>4240</v>
      </c>
      <c r="B2020">
        <v>814</v>
      </c>
      <c r="C2020" t="s">
        <v>898</v>
      </c>
      <c r="D2020" t="s">
        <v>5960</v>
      </c>
      <c r="F2020" t="s">
        <v>5957</v>
      </c>
      <c r="G2020" t="s">
        <v>4442</v>
      </c>
    </row>
    <row r="2021" spans="1:8" x14ac:dyDescent="0.25">
      <c r="A2021">
        <v>4241</v>
      </c>
      <c r="B2021">
        <v>814</v>
      </c>
      <c r="C2021" t="s">
        <v>898</v>
      </c>
      <c r="D2021" t="s">
        <v>5961</v>
      </c>
      <c r="F2021" t="s">
        <v>5957</v>
      </c>
      <c r="G2021" t="s">
        <v>4440</v>
      </c>
    </row>
    <row r="2022" spans="1:8" x14ac:dyDescent="0.25">
      <c r="A2022">
        <v>4244</v>
      </c>
      <c r="B2022">
        <v>54</v>
      </c>
      <c r="C2022" t="s">
        <v>894</v>
      </c>
      <c r="D2022" t="s">
        <v>895</v>
      </c>
      <c r="E2022" t="s">
        <v>5962</v>
      </c>
      <c r="F2022" t="s">
        <v>1013</v>
      </c>
      <c r="G2022" t="s">
        <v>4448</v>
      </c>
      <c r="H2022">
        <v>900</v>
      </c>
    </row>
    <row r="2023" spans="1:8" x14ac:dyDescent="0.25">
      <c r="A2023">
        <v>4245</v>
      </c>
      <c r="B2023">
        <v>54</v>
      </c>
      <c r="C2023" t="s">
        <v>894</v>
      </c>
      <c r="D2023" t="s">
        <v>1458</v>
      </c>
      <c r="E2023" t="s">
        <v>5963</v>
      </c>
      <c r="F2023" t="s">
        <v>1008</v>
      </c>
      <c r="G2023" t="s">
        <v>4448</v>
      </c>
      <c r="H2023">
        <v>1500</v>
      </c>
    </row>
    <row r="2024" spans="1:8" x14ac:dyDescent="0.25">
      <c r="A2024">
        <v>4246</v>
      </c>
      <c r="B2024">
        <v>793</v>
      </c>
      <c r="C2024" t="s">
        <v>894</v>
      </c>
      <c r="D2024" t="s">
        <v>5964</v>
      </c>
      <c r="E2024" t="s">
        <v>5965</v>
      </c>
      <c r="F2024" t="s">
        <v>1063</v>
      </c>
      <c r="G2024" t="s">
        <v>4445</v>
      </c>
      <c r="H2024">
        <v>400</v>
      </c>
    </row>
    <row r="2025" spans="1:8" x14ac:dyDescent="0.25">
      <c r="A2025">
        <v>4253</v>
      </c>
      <c r="B2025">
        <v>746</v>
      </c>
      <c r="C2025" t="s">
        <v>1188</v>
      </c>
      <c r="D2025" t="s">
        <v>1205</v>
      </c>
      <c r="F2025" t="s">
        <v>5966</v>
      </c>
      <c r="G2025" t="s">
        <v>4441</v>
      </c>
    </row>
    <row r="2026" spans="1:8" x14ac:dyDescent="0.25">
      <c r="A2026">
        <v>4254</v>
      </c>
      <c r="B2026">
        <v>42</v>
      </c>
      <c r="C2026" t="s">
        <v>894</v>
      </c>
      <c r="D2026" t="s">
        <v>5967</v>
      </c>
      <c r="E2026" t="s">
        <v>5968</v>
      </c>
      <c r="F2026" t="s">
        <v>1136</v>
      </c>
      <c r="G2026" t="s">
        <v>4447</v>
      </c>
    </row>
    <row r="2027" spans="1:8" x14ac:dyDescent="0.25">
      <c r="A2027">
        <v>4257</v>
      </c>
      <c r="B2027">
        <v>42</v>
      </c>
      <c r="C2027" t="s">
        <v>894</v>
      </c>
      <c r="D2027" t="s">
        <v>2026</v>
      </c>
      <c r="E2027" t="s">
        <v>5969</v>
      </c>
      <c r="F2027" t="s">
        <v>1136</v>
      </c>
      <c r="G2027" t="s">
        <v>919</v>
      </c>
      <c r="H2027">
        <v>1</v>
      </c>
    </row>
    <row r="2028" spans="1:8" x14ac:dyDescent="0.25">
      <c r="A2028">
        <v>4260</v>
      </c>
      <c r="B2028">
        <v>351</v>
      </c>
      <c r="C2028" t="s">
        <v>898</v>
      </c>
      <c r="D2028" t="s">
        <v>5970</v>
      </c>
      <c r="E2028" t="s">
        <v>5971</v>
      </c>
      <c r="F2028" t="s">
        <v>5972</v>
      </c>
    </row>
    <row r="2029" spans="1:8" x14ac:dyDescent="0.25">
      <c r="A2029">
        <v>4261</v>
      </c>
      <c r="B2029">
        <v>39</v>
      </c>
      <c r="C2029" t="s">
        <v>894</v>
      </c>
      <c r="D2029" t="s">
        <v>5973</v>
      </c>
      <c r="E2029" t="s">
        <v>5974</v>
      </c>
      <c r="F2029" t="s">
        <v>5975</v>
      </c>
    </row>
    <row r="2030" spans="1:8" x14ac:dyDescent="0.25">
      <c r="A2030">
        <v>4262</v>
      </c>
      <c r="B2030">
        <v>372</v>
      </c>
      <c r="C2030" t="s">
        <v>898</v>
      </c>
      <c r="D2030" t="s">
        <v>5976</v>
      </c>
      <c r="E2030" t="s">
        <v>5977</v>
      </c>
      <c r="F2030" t="s">
        <v>5978</v>
      </c>
    </row>
    <row r="2031" spans="1:8" x14ac:dyDescent="0.25">
      <c r="A2031">
        <v>4265</v>
      </c>
      <c r="B2031">
        <v>151</v>
      </c>
      <c r="C2031" t="s">
        <v>894</v>
      </c>
      <c r="D2031" t="s">
        <v>5979</v>
      </c>
      <c r="F2031" t="s">
        <v>1267</v>
      </c>
      <c r="G2031" t="s">
        <v>919</v>
      </c>
    </row>
    <row r="2032" spans="1:8" x14ac:dyDescent="0.25">
      <c r="A2032">
        <v>4266</v>
      </c>
      <c r="B2032">
        <v>151</v>
      </c>
      <c r="C2032" t="s">
        <v>894</v>
      </c>
      <c r="D2032" t="s">
        <v>5980</v>
      </c>
      <c r="F2032" t="s">
        <v>1267</v>
      </c>
    </row>
    <row r="2033" spans="1:7" x14ac:dyDescent="0.25">
      <c r="A2033">
        <v>4274</v>
      </c>
      <c r="B2033">
        <v>542</v>
      </c>
      <c r="C2033" t="s">
        <v>894</v>
      </c>
      <c r="D2033" t="s">
        <v>5981</v>
      </c>
      <c r="E2033" t="s">
        <v>5982</v>
      </c>
      <c r="F2033" t="s">
        <v>2349</v>
      </c>
      <c r="G2033" t="s">
        <v>4448</v>
      </c>
    </row>
    <row r="2034" spans="1:7" x14ac:dyDescent="0.25">
      <c r="A2034">
        <v>4275</v>
      </c>
      <c r="B2034">
        <v>542</v>
      </c>
      <c r="C2034" t="s">
        <v>894</v>
      </c>
      <c r="D2034" t="s">
        <v>966</v>
      </c>
      <c r="E2034" t="s">
        <v>5983</v>
      </c>
      <c r="F2034" t="s">
        <v>2349</v>
      </c>
      <c r="G2034" t="s">
        <v>2758</v>
      </c>
    </row>
    <row r="2035" spans="1:7" x14ac:dyDescent="0.25">
      <c r="A2035">
        <v>4276</v>
      </c>
      <c r="B2035">
        <v>542</v>
      </c>
      <c r="C2035" t="s">
        <v>894</v>
      </c>
      <c r="D2035" t="s">
        <v>5984</v>
      </c>
      <c r="E2035" t="s">
        <v>5985</v>
      </c>
      <c r="F2035" t="s">
        <v>2349</v>
      </c>
      <c r="G2035" t="s">
        <v>1309</v>
      </c>
    </row>
    <row r="2036" spans="1:7" x14ac:dyDescent="0.25">
      <c r="A2036">
        <v>4277</v>
      </c>
      <c r="B2036">
        <v>542</v>
      </c>
      <c r="C2036" t="s">
        <v>894</v>
      </c>
      <c r="D2036" t="s">
        <v>5986</v>
      </c>
      <c r="E2036" t="s">
        <v>5987</v>
      </c>
      <c r="F2036" t="s">
        <v>2349</v>
      </c>
      <c r="G2036" t="s">
        <v>1125</v>
      </c>
    </row>
    <row r="2037" spans="1:7" x14ac:dyDescent="0.25">
      <c r="A2037">
        <v>4278</v>
      </c>
      <c r="B2037">
        <v>542</v>
      </c>
      <c r="C2037" t="s">
        <v>894</v>
      </c>
      <c r="D2037" t="s">
        <v>5988</v>
      </c>
      <c r="F2037" t="s">
        <v>2349</v>
      </c>
      <c r="G2037" t="s">
        <v>4448</v>
      </c>
    </row>
    <row r="2038" spans="1:7" x14ac:dyDescent="0.25">
      <c r="A2038">
        <v>4279</v>
      </c>
      <c r="B2038">
        <v>542</v>
      </c>
      <c r="C2038" t="s">
        <v>894</v>
      </c>
      <c r="D2038" t="s">
        <v>5989</v>
      </c>
      <c r="F2038" t="s">
        <v>2349</v>
      </c>
      <c r="G2038" t="s">
        <v>1262</v>
      </c>
    </row>
    <row r="2039" spans="1:7" x14ac:dyDescent="0.25">
      <c r="A2039">
        <v>4280</v>
      </c>
      <c r="B2039">
        <v>542</v>
      </c>
      <c r="C2039" t="s">
        <v>894</v>
      </c>
      <c r="D2039" t="s">
        <v>5990</v>
      </c>
      <c r="F2039" t="s">
        <v>2349</v>
      </c>
      <c r="G2039" t="s">
        <v>4442</v>
      </c>
    </row>
    <row r="2040" spans="1:7" x14ac:dyDescent="0.25">
      <c r="A2040">
        <v>4281</v>
      </c>
      <c r="B2040">
        <v>542</v>
      </c>
      <c r="C2040" t="s">
        <v>894</v>
      </c>
      <c r="D2040" t="s">
        <v>5991</v>
      </c>
      <c r="F2040" t="s">
        <v>2349</v>
      </c>
      <c r="G2040" t="s">
        <v>1125</v>
      </c>
    </row>
    <row r="2041" spans="1:7" x14ac:dyDescent="0.25">
      <c r="A2041">
        <v>4282</v>
      </c>
      <c r="B2041">
        <v>542</v>
      </c>
      <c r="C2041" t="s">
        <v>894</v>
      </c>
      <c r="D2041" t="s">
        <v>939</v>
      </c>
      <c r="E2041" t="s">
        <v>5992</v>
      </c>
      <c r="F2041" t="s">
        <v>2349</v>
      </c>
      <c r="G2041" t="s">
        <v>919</v>
      </c>
    </row>
    <row r="2042" spans="1:7" x14ac:dyDescent="0.25">
      <c r="A2042">
        <v>4283</v>
      </c>
      <c r="B2042">
        <v>542</v>
      </c>
      <c r="C2042" t="s">
        <v>894</v>
      </c>
      <c r="D2042" t="s">
        <v>5993</v>
      </c>
      <c r="F2042" t="s">
        <v>2349</v>
      </c>
      <c r="G2042" t="s">
        <v>4454</v>
      </c>
    </row>
    <row r="2043" spans="1:7" x14ac:dyDescent="0.25">
      <c r="A2043">
        <v>4284</v>
      </c>
      <c r="B2043">
        <v>542</v>
      </c>
      <c r="C2043" t="s">
        <v>894</v>
      </c>
      <c r="D2043" t="s">
        <v>5994</v>
      </c>
      <c r="F2043" t="s">
        <v>2349</v>
      </c>
      <c r="G2043" t="s">
        <v>4445</v>
      </c>
    </row>
    <row r="2044" spans="1:7" x14ac:dyDescent="0.25">
      <c r="A2044">
        <v>4286</v>
      </c>
      <c r="B2044">
        <v>820</v>
      </c>
      <c r="C2044" t="s">
        <v>898</v>
      </c>
      <c r="D2044" t="s">
        <v>1479</v>
      </c>
      <c r="F2044" t="s">
        <v>5995</v>
      </c>
      <c r="G2044" t="s">
        <v>2758</v>
      </c>
    </row>
    <row r="2045" spans="1:7" x14ac:dyDescent="0.25">
      <c r="A2045">
        <v>4287</v>
      </c>
      <c r="B2045">
        <v>820</v>
      </c>
      <c r="C2045" t="s">
        <v>898</v>
      </c>
      <c r="D2045" t="s">
        <v>5996</v>
      </c>
      <c r="E2045" t="s">
        <v>5997</v>
      </c>
      <c r="F2045" t="s">
        <v>5995</v>
      </c>
      <c r="G2045" t="s">
        <v>4442</v>
      </c>
    </row>
    <row r="2046" spans="1:7" x14ac:dyDescent="0.25">
      <c r="A2046">
        <v>4288</v>
      </c>
      <c r="B2046">
        <v>820</v>
      </c>
      <c r="C2046" t="s">
        <v>898</v>
      </c>
      <c r="D2046" t="s">
        <v>5996</v>
      </c>
      <c r="F2046" t="s">
        <v>5995</v>
      </c>
      <c r="G2046" t="s">
        <v>4442</v>
      </c>
    </row>
    <row r="2047" spans="1:7" x14ac:dyDescent="0.25">
      <c r="A2047">
        <v>4289</v>
      </c>
      <c r="B2047">
        <v>820</v>
      </c>
      <c r="C2047" t="s">
        <v>898</v>
      </c>
      <c r="D2047" t="s">
        <v>1230</v>
      </c>
      <c r="F2047" t="s">
        <v>5995</v>
      </c>
      <c r="G2047" t="s">
        <v>4447</v>
      </c>
    </row>
    <row r="2048" spans="1:7" x14ac:dyDescent="0.25">
      <c r="A2048">
        <v>4290</v>
      </c>
      <c r="B2048">
        <v>820</v>
      </c>
      <c r="C2048" t="s">
        <v>898</v>
      </c>
      <c r="D2048" t="s">
        <v>4955</v>
      </c>
      <c r="F2048" t="s">
        <v>5995</v>
      </c>
      <c r="G2048" t="s">
        <v>4447</v>
      </c>
    </row>
    <row r="2049" spans="1:7" x14ac:dyDescent="0.25">
      <c r="A2049">
        <v>4291</v>
      </c>
      <c r="B2049">
        <v>820</v>
      </c>
      <c r="C2049" t="s">
        <v>898</v>
      </c>
      <c r="D2049" t="s">
        <v>1221</v>
      </c>
      <c r="F2049" t="s">
        <v>5995</v>
      </c>
      <c r="G2049" t="s">
        <v>4444</v>
      </c>
    </row>
    <row r="2050" spans="1:7" x14ac:dyDescent="0.25">
      <c r="A2050">
        <v>4292</v>
      </c>
      <c r="B2050">
        <v>820</v>
      </c>
      <c r="C2050" t="s">
        <v>898</v>
      </c>
      <c r="D2050" t="s">
        <v>5945</v>
      </c>
      <c r="F2050" t="s">
        <v>5995</v>
      </c>
      <c r="G2050" t="s">
        <v>919</v>
      </c>
    </row>
    <row r="2051" spans="1:7" x14ac:dyDescent="0.25">
      <c r="A2051">
        <v>4294</v>
      </c>
      <c r="B2051">
        <v>763</v>
      </c>
      <c r="C2051" t="s">
        <v>1188</v>
      </c>
      <c r="D2051" t="s">
        <v>5508</v>
      </c>
      <c r="F2051" t="s">
        <v>5543</v>
      </c>
      <c r="G2051" t="s">
        <v>4442</v>
      </c>
    </row>
    <row r="2052" spans="1:7" x14ac:dyDescent="0.25">
      <c r="A2052">
        <v>4295</v>
      </c>
      <c r="B2052">
        <v>763</v>
      </c>
      <c r="C2052" t="s">
        <v>1188</v>
      </c>
      <c r="D2052" t="s">
        <v>5998</v>
      </c>
      <c r="F2052" t="s">
        <v>5543</v>
      </c>
    </row>
    <row r="2053" spans="1:7" x14ac:dyDescent="0.25">
      <c r="A2053">
        <v>4296</v>
      </c>
      <c r="B2053">
        <v>763</v>
      </c>
      <c r="C2053" t="s">
        <v>1188</v>
      </c>
      <c r="D2053" t="s">
        <v>5694</v>
      </c>
      <c r="F2053" t="s">
        <v>5543</v>
      </c>
      <c r="G2053" t="s">
        <v>4447</v>
      </c>
    </row>
    <row r="2054" spans="1:7" x14ac:dyDescent="0.25">
      <c r="A2054">
        <v>4297</v>
      </c>
      <c r="B2054">
        <v>763</v>
      </c>
      <c r="C2054" t="s">
        <v>1188</v>
      </c>
      <c r="D2054" t="s">
        <v>1921</v>
      </c>
      <c r="F2054" t="s">
        <v>5543</v>
      </c>
      <c r="G2054" t="s">
        <v>919</v>
      </c>
    </row>
    <row r="2055" spans="1:7" x14ac:dyDescent="0.25">
      <c r="A2055">
        <v>4298</v>
      </c>
      <c r="B2055">
        <v>763</v>
      </c>
      <c r="C2055" t="s">
        <v>1188</v>
      </c>
      <c r="D2055" t="s">
        <v>1189</v>
      </c>
      <c r="F2055" t="s">
        <v>5543</v>
      </c>
      <c r="G2055" t="s">
        <v>4444</v>
      </c>
    </row>
    <row r="2056" spans="1:7" x14ac:dyDescent="0.25">
      <c r="A2056">
        <v>4299</v>
      </c>
      <c r="B2056">
        <v>763</v>
      </c>
      <c r="C2056" t="s">
        <v>1188</v>
      </c>
      <c r="D2056" t="s">
        <v>5999</v>
      </c>
      <c r="F2056" t="s">
        <v>5543</v>
      </c>
      <c r="G2056" t="s">
        <v>4442</v>
      </c>
    </row>
    <row r="2057" spans="1:7" x14ac:dyDescent="0.25">
      <c r="A2057">
        <v>4300</v>
      </c>
      <c r="B2057">
        <v>763</v>
      </c>
      <c r="C2057" t="s">
        <v>1188</v>
      </c>
      <c r="D2057" t="s">
        <v>6000</v>
      </c>
      <c r="F2057" t="s">
        <v>5543</v>
      </c>
      <c r="G2057" t="s">
        <v>1670</v>
      </c>
    </row>
    <row r="2058" spans="1:7" x14ac:dyDescent="0.25">
      <c r="A2058">
        <v>4302</v>
      </c>
      <c r="B2058">
        <v>339</v>
      </c>
      <c r="C2058" t="s">
        <v>894</v>
      </c>
      <c r="D2058" t="s">
        <v>5619</v>
      </c>
      <c r="E2058" t="s">
        <v>6001</v>
      </c>
      <c r="F2058" t="s">
        <v>1569</v>
      </c>
      <c r="G2058" t="s">
        <v>4447</v>
      </c>
    </row>
    <row r="2059" spans="1:7" x14ac:dyDescent="0.25">
      <c r="A2059">
        <v>4303</v>
      </c>
      <c r="B2059">
        <v>339</v>
      </c>
      <c r="C2059" t="s">
        <v>894</v>
      </c>
      <c r="D2059" t="s">
        <v>6002</v>
      </c>
      <c r="E2059" t="s">
        <v>6003</v>
      </c>
      <c r="F2059" t="s">
        <v>1569</v>
      </c>
      <c r="G2059" t="s">
        <v>4445</v>
      </c>
    </row>
    <row r="2060" spans="1:7" x14ac:dyDescent="0.25">
      <c r="A2060">
        <v>4304</v>
      </c>
      <c r="B2060">
        <v>111</v>
      </c>
      <c r="C2060" t="s">
        <v>898</v>
      </c>
      <c r="D2060" t="s">
        <v>1815</v>
      </c>
      <c r="F2060" t="s">
        <v>5629</v>
      </c>
      <c r="G2060" t="s">
        <v>4441</v>
      </c>
    </row>
    <row r="2061" spans="1:7" x14ac:dyDescent="0.25">
      <c r="A2061">
        <v>4305</v>
      </c>
      <c r="B2061">
        <v>111</v>
      </c>
      <c r="C2061" t="s">
        <v>898</v>
      </c>
      <c r="D2061" t="s">
        <v>6004</v>
      </c>
      <c r="F2061" t="s">
        <v>6005</v>
      </c>
      <c r="G2061" t="s">
        <v>4448</v>
      </c>
    </row>
    <row r="2062" spans="1:7" x14ac:dyDescent="0.25">
      <c r="A2062">
        <v>4306</v>
      </c>
      <c r="B2062">
        <v>111</v>
      </c>
      <c r="C2062" t="s">
        <v>898</v>
      </c>
      <c r="D2062" t="s">
        <v>6006</v>
      </c>
      <c r="F2062" t="s">
        <v>6007</v>
      </c>
      <c r="G2062" t="s">
        <v>1670</v>
      </c>
    </row>
    <row r="2063" spans="1:7" x14ac:dyDescent="0.25">
      <c r="A2063">
        <v>4307</v>
      </c>
      <c r="B2063">
        <v>111</v>
      </c>
      <c r="C2063" t="s">
        <v>898</v>
      </c>
      <c r="D2063" t="s">
        <v>6008</v>
      </c>
      <c r="F2063" t="s">
        <v>6009</v>
      </c>
    </row>
    <row r="2064" spans="1:7" x14ac:dyDescent="0.25">
      <c r="A2064">
        <v>4308</v>
      </c>
      <c r="B2064">
        <v>117</v>
      </c>
      <c r="C2064" t="s">
        <v>898</v>
      </c>
      <c r="D2064" t="s">
        <v>6010</v>
      </c>
      <c r="F2064" t="s">
        <v>1216</v>
      </c>
      <c r="G2064" t="s">
        <v>2758</v>
      </c>
    </row>
    <row r="2065" spans="1:7" x14ac:dyDescent="0.25">
      <c r="A2065">
        <v>4309</v>
      </c>
      <c r="B2065">
        <v>732</v>
      </c>
      <c r="C2065" t="s">
        <v>1188</v>
      </c>
      <c r="D2065" t="s">
        <v>6011</v>
      </c>
      <c r="F2065" t="s">
        <v>6012</v>
      </c>
      <c r="G2065" t="s">
        <v>4440</v>
      </c>
    </row>
    <row r="2066" spans="1:7" x14ac:dyDescent="0.25">
      <c r="A2066">
        <v>4310</v>
      </c>
      <c r="B2066">
        <v>732</v>
      </c>
      <c r="C2066" t="s">
        <v>1188</v>
      </c>
      <c r="D2066" t="s">
        <v>6013</v>
      </c>
      <c r="F2066" t="s">
        <v>5343</v>
      </c>
      <c r="G2066" t="s">
        <v>4445</v>
      </c>
    </row>
    <row r="2067" spans="1:7" x14ac:dyDescent="0.25">
      <c r="A2067">
        <v>4312</v>
      </c>
      <c r="B2067">
        <v>150</v>
      </c>
      <c r="C2067" t="s">
        <v>894</v>
      </c>
      <c r="D2067" t="s">
        <v>6014</v>
      </c>
      <c r="E2067" t="s">
        <v>6015</v>
      </c>
      <c r="F2067" t="s">
        <v>5608</v>
      </c>
      <c r="G2067" t="s">
        <v>4447</v>
      </c>
    </row>
    <row r="2068" spans="1:7" x14ac:dyDescent="0.25">
      <c r="A2068">
        <v>4313</v>
      </c>
      <c r="B2068">
        <v>88</v>
      </c>
      <c r="C2068" t="s">
        <v>894</v>
      </c>
      <c r="D2068" t="s">
        <v>6016</v>
      </c>
      <c r="E2068" t="s">
        <v>6017</v>
      </c>
      <c r="F2068" t="s">
        <v>1988</v>
      </c>
      <c r="G2068" t="s">
        <v>4448</v>
      </c>
    </row>
    <row r="2069" spans="1:7" x14ac:dyDescent="0.25">
      <c r="A2069">
        <v>4314</v>
      </c>
      <c r="B2069">
        <v>821</v>
      </c>
      <c r="C2069" t="s">
        <v>894</v>
      </c>
      <c r="D2069" t="s">
        <v>2132</v>
      </c>
      <c r="F2069" t="s">
        <v>6018</v>
      </c>
      <c r="G2069" t="s">
        <v>4442</v>
      </c>
    </row>
    <row r="2070" spans="1:7" x14ac:dyDescent="0.25">
      <c r="A2070">
        <v>4315</v>
      </c>
      <c r="B2070">
        <v>821</v>
      </c>
      <c r="C2070" t="s">
        <v>894</v>
      </c>
      <c r="D2070" t="s">
        <v>1525</v>
      </c>
      <c r="F2070" t="s">
        <v>6018</v>
      </c>
      <c r="G2070" t="s">
        <v>4442</v>
      </c>
    </row>
    <row r="2071" spans="1:7" x14ac:dyDescent="0.25">
      <c r="A2071">
        <v>4316</v>
      </c>
      <c r="B2071">
        <v>821</v>
      </c>
      <c r="C2071" t="s">
        <v>894</v>
      </c>
      <c r="D2071" t="s">
        <v>6019</v>
      </c>
      <c r="F2071" t="s">
        <v>6018</v>
      </c>
      <c r="G2071" t="s">
        <v>4447</v>
      </c>
    </row>
    <row r="2072" spans="1:7" x14ac:dyDescent="0.25">
      <c r="A2072">
        <v>4317</v>
      </c>
      <c r="B2072">
        <v>821</v>
      </c>
      <c r="C2072" t="s">
        <v>894</v>
      </c>
      <c r="D2072" t="s">
        <v>5693</v>
      </c>
      <c r="F2072" t="s">
        <v>6018</v>
      </c>
      <c r="G2072" t="s">
        <v>4447</v>
      </c>
    </row>
    <row r="2073" spans="1:7" x14ac:dyDescent="0.25">
      <c r="A2073">
        <v>4318</v>
      </c>
      <c r="B2073">
        <v>821</v>
      </c>
      <c r="C2073" t="s">
        <v>894</v>
      </c>
      <c r="D2073" t="s">
        <v>963</v>
      </c>
      <c r="F2073" t="s">
        <v>6018</v>
      </c>
      <c r="G2073" t="s">
        <v>4447</v>
      </c>
    </row>
    <row r="2074" spans="1:7" x14ac:dyDescent="0.25">
      <c r="A2074">
        <v>4319</v>
      </c>
      <c r="B2074">
        <v>821</v>
      </c>
      <c r="C2074" t="s">
        <v>894</v>
      </c>
      <c r="D2074" t="s">
        <v>1673</v>
      </c>
      <c r="F2074" t="s">
        <v>6018</v>
      </c>
      <c r="G2074" t="s">
        <v>4447</v>
      </c>
    </row>
    <row r="2075" spans="1:7" x14ac:dyDescent="0.25">
      <c r="A2075">
        <v>4320</v>
      </c>
      <c r="B2075">
        <v>821</v>
      </c>
      <c r="C2075" t="s">
        <v>894</v>
      </c>
      <c r="D2075" t="s">
        <v>933</v>
      </c>
      <c r="F2075" t="s">
        <v>6018</v>
      </c>
      <c r="G2075" t="s">
        <v>4444</v>
      </c>
    </row>
    <row r="2076" spans="1:7" x14ac:dyDescent="0.25">
      <c r="A2076">
        <v>4321</v>
      </c>
      <c r="B2076">
        <v>821</v>
      </c>
      <c r="C2076" t="s">
        <v>894</v>
      </c>
      <c r="D2076" t="s">
        <v>917</v>
      </c>
      <c r="F2076" t="s">
        <v>6018</v>
      </c>
      <c r="G2076" t="s">
        <v>919</v>
      </c>
    </row>
    <row r="2077" spans="1:7" x14ac:dyDescent="0.25">
      <c r="A2077">
        <v>4322</v>
      </c>
      <c r="B2077">
        <v>821</v>
      </c>
      <c r="C2077" t="s">
        <v>894</v>
      </c>
      <c r="D2077" t="s">
        <v>6020</v>
      </c>
      <c r="F2077" t="s">
        <v>6018</v>
      </c>
      <c r="G2077" t="s">
        <v>4454</v>
      </c>
    </row>
    <row r="2078" spans="1:7" x14ac:dyDescent="0.25">
      <c r="A2078">
        <v>4323</v>
      </c>
      <c r="B2078">
        <v>821</v>
      </c>
      <c r="C2078" t="s">
        <v>894</v>
      </c>
      <c r="D2078" t="s">
        <v>6021</v>
      </c>
      <c r="F2078" t="s">
        <v>6018</v>
      </c>
      <c r="G2078" t="s">
        <v>4442</v>
      </c>
    </row>
    <row r="2079" spans="1:7" x14ac:dyDescent="0.25">
      <c r="A2079">
        <v>4324</v>
      </c>
      <c r="B2079">
        <v>821</v>
      </c>
      <c r="C2079" t="s">
        <v>894</v>
      </c>
      <c r="D2079" t="s">
        <v>1994</v>
      </c>
      <c r="F2079" t="s">
        <v>6018</v>
      </c>
      <c r="G2079" t="s">
        <v>2758</v>
      </c>
    </row>
    <row r="2080" spans="1:7" x14ac:dyDescent="0.25">
      <c r="A2080">
        <v>4325</v>
      </c>
      <c r="B2080">
        <v>821</v>
      </c>
      <c r="C2080" t="s">
        <v>894</v>
      </c>
      <c r="D2080" t="s">
        <v>1025</v>
      </c>
      <c r="F2080" t="s">
        <v>6018</v>
      </c>
      <c r="G2080" t="s">
        <v>4448</v>
      </c>
    </row>
    <row r="2081" spans="1:7" x14ac:dyDescent="0.25">
      <c r="A2081">
        <v>4326</v>
      </c>
      <c r="B2081">
        <v>821</v>
      </c>
      <c r="C2081" t="s">
        <v>894</v>
      </c>
      <c r="D2081" t="s">
        <v>6022</v>
      </c>
      <c r="F2081" t="s">
        <v>6018</v>
      </c>
      <c r="G2081" t="s">
        <v>4449</v>
      </c>
    </row>
    <row r="2082" spans="1:7" x14ac:dyDescent="0.25">
      <c r="A2082">
        <v>4331</v>
      </c>
      <c r="B2082">
        <v>66</v>
      </c>
      <c r="C2082" t="s">
        <v>894</v>
      </c>
      <c r="D2082" t="s">
        <v>6023</v>
      </c>
      <c r="F2082" t="s">
        <v>6024</v>
      </c>
      <c r="G2082" t="s">
        <v>4447</v>
      </c>
    </row>
    <row r="2083" spans="1:7" x14ac:dyDescent="0.25">
      <c r="A2083">
        <v>4332</v>
      </c>
      <c r="B2083">
        <v>784</v>
      </c>
      <c r="C2083" t="s">
        <v>898</v>
      </c>
      <c r="D2083" t="s">
        <v>4955</v>
      </c>
      <c r="F2083" t="s">
        <v>6025</v>
      </c>
      <c r="G2083" t="s">
        <v>4447</v>
      </c>
    </row>
    <row r="2084" spans="1:7" x14ac:dyDescent="0.25">
      <c r="A2084">
        <v>4333</v>
      </c>
      <c r="B2084">
        <v>784</v>
      </c>
      <c r="C2084" t="s">
        <v>898</v>
      </c>
      <c r="D2084" t="s">
        <v>6026</v>
      </c>
      <c r="F2084" t="s">
        <v>6027</v>
      </c>
      <c r="G2084" t="s">
        <v>4446</v>
      </c>
    </row>
    <row r="2085" spans="1:7" x14ac:dyDescent="0.25">
      <c r="A2085">
        <v>4334</v>
      </c>
      <c r="B2085">
        <v>784</v>
      </c>
      <c r="C2085" t="s">
        <v>898</v>
      </c>
      <c r="D2085" t="s">
        <v>6028</v>
      </c>
      <c r="F2085" t="s">
        <v>6029</v>
      </c>
      <c r="G2085" t="s">
        <v>1309</v>
      </c>
    </row>
    <row r="2086" spans="1:7" x14ac:dyDescent="0.25">
      <c r="A2086">
        <v>4335</v>
      </c>
      <c r="B2086">
        <v>675</v>
      </c>
      <c r="C2086" t="s">
        <v>898</v>
      </c>
      <c r="D2086" t="s">
        <v>6030</v>
      </c>
      <c r="F2086" t="s">
        <v>5091</v>
      </c>
      <c r="G2086" t="s">
        <v>4447</v>
      </c>
    </row>
    <row r="2087" spans="1:7" x14ac:dyDescent="0.25">
      <c r="A2087">
        <v>4336</v>
      </c>
      <c r="B2087">
        <v>675</v>
      </c>
      <c r="C2087" t="s">
        <v>898</v>
      </c>
      <c r="D2087" t="s">
        <v>6031</v>
      </c>
      <c r="F2087" t="s">
        <v>5091</v>
      </c>
      <c r="G2087" t="s">
        <v>1457</v>
      </c>
    </row>
    <row r="2088" spans="1:7" x14ac:dyDescent="0.25">
      <c r="A2088">
        <v>4337</v>
      </c>
      <c r="B2088">
        <v>675</v>
      </c>
      <c r="C2088" t="s">
        <v>898</v>
      </c>
      <c r="D2088" t="s">
        <v>6032</v>
      </c>
      <c r="F2088" t="s">
        <v>5095</v>
      </c>
      <c r="G2088" t="s">
        <v>1457</v>
      </c>
    </row>
    <row r="2089" spans="1:7" x14ac:dyDescent="0.25">
      <c r="A2089">
        <v>4338</v>
      </c>
      <c r="B2089">
        <v>675</v>
      </c>
      <c r="C2089" t="s">
        <v>898</v>
      </c>
      <c r="D2089" t="s">
        <v>6033</v>
      </c>
      <c r="F2089" t="s">
        <v>5099</v>
      </c>
      <c r="G2089" t="s">
        <v>4456</v>
      </c>
    </row>
    <row r="2090" spans="1:7" x14ac:dyDescent="0.25">
      <c r="A2090">
        <v>4339</v>
      </c>
      <c r="B2090">
        <v>675</v>
      </c>
      <c r="C2090" t="s">
        <v>898</v>
      </c>
      <c r="D2090" t="s">
        <v>6034</v>
      </c>
      <c r="F2090" t="s">
        <v>5099</v>
      </c>
      <c r="G2090" t="s">
        <v>4456</v>
      </c>
    </row>
    <row r="2091" spans="1:7" x14ac:dyDescent="0.25">
      <c r="A2091">
        <v>4340</v>
      </c>
      <c r="B2091">
        <v>675</v>
      </c>
      <c r="C2091" t="s">
        <v>898</v>
      </c>
      <c r="D2091" t="s">
        <v>6035</v>
      </c>
      <c r="F2091" t="s">
        <v>5099</v>
      </c>
      <c r="G2091" t="s">
        <v>4452</v>
      </c>
    </row>
    <row r="2092" spans="1:7" x14ac:dyDescent="0.25">
      <c r="A2092">
        <v>4341</v>
      </c>
      <c r="B2092">
        <v>675</v>
      </c>
      <c r="C2092" t="s">
        <v>898</v>
      </c>
      <c r="D2092" t="s">
        <v>6036</v>
      </c>
      <c r="F2092" t="s">
        <v>5099</v>
      </c>
      <c r="G2092" t="s">
        <v>4440</v>
      </c>
    </row>
    <row r="2093" spans="1:7" x14ac:dyDescent="0.25">
      <c r="A2093">
        <v>4342</v>
      </c>
      <c r="B2093">
        <v>151</v>
      </c>
      <c r="C2093" t="s">
        <v>894</v>
      </c>
      <c r="D2093" t="s">
        <v>6037</v>
      </c>
      <c r="F2093" t="s">
        <v>6038</v>
      </c>
      <c r="G2093" t="s">
        <v>4441</v>
      </c>
    </row>
    <row r="2094" spans="1:7" x14ac:dyDescent="0.25">
      <c r="A2094">
        <v>4343</v>
      </c>
      <c r="B2094">
        <v>151</v>
      </c>
      <c r="C2094" t="s">
        <v>894</v>
      </c>
      <c r="D2094" t="s">
        <v>5693</v>
      </c>
      <c r="E2094" t="s">
        <v>6039</v>
      </c>
      <c r="F2094" t="s">
        <v>6038</v>
      </c>
      <c r="G2094" t="s">
        <v>4447</v>
      </c>
    </row>
    <row r="2095" spans="1:7" x14ac:dyDescent="0.25">
      <c r="A2095">
        <v>4345</v>
      </c>
      <c r="B2095">
        <v>49</v>
      </c>
      <c r="C2095" t="s">
        <v>894</v>
      </c>
      <c r="D2095" t="s">
        <v>5619</v>
      </c>
      <c r="F2095" t="s">
        <v>1371</v>
      </c>
      <c r="G2095" t="s">
        <v>4447</v>
      </c>
    </row>
    <row r="2096" spans="1:7" x14ac:dyDescent="0.25">
      <c r="A2096">
        <v>4346</v>
      </c>
      <c r="B2096">
        <v>822</v>
      </c>
      <c r="C2096" t="s">
        <v>894</v>
      </c>
      <c r="D2096" t="s">
        <v>939</v>
      </c>
      <c r="E2096" t="s">
        <v>6040</v>
      </c>
      <c r="F2096" t="s">
        <v>6041</v>
      </c>
      <c r="G2096" t="s">
        <v>919</v>
      </c>
    </row>
    <row r="2097" spans="1:7" x14ac:dyDescent="0.25">
      <c r="A2097">
        <v>4347</v>
      </c>
      <c r="B2097">
        <v>822</v>
      </c>
      <c r="C2097" t="s">
        <v>894</v>
      </c>
      <c r="D2097" t="s">
        <v>6042</v>
      </c>
      <c r="E2097" t="s">
        <v>6043</v>
      </c>
      <c r="F2097" t="s">
        <v>6041</v>
      </c>
      <c r="G2097" t="s">
        <v>4444</v>
      </c>
    </row>
    <row r="2098" spans="1:7" x14ac:dyDescent="0.25">
      <c r="A2098">
        <v>4348</v>
      </c>
      <c r="B2098">
        <v>403</v>
      </c>
      <c r="C2098" t="s">
        <v>898</v>
      </c>
      <c r="D2098" t="s">
        <v>6044</v>
      </c>
      <c r="E2098" t="s">
        <v>6045</v>
      </c>
      <c r="F2098" t="s">
        <v>6046</v>
      </c>
    </row>
    <row r="2099" spans="1:7" x14ac:dyDescent="0.25">
      <c r="A2099">
        <v>4349</v>
      </c>
      <c r="B2099">
        <v>403</v>
      </c>
      <c r="C2099" t="s">
        <v>898</v>
      </c>
      <c r="D2099" t="s">
        <v>6047</v>
      </c>
      <c r="E2099" t="s">
        <v>6048</v>
      </c>
      <c r="F2099" t="s">
        <v>6049</v>
      </c>
    </row>
    <row r="2100" spans="1:7" x14ac:dyDescent="0.25">
      <c r="A2100">
        <v>4350</v>
      </c>
      <c r="B2100">
        <v>673</v>
      </c>
      <c r="C2100" t="s">
        <v>898</v>
      </c>
      <c r="D2100" t="s">
        <v>1731</v>
      </c>
      <c r="F2100" t="s">
        <v>5083</v>
      </c>
      <c r="G2100" t="s">
        <v>1262</v>
      </c>
    </row>
    <row r="2101" spans="1:7" x14ac:dyDescent="0.25">
      <c r="A2101">
        <v>4351</v>
      </c>
      <c r="B2101">
        <v>673</v>
      </c>
      <c r="C2101" t="s">
        <v>898</v>
      </c>
      <c r="D2101" t="s">
        <v>6050</v>
      </c>
      <c r="F2101" t="s">
        <v>5083</v>
      </c>
      <c r="G2101" t="s">
        <v>4442</v>
      </c>
    </row>
    <row r="2102" spans="1:7" x14ac:dyDescent="0.25">
      <c r="A2102">
        <v>4352</v>
      </c>
      <c r="B2102">
        <v>673</v>
      </c>
      <c r="C2102" t="s">
        <v>898</v>
      </c>
      <c r="D2102" t="s">
        <v>6051</v>
      </c>
      <c r="F2102" t="s">
        <v>5083</v>
      </c>
      <c r="G2102" t="s">
        <v>1125</v>
      </c>
    </row>
    <row r="2103" spans="1:7" x14ac:dyDescent="0.25">
      <c r="A2103">
        <v>4353</v>
      </c>
      <c r="B2103">
        <v>673</v>
      </c>
      <c r="C2103" t="s">
        <v>898</v>
      </c>
      <c r="D2103" t="s">
        <v>5822</v>
      </c>
      <c r="F2103" t="s">
        <v>5083</v>
      </c>
      <c r="G2103" t="s">
        <v>4448</v>
      </c>
    </row>
    <row r="2104" spans="1:7" x14ac:dyDescent="0.25">
      <c r="A2104">
        <v>4354</v>
      </c>
      <c r="B2104">
        <v>713</v>
      </c>
      <c r="C2104" t="s">
        <v>1188</v>
      </c>
      <c r="D2104" t="s">
        <v>6052</v>
      </c>
      <c r="F2104" t="s">
        <v>6053</v>
      </c>
    </row>
    <row r="2105" spans="1:7" x14ac:dyDescent="0.25">
      <c r="A2105">
        <v>4355</v>
      </c>
      <c r="B2105">
        <v>141</v>
      </c>
      <c r="C2105" t="s">
        <v>894</v>
      </c>
      <c r="D2105" t="s">
        <v>6054</v>
      </c>
      <c r="E2105" t="s">
        <v>6055</v>
      </c>
      <c r="F2105" t="s">
        <v>1261</v>
      </c>
      <c r="G2105" t="s">
        <v>1670</v>
      </c>
    </row>
    <row r="2106" spans="1:7" x14ac:dyDescent="0.25">
      <c r="A2106">
        <v>4356</v>
      </c>
      <c r="B2106">
        <v>823</v>
      </c>
      <c r="C2106" t="s">
        <v>894</v>
      </c>
      <c r="D2106" t="s">
        <v>1440</v>
      </c>
      <c r="F2106" t="s">
        <v>6056</v>
      </c>
      <c r="G2106" t="s">
        <v>4447</v>
      </c>
    </row>
    <row r="2107" spans="1:7" x14ac:dyDescent="0.25">
      <c r="A2107">
        <v>4357</v>
      </c>
      <c r="B2107">
        <v>823</v>
      </c>
      <c r="C2107" t="s">
        <v>894</v>
      </c>
      <c r="D2107" t="s">
        <v>963</v>
      </c>
      <c r="F2107" t="s">
        <v>6056</v>
      </c>
      <c r="G2107" t="s">
        <v>4447</v>
      </c>
    </row>
    <row r="2108" spans="1:7" x14ac:dyDescent="0.25">
      <c r="A2108">
        <v>4358</v>
      </c>
      <c r="B2108">
        <v>823</v>
      </c>
      <c r="C2108" t="s">
        <v>894</v>
      </c>
      <c r="D2108" t="s">
        <v>6057</v>
      </c>
      <c r="F2108" t="s">
        <v>6056</v>
      </c>
      <c r="G2108" t="s">
        <v>4447</v>
      </c>
    </row>
    <row r="2109" spans="1:7" x14ac:dyDescent="0.25">
      <c r="A2109">
        <v>4359</v>
      </c>
      <c r="B2109">
        <v>823</v>
      </c>
      <c r="C2109" t="s">
        <v>894</v>
      </c>
      <c r="D2109" t="s">
        <v>917</v>
      </c>
      <c r="F2109" t="s">
        <v>6056</v>
      </c>
      <c r="G2109" t="s">
        <v>919</v>
      </c>
    </row>
    <row r="2110" spans="1:7" x14ac:dyDescent="0.25">
      <c r="A2110">
        <v>4360</v>
      </c>
      <c r="B2110">
        <v>823</v>
      </c>
      <c r="C2110" t="s">
        <v>894</v>
      </c>
      <c r="D2110" t="s">
        <v>6058</v>
      </c>
      <c r="F2110" t="s">
        <v>6056</v>
      </c>
      <c r="G2110" t="s">
        <v>4444</v>
      </c>
    </row>
    <row r="2111" spans="1:7" x14ac:dyDescent="0.25">
      <c r="A2111">
        <v>4361</v>
      </c>
      <c r="B2111">
        <v>823</v>
      </c>
      <c r="C2111" t="s">
        <v>894</v>
      </c>
      <c r="D2111" t="s">
        <v>6059</v>
      </c>
      <c r="F2111" t="s">
        <v>6056</v>
      </c>
      <c r="G2111" t="s">
        <v>4445</v>
      </c>
    </row>
    <row r="2112" spans="1:7" x14ac:dyDescent="0.25">
      <c r="A2112">
        <v>4362</v>
      </c>
      <c r="B2112">
        <v>136</v>
      </c>
      <c r="C2112" t="s">
        <v>894</v>
      </c>
      <c r="D2112" t="s">
        <v>6060</v>
      </c>
      <c r="F2112" t="s">
        <v>1251</v>
      </c>
      <c r="G2112" t="s">
        <v>4447</v>
      </c>
    </row>
    <row r="2113" spans="1:8" x14ac:dyDescent="0.25">
      <c r="A2113">
        <v>4363</v>
      </c>
      <c r="B2113">
        <v>824</v>
      </c>
      <c r="C2113" t="s">
        <v>894</v>
      </c>
      <c r="D2113" t="s">
        <v>895</v>
      </c>
      <c r="E2113" t="s">
        <v>6061</v>
      </c>
      <c r="F2113" t="s">
        <v>6062</v>
      </c>
      <c r="G2113" t="s">
        <v>4448</v>
      </c>
    </row>
    <row r="2114" spans="1:8" x14ac:dyDescent="0.25">
      <c r="A2114">
        <v>4364</v>
      </c>
      <c r="B2114">
        <v>39</v>
      </c>
      <c r="C2114" t="s">
        <v>894</v>
      </c>
      <c r="D2114" t="s">
        <v>6063</v>
      </c>
      <c r="E2114" t="s">
        <v>6064</v>
      </c>
      <c r="F2114" t="s">
        <v>6065</v>
      </c>
      <c r="G2114" t="s">
        <v>1309</v>
      </c>
      <c r="H2114">
        <v>1</v>
      </c>
    </row>
    <row r="2115" spans="1:8" x14ac:dyDescent="0.25">
      <c r="A2115">
        <v>4365</v>
      </c>
      <c r="B2115">
        <v>40</v>
      </c>
      <c r="C2115" t="s">
        <v>894</v>
      </c>
      <c r="D2115" t="s">
        <v>6066</v>
      </c>
      <c r="E2115" t="s">
        <v>6067</v>
      </c>
      <c r="F2115" t="s">
        <v>6068</v>
      </c>
      <c r="G2115" t="s">
        <v>4445</v>
      </c>
    </row>
    <row r="2116" spans="1:8" x14ac:dyDescent="0.25">
      <c r="A2116">
        <v>4366</v>
      </c>
      <c r="B2116">
        <v>40</v>
      </c>
      <c r="C2116" t="s">
        <v>894</v>
      </c>
      <c r="D2116" t="s">
        <v>6069</v>
      </c>
      <c r="E2116" t="s">
        <v>6070</v>
      </c>
      <c r="F2116" t="s">
        <v>6071</v>
      </c>
      <c r="G2116" t="s">
        <v>4446</v>
      </c>
    </row>
    <row r="2117" spans="1:8" x14ac:dyDescent="0.25">
      <c r="A2117">
        <v>4367</v>
      </c>
      <c r="B2117">
        <v>678</v>
      </c>
      <c r="C2117" t="s">
        <v>894</v>
      </c>
      <c r="D2117" t="s">
        <v>6059</v>
      </c>
      <c r="E2117" t="s">
        <v>6072</v>
      </c>
      <c r="F2117" t="s">
        <v>5126</v>
      </c>
      <c r="G2117" t="s">
        <v>4445</v>
      </c>
    </row>
    <row r="2118" spans="1:8" x14ac:dyDescent="0.25">
      <c r="A2118">
        <v>4368</v>
      </c>
      <c r="B2118">
        <v>300</v>
      </c>
      <c r="C2118" t="s">
        <v>894</v>
      </c>
      <c r="D2118" t="s">
        <v>6073</v>
      </c>
      <c r="E2118" t="s">
        <v>6074</v>
      </c>
      <c r="F2118" t="s">
        <v>1476</v>
      </c>
      <c r="G2118" t="s">
        <v>1125</v>
      </c>
    </row>
    <row r="2119" spans="1:8" x14ac:dyDescent="0.25">
      <c r="A2119">
        <v>4369</v>
      </c>
      <c r="B2119">
        <v>786</v>
      </c>
      <c r="C2119" t="s">
        <v>898</v>
      </c>
      <c r="D2119" t="s">
        <v>1137</v>
      </c>
      <c r="F2119" t="s">
        <v>5788</v>
      </c>
      <c r="G2119" t="s">
        <v>4444</v>
      </c>
    </row>
    <row r="2120" spans="1:8" x14ac:dyDescent="0.25">
      <c r="A2120">
        <v>4370</v>
      </c>
      <c r="B2120">
        <v>109</v>
      </c>
      <c r="C2120" t="s">
        <v>1188</v>
      </c>
      <c r="D2120" t="s">
        <v>6075</v>
      </c>
      <c r="E2120" t="s">
        <v>6076</v>
      </c>
      <c r="F2120" t="s">
        <v>1198</v>
      </c>
      <c r="G2120" t="s">
        <v>4443</v>
      </c>
    </row>
    <row r="2121" spans="1:8" x14ac:dyDescent="0.25">
      <c r="A2121">
        <v>4371</v>
      </c>
      <c r="B2121">
        <v>109</v>
      </c>
      <c r="C2121" t="s">
        <v>1188</v>
      </c>
      <c r="D2121" t="s">
        <v>6077</v>
      </c>
      <c r="F2121" t="s">
        <v>1198</v>
      </c>
      <c r="G2121" t="s">
        <v>1457</v>
      </c>
    </row>
    <row r="2122" spans="1:8" x14ac:dyDescent="0.25">
      <c r="A2122">
        <v>4373</v>
      </c>
      <c r="B2122">
        <v>778</v>
      </c>
      <c r="C2122" t="s">
        <v>894</v>
      </c>
      <c r="D2122" t="s">
        <v>6078</v>
      </c>
      <c r="E2122" t="s">
        <v>6079</v>
      </c>
      <c r="F2122" t="s">
        <v>5639</v>
      </c>
      <c r="G2122" t="s">
        <v>1309</v>
      </c>
    </row>
    <row r="2123" spans="1:8" x14ac:dyDescent="0.25">
      <c r="A2123">
        <v>4374</v>
      </c>
      <c r="B2123">
        <v>778</v>
      </c>
      <c r="C2123" t="s">
        <v>894</v>
      </c>
      <c r="D2123" t="s">
        <v>1440</v>
      </c>
      <c r="E2123" t="s">
        <v>6080</v>
      </c>
      <c r="F2123" t="s">
        <v>5639</v>
      </c>
      <c r="G2123" t="s">
        <v>4447</v>
      </c>
    </row>
    <row r="2124" spans="1:8" x14ac:dyDescent="0.25">
      <c r="A2124">
        <v>4375</v>
      </c>
      <c r="B2124">
        <v>146</v>
      </c>
      <c r="C2124" t="s">
        <v>894</v>
      </c>
      <c r="D2124" t="s">
        <v>6081</v>
      </c>
      <c r="E2124" t="s">
        <v>6082</v>
      </c>
      <c r="F2124" t="s">
        <v>6083</v>
      </c>
      <c r="G2124" t="s">
        <v>2758</v>
      </c>
    </row>
    <row r="2125" spans="1:8" x14ac:dyDescent="0.25">
      <c r="A2125">
        <v>4377</v>
      </c>
      <c r="B2125">
        <v>647</v>
      </c>
      <c r="C2125" t="s">
        <v>898</v>
      </c>
      <c r="D2125" t="s">
        <v>6084</v>
      </c>
      <c r="F2125" t="s">
        <v>4745</v>
      </c>
      <c r="G2125" t="s">
        <v>4456</v>
      </c>
    </row>
    <row r="2126" spans="1:8" x14ac:dyDescent="0.25">
      <c r="A2126">
        <v>4378</v>
      </c>
      <c r="B2126">
        <v>647</v>
      </c>
      <c r="C2126" t="s">
        <v>898</v>
      </c>
      <c r="D2126" t="s">
        <v>6085</v>
      </c>
      <c r="F2126" t="s">
        <v>4745</v>
      </c>
      <c r="G2126" t="s">
        <v>4449</v>
      </c>
    </row>
    <row r="2127" spans="1:8" x14ac:dyDescent="0.25">
      <c r="A2127">
        <v>4379</v>
      </c>
      <c r="B2127">
        <v>647</v>
      </c>
      <c r="C2127" t="s">
        <v>898</v>
      </c>
      <c r="D2127" t="s">
        <v>6086</v>
      </c>
      <c r="F2127" t="s">
        <v>4745</v>
      </c>
      <c r="G2127" t="s">
        <v>4449</v>
      </c>
    </row>
    <row r="2128" spans="1:8" x14ac:dyDescent="0.25">
      <c r="A2128">
        <v>4380</v>
      </c>
      <c r="B2128">
        <v>647</v>
      </c>
      <c r="C2128" t="s">
        <v>898</v>
      </c>
      <c r="D2128" t="s">
        <v>6087</v>
      </c>
      <c r="F2128" t="s">
        <v>4745</v>
      </c>
      <c r="G2128" t="s">
        <v>1457</v>
      </c>
    </row>
    <row r="2129" spans="1:8" x14ac:dyDescent="0.25">
      <c r="A2129">
        <v>4381</v>
      </c>
      <c r="B2129">
        <v>647</v>
      </c>
      <c r="C2129" t="s">
        <v>898</v>
      </c>
      <c r="D2129" t="s">
        <v>6088</v>
      </c>
      <c r="F2129" t="s">
        <v>4745</v>
      </c>
      <c r="G2129" t="s">
        <v>1457</v>
      </c>
    </row>
    <row r="2130" spans="1:8" x14ac:dyDescent="0.25">
      <c r="A2130">
        <v>4382</v>
      </c>
      <c r="B2130">
        <v>827</v>
      </c>
      <c r="C2130" t="s">
        <v>894</v>
      </c>
      <c r="D2130" t="s">
        <v>963</v>
      </c>
      <c r="F2130" t="s">
        <v>6089</v>
      </c>
      <c r="G2130" t="s">
        <v>4447</v>
      </c>
    </row>
    <row r="2131" spans="1:8" x14ac:dyDescent="0.25">
      <c r="A2131">
        <v>4383</v>
      </c>
      <c r="B2131">
        <v>827</v>
      </c>
      <c r="C2131" t="s">
        <v>894</v>
      </c>
      <c r="D2131" t="s">
        <v>1072</v>
      </c>
      <c r="F2131" t="s">
        <v>6089</v>
      </c>
      <c r="G2131" t="s">
        <v>4447</v>
      </c>
    </row>
    <row r="2132" spans="1:8" x14ac:dyDescent="0.25">
      <c r="A2132">
        <v>4384</v>
      </c>
      <c r="B2132">
        <v>827</v>
      </c>
      <c r="C2132" t="s">
        <v>894</v>
      </c>
      <c r="D2132" t="s">
        <v>1021</v>
      </c>
      <c r="F2132" t="s">
        <v>6089</v>
      </c>
      <c r="G2132" t="s">
        <v>4444</v>
      </c>
    </row>
    <row r="2133" spans="1:8" x14ac:dyDescent="0.25">
      <c r="A2133">
        <v>4385</v>
      </c>
      <c r="B2133">
        <v>827</v>
      </c>
      <c r="C2133" t="s">
        <v>894</v>
      </c>
      <c r="D2133" t="s">
        <v>917</v>
      </c>
      <c r="F2133" t="s">
        <v>6089</v>
      </c>
      <c r="G2133" t="s">
        <v>919</v>
      </c>
    </row>
    <row r="2134" spans="1:8" x14ac:dyDescent="0.25">
      <c r="A2134">
        <v>4386</v>
      </c>
      <c r="B2134">
        <v>643</v>
      </c>
      <c r="C2134" t="s">
        <v>1188</v>
      </c>
      <c r="D2134" t="s">
        <v>6090</v>
      </c>
      <c r="E2134" t="s">
        <v>6091</v>
      </c>
      <c r="F2134" t="s">
        <v>2481</v>
      </c>
      <c r="G2134" t="s">
        <v>6092</v>
      </c>
      <c r="H2134">
        <v>4000</v>
      </c>
    </row>
    <row r="2135" spans="1:8" x14ac:dyDescent="0.25">
      <c r="A2135">
        <v>4387</v>
      </c>
      <c r="B2135">
        <v>643</v>
      </c>
      <c r="C2135" t="s">
        <v>1188</v>
      </c>
      <c r="D2135" t="s">
        <v>6093</v>
      </c>
      <c r="E2135" t="s">
        <v>6094</v>
      </c>
      <c r="F2135" t="s">
        <v>6095</v>
      </c>
    </row>
    <row r="2136" spans="1:8" x14ac:dyDescent="0.25">
      <c r="A2136">
        <v>4388</v>
      </c>
      <c r="B2136">
        <v>828</v>
      </c>
      <c r="C2136" t="s">
        <v>898</v>
      </c>
      <c r="D2136" t="s">
        <v>1815</v>
      </c>
      <c r="F2136" t="s">
        <v>6096</v>
      </c>
      <c r="G2136" t="s">
        <v>4441</v>
      </c>
    </row>
    <row r="2137" spans="1:8" x14ac:dyDescent="0.25">
      <c r="A2137">
        <v>4389</v>
      </c>
      <c r="B2137">
        <v>828</v>
      </c>
      <c r="C2137" t="s">
        <v>898</v>
      </c>
      <c r="D2137" t="s">
        <v>6097</v>
      </c>
      <c r="F2137" t="s">
        <v>6096</v>
      </c>
      <c r="G2137" t="s">
        <v>4445</v>
      </c>
    </row>
    <row r="2138" spans="1:8" x14ac:dyDescent="0.25">
      <c r="A2138">
        <v>4390</v>
      </c>
      <c r="B2138">
        <v>828</v>
      </c>
      <c r="C2138" t="s">
        <v>898</v>
      </c>
      <c r="D2138" t="s">
        <v>6098</v>
      </c>
      <c r="F2138" t="s">
        <v>6096</v>
      </c>
      <c r="G2138" t="s">
        <v>4440</v>
      </c>
    </row>
    <row r="2139" spans="1:8" x14ac:dyDescent="0.25">
      <c r="A2139">
        <v>4391</v>
      </c>
      <c r="B2139">
        <v>829</v>
      </c>
      <c r="C2139" t="s">
        <v>898</v>
      </c>
      <c r="D2139" t="s">
        <v>1137</v>
      </c>
      <c r="G2139" t="s">
        <v>4444</v>
      </c>
    </row>
    <row r="2140" spans="1:8" x14ac:dyDescent="0.25">
      <c r="A2140">
        <v>4392</v>
      </c>
      <c r="B2140">
        <v>829</v>
      </c>
      <c r="C2140" t="s">
        <v>898</v>
      </c>
      <c r="D2140" t="s">
        <v>1219</v>
      </c>
      <c r="G2140" t="s">
        <v>919</v>
      </c>
    </row>
    <row r="2141" spans="1:8" x14ac:dyDescent="0.25">
      <c r="A2141">
        <v>4393</v>
      </c>
      <c r="B2141">
        <v>829</v>
      </c>
      <c r="C2141" t="s">
        <v>898</v>
      </c>
      <c r="D2141" t="s">
        <v>1228</v>
      </c>
      <c r="G2141" t="s">
        <v>4447</v>
      </c>
    </row>
    <row r="2142" spans="1:8" x14ac:dyDescent="0.25">
      <c r="A2142">
        <v>4394</v>
      </c>
      <c r="B2142">
        <v>829</v>
      </c>
      <c r="C2142" t="s">
        <v>898</v>
      </c>
      <c r="D2142" t="s">
        <v>1230</v>
      </c>
      <c r="G2142" t="s">
        <v>4447</v>
      </c>
    </row>
    <row r="2143" spans="1:8" x14ac:dyDescent="0.25">
      <c r="A2143">
        <v>4395</v>
      </c>
      <c r="B2143">
        <v>829</v>
      </c>
      <c r="C2143" t="s">
        <v>898</v>
      </c>
      <c r="D2143" t="s">
        <v>1084</v>
      </c>
      <c r="G2143" t="s">
        <v>4442</v>
      </c>
    </row>
    <row r="2144" spans="1:8" x14ac:dyDescent="0.25">
      <c r="A2144">
        <v>4396</v>
      </c>
      <c r="B2144">
        <v>829</v>
      </c>
      <c r="C2144" t="s">
        <v>898</v>
      </c>
      <c r="D2144" t="s">
        <v>4928</v>
      </c>
      <c r="G2144" t="s">
        <v>4441</v>
      </c>
    </row>
    <row r="2145" spans="1:7" x14ac:dyDescent="0.25">
      <c r="A2145">
        <v>4397</v>
      </c>
      <c r="B2145">
        <v>829</v>
      </c>
      <c r="C2145" t="s">
        <v>898</v>
      </c>
      <c r="D2145" t="s">
        <v>5960</v>
      </c>
      <c r="G2145" t="s">
        <v>4442</v>
      </c>
    </row>
    <row r="2146" spans="1:7" x14ac:dyDescent="0.25">
      <c r="A2146">
        <v>4398</v>
      </c>
      <c r="B2146">
        <v>829</v>
      </c>
      <c r="C2146" t="s">
        <v>898</v>
      </c>
      <c r="D2146" t="s">
        <v>2758</v>
      </c>
      <c r="G2146" t="s">
        <v>2758</v>
      </c>
    </row>
    <row r="2147" spans="1:7" x14ac:dyDescent="0.25">
      <c r="A2147">
        <v>4399</v>
      </c>
      <c r="B2147">
        <v>830</v>
      </c>
      <c r="C2147" t="s">
        <v>898</v>
      </c>
      <c r="D2147" t="s">
        <v>2416</v>
      </c>
      <c r="F2147" t="s">
        <v>6099</v>
      </c>
      <c r="G2147" t="s">
        <v>4441</v>
      </c>
    </row>
    <row r="2148" spans="1:7" x14ac:dyDescent="0.25">
      <c r="A2148">
        <v>4400</v>
      </c>
      <c r="B2148">
        <v>831</v>
      </c>
      <c r="C2148" t="s">
        <v>898</v>
      </c>
      <c r="D2148" t="s">
        <v>1137</v>
      </c>
      <c r="F2148" t="s">
        <v>6100</v>
      </c>
      <c r="G2148" t="s">
        <v>4444</v>
      </c>
    </row>
    <row r="2149" spans="1:7" x14ac:dyDescent="0.25">
      <c r="A2149">
        <v>4401</v>
      </c>
      <c r="B2149">
        <v>831</v>
      </c>
      <c r="C2149" t="s">
        <v>898</v>
      </c>
      <c r="D2149" t="s">
        <v>1219</v>
      </c>
      <c r="F2149" t="s">
        <v>6100</v>
      </c>
      <c r="G2149" t="s">
        <v>919</v>
      </c>
    </row>
    <row r="2150" spans="1:7" x14ac:dyDescent="0.25">
      <c r="A2150">
        <v>4402</v>
      </c>
      <c r="B2150">
        <v>831</v>
      </c>
      <c r="C2150" t="s">
        <v>898</v>
      </c>
      <c r="D2150" t="s">
        <v>6101</v>
      </c>
      <c r="F2150" t="s">
        <v>6100</v>
      </c>
      <c r="G2150" t="s">
        <v>4447</v>
      </c>
    </row>
    <row r="2151" spans="1:7" x14ac:dyDescent="0.25">
      <c r="A2151">
        <v>4403</v>
      </c>
      <c r="B2151">
        <v>831</v>
      </c>
      <c r="C2151" t="s">
        <v>898</v>
      </c>
      <c r="D2151" t="s">
        <v>1972</v>
      </c>
      <c r="F2151" t="s">
        <v>6100</v>
      </c>
      <c r="G2151" t="s">
        <v>4447</v>
      </c>
    </row>
    <row r="2152" spans="1:7" x14ac:dyDescent="0.25">
      <c r="A2152">
        <v>4404</v>
      </c>
      <c r="B2152">
        <v>831</v>
      </c>
      <c r="C2152" t="s">
        <v>898</v>
      </c>
      <c r="D2152" t="s">
        <v>6102</v>
      </c>
      <c r="F2152" t="s">
        <v>6100</v>
      </c>
      <c r="G2152" t="s">
        <v>1670</v>
      </c>
    </row>
    <row r="2153" spans="1:7" x14ac:dyDescent="0.25">
      <c r="A2153">
        <v>4405</v>
      </c>
      <c r="B2153">
        <v>831</v>
      </c>
      <c r="C2153" t="s">
        <v>898</v>
      </c>
      <c r="D2153" t="s">
        <v>6103</v>
      </c>
      <c r="F2153" t="s">
        <v>6100</v>
      </c>
      <c r="G2153" t="s">
        <v>4442</v>
      </c>
    </row>
    <row r="2154" spans="1:7" x14ac:dyDescent="0.25">
      <c r="A2154">
        <v>4406</v>
      </c>
      <c r="B2154">
        <v>831</v>
      </c>
      <c r="C2154" t="s">
        <v>898</v>
      </c>
      <c r="D2154" t="s">
        <v>1925</v>
      </c>
      <c r="F2154" t="s">
        <v>6100</v>
      </c>
      <c r="G2154" t="s">
        <v>4442</v>
      </c>
    </row>
    <row r="2155" spans="1:7" x14ac:dyDescent="0.25">
      <c r="A2155">
        <v>4407</v>
      </c>
      <c r="B2155">
        <v>831</v>
      </c>
      <c r="C2155" t="s">
        <v>898</v>
      </c>
      <c r="D2155" t="s">
        <v>1815</v>
      </c>
      <c r="F2155" t="s">
        <v>6100</v>
      </c>
      <c r="G2155" t="s">
        <v>4441</v>
      </c>
    </row>
    <row r="2156" spans="1:7" x14ac:dyDescent="0.25">
      <c r="A2156">
        <v>4408</v>
      </c>
      <c r="B2156">
        <v>676</v>
      </c>
      <c r="C2156" t="s">
        <v>898</v>
      </c>
      <c r="D2156" t="s">
        <v>1815</v>
      </c>
      <c r="F2156" t="s">
        <v>6104</v>
      </c>
      <c r="G2156" t="s">
        <v>4441</v>
      </c>
    </row>
    <row r="2157" spans="1:7" x14ac:dyDescent="0.25">
      <c r="A2157">
        <v>4409</v>
      </c>
      <c r="B2157">
        <v>676</v>
      </c>
      <c r="C2157" t="s">
        <v>898</v>
      </c>
      <c r="D2157" t="s">
        <v>6105</v>
      </c>
      <c r="F2157" t="s">
        <v>6104</v>
      </c>
      <c r="G2157" t="s">
        <v>4441</v>
      </c>
    </row>
    <row r="2158" spans="1:7" x14ac:dyDescent="0.25">
      <c r="A2158">
        <v>4411</v>
      </c>
      <c r="B2158">
        <v>826</v>
      </c>
      <c r="C2158" t="s">
        <v>894</v>
      </c>
      <c r="D2158" t="s">
        <v>960</v>
      </c>
      <c r="E2158" t="s">
        <v>6106</v>
      </c>
      <c r="F2158" t="s">
        <v>6107</v>
      </c>
      <c r="G2158" t="s">
        <v>4447</v>
      </c>
    </row>
    <row r="2159" spans="1:7" x14ac:dyDescent="0.25">
      <c r="A2159">
        <v>4412</v>
      </c>
      <c r="B2159">
        <v>826</v>
      </c>
      <c r="C2159" t="s">
        <v>894</v>
      </c>
      <c r="D2159" t="s">
        <v>923</v>
      </c>
      <c r="E2159" t="s">
        <v>6106</v>
      </c>
      <c r="F2159" t="s">
        <v>6107</v>
      </c>
      <c r="G2159" t="s">
        <v>4444</v>
      </c>
    </row>
    <row r="2160" spans="1:7" x14ac:dyDescent="0.25">
      <c r="A2160">
        <v>4413</v>
      </c>
      <c r="B2160">
        <v>826</v>
      </c>
      <c r="C2160" t="s">
        <v>894</v>
      </c>
      <c r="D2160" t="s">
        <v>5115</v>
      </c>
      <c r="E2160" t="s">
        <v>6106</v>
      </c>
      <c r="F2160" t="s">
        <v>6107</v>
      </c>
      <c r="G2160" t="s">
        <v>4442</v>
      </c>
    </row>
    <row r="2161" spans="1:7" x14ac:dyDescent="0.25">
      <c r="A2161">
        <v>4415</v>
      </c>
      <c r="B2161">
        <v>826</v>
      </c>
      <c r="C2161" t="s">
        <v>894</v>
      </c>
      <c r="D2161" t="s">
        <v>1272</v>
      </c>
      <c r="E2161" t="s">
        <v>6106</v>
      </c>
      <c r="F2161" t="s">
        <v>6107</v>
      </c>
      <c r="G2161" t="s">
        <v>4442</v>
      </c>
    </row>
    <row r="2162" spans="1:7" x14ac:dyDescent="0.25">
      <c r="A2162">
        <v>4416</v>
      </c>
      <c r="B2162">
        <v>826</v>
      </c>
      <c r="C2162" t="s">
        <v>894</v>
      </c>
      <c r="D2162" t="s">
        <v>1642</v>
      </c>
      <c r="E2162" t="s">
        <v>6106</v>
      </c>
      <c r="F2162" t="s">
        <v>6107</v>
      </c>
    </row>
    <row r="2163" spans="1:7" x14ac:dyDescent="0.25">
      <c r="A2163">
        <v>4417</v>
      </c>
      <c r="B2163">
        <v>826</v>
      </c>
      <c r="C2163" t="s">
        <v>894</v>
      </c>
      <c r="D2163" t="s">
        <v>1385</v>
      </c>
      <c r="E2163" t="s">
        <v>6106</v>
      </c>
      <c r="F2163" t="s">
        <v>6107</v>
      </c>
      <c r="G2163" t="s">
        <v>4447</v>
      </c>
    </row>
    <row r="2164" spans="1:7" x14ac:dyDescent="0.25">
      <c r="A2164">
        <v>4418</v>
      </c>
      <c r="B2164">
        <v>826</v>
      </c>
      <c r="C2164" t="s">
        <v>894</v>
      </c>
      <c r="D2164" t="s">
        <v>1388</v>
      </c>
      <c r="E2164" t="s">
        <v>6106</v>
      </c>
      <c r="F2164" t="s">
        <v>6107</v>
      </c>
    </row>
    <row r="2165" spans="1:7" x14ac:dyDescent="0.25">
      <c r="A2165">
        <v>4419</v>
      </c>
      <c r="B2165">
        <v>826</v>
      </c>
      <c r="C2165" t="s">
        <v>894</v>
      </c>
      <c r="D2165" t="s">
        <v>6108</v>
      </c>
      <c r="E2165" t="s">
        <v>6106</v>
      </c>
      <c r="F2165" t="s">
        <v>6107</v>
      </c>
      <c r="G2165" t="s">
        <v>1309</v>
      </c>
    </row>
    <row r="2166" spans="1:7" x14ac:dyDescent="0.25">
      <c r="A2166">
        <v>4420</v>
      </c>
      <c r="B2166">
        <v>826</v>
      </c>
      <c r="C2166" t="s">
        <v>894</v>
      </c>
      <c r="D2166" t="s">
        <v>963</v>
      </c>
      <c r="E2166" t="s">
        <v>6106</v>
      </c>
      <c r="F2166" t="s">
        <v>6107</v>
      </c>
      <c r="G2166" t="s">
        <v>4447</v>
      </c>
    </row>
    <row r="2167" spans="1:7" x14ac:dyDescent="0.25">
      <c r="A2167">
        <v>4421</v>
      </c>
      <c r="B2167">
        <v>826</v>
      </c>
      <c r="C2167" t="s">
        <v>894</v>
      </c>
      <c r="D2167" t="s">
        <v>1491</v>
      </c>
      <c r="E2167" t="s">
        <v>6106</v>
      </c>
      <c r="F2167" t="s">
        <v>6107</v>
      </c>
      <c r="G2167" t="s">
        <v>919</v>
      </c>
    </row>
    <row r="2168" spans="1:7" x14ac:dyDescent="0.25">
      <c r="A2168">
        <v>4422</v>
      </c>
      <c r="B2168">
        <v>826</v>
      </c>
      <c r="C2168" t="s">
        <v>894</v>
      </c>
      <c r="D2168" t="s">
        <v>1382</v>
      </c>
      <c r="E2168" t="s">
        <v>6106</v>
      </c>
      <c r="F2168" t="s">
        <v>6109</v>
      </c>
      <c r="G2168" t="s">
        <v>4447</v>
      </c>
    </row>
    <row r="2169" spans="1:7" x14ac:dyDescent="0.25">
      <c r="A2169">
        <v>4423</v>
      </c>
      <c r="B2169">
        <v>16</v>
      </c>
      <c r="C2169" t="s">
        <v>894</v>
      </c>
      <c r="D2169" t="s">
        <v>1304</v>
      </c>
      <c r="E2169" t="s">
        <v>6110</v>
      </c>
      <c r="F2169" t="s">
        <v>938</v>
      </c>
      <c r="G2169" t="s">
        <v>4448</v>
      </c>
    </row>
    <row r="2170" spans="1:7" x14ac:dyDescent="0.25">
      <c r="A2170">
        <v>4424</v>
      </c>
      <c r="B2170">
        <v>833</v>
      </c>
      <c r="C2170" t="s">
        <v>894</v>
      </c>
      <c r="D2170" t="s">
        <v>917</v>
      </c>
      <c r="F2170" t="s">
        <v>6111</v>
      </c>
      <c r="G2170" t="s">
        <v>919</v>
      </c>
    </row>
    <row r="2171" spans="1:7" x14ac:dyDescent="0.25">
      <c r="A2171">
        <v>4425</v>
      </c>
      <c r="B2171">
        <v>711</v>
      </c>
      <c r="C2171" t="s">
        <v>1188</v>
      </c>
      <c r="D2171" t="s">
        <v>6112</v>
      </c>
      <c r="F2171" t="s">
        <v>5267</v>
      </c>
      <c r="G2171" t="s">
        <v>4444</v>
      </c>
    </row>
    <row r="2172" spans="1:7" x14ac:dyDescent="0.25">
      <c r="A2172">
        <v>4426</v>
      </c>
      <c r="B2172">
        <v>711</v>
      </c>
      <c r="C2172" t="s">
        <v>1188</v>
      </c>
      <c r="D2172" t="s">
        <v>6113</v>
      </c>
      <c r="F2172" t="s">
        <v>5267</v>
      </c>
      <c r="G2172" t="s">
        <v>919</v>
      </c>
    </row>
    <row r="2173" spans="1:7" x14ac:dyDescent="0.25">
      <c r="A2173">
        <v>4427</v>
      </c>
      <c r="B2173">
        <v>711</v>
      </c>
      <c r="C2173" t="s">
        <v>1188</v>
      </c>
      <c r="D2173" t="s">
        <v>6114</v>
      </c>
      <c r="F2173" t="s">
        <v>5267</v>
      </c>
      <c r="G2173" t="s">
        <v>4447</v>
      </c>
    </row>
    <row r="2174" spans="1:7" x14ac:dyDescent="0.25">
      <c r="A2174">
        <v>4428</v>
      </c>
      <c r="B2174">
        <v>711</v>
      </c>
      <c r="C2174" t="s">
        <v>1188</v>
      </c>
      <c r="D2174" t="s">
        <v>6115</v>
      </c>
      <c r="F2174" t="s">
        <v>5267</v>
      </c>
      <c r="G2174" t="s">
        <v>4447</v>
      </c>
    </row>
    <row r="2175" spans="1:7" x14ac:dyDescent="0.25">
      <c r="A2175">
        <v>4429</v>
      </c>
      <c r="B2175">
        <v>711</v>
      </c>
      <c r="C2175" t="s">
        <v>1188</v>
      </c>
      <c r="D2175" t="s">
        <v>6116</v>
      </c>
      <c r="F2175" t="s">
        <v>5267</v>
      </c>
      <c r="G2175" t="s">
        <v>4442</v>
      </c>
    </row>
    <row r="2176" spans="1:7" x14ac:dyDescent="0.25">
      <c r="A2176">
        <v>4430</v>
      </c>
      <c r="B2176">
        <v>46</v>
      </c>
      <c r="C2176" t="s">
        <v>894</v>
      </c>
      <c r="D2176" t="s">
        <v>6117</v>
      </c>
      <c r="F2176" t="s">
        <v>5678</v>
      </c>
      <c r="G2176" t="s">
        <v>4442</v>
      </c>
    </row>
    <row r="2177" spans="1:8" x14ac:dyDescent="0.25">
      <c r="A2177">
        <v>4436</v>
      </c>
      <c r="B2177">
        <v>51</v>
      </c>
      <c r="C2177" t="s">
        <v>894</v>
      </c>
      <c r="D2177" t="s">
        <v>895</v>
      </c>
      <c r="E2177" t="s">
        <v>6118</v>
      </c>
      <c r="F2177" t="s">
        <v>6119</v>
      </c>
      <c r="G2177" t="s">
        <v>4448</v>
      </c>
    </row>
    <row r="2178" spans="1:8" x14ac:dyDescent="0.25">
      <c r="A2178">
        <v>4437</v>
      </c>
      <c r="B2178">
        <v>51</v>
      </c>
      <c r="C2178" t="s">
        <v>894</v>
      </c>
      <c r="D2178" t="s">
        <v>6120</v>
      </c>
      <c r="E2178" t="s">
        <v>6121</v>
      </c>
      <c r="F2178" t="s">
        <v>6119</v>
      </c>
      <c r="G2178" t="s">
        <v>4447</v>
      </c>
    </row>
    <row r="2179" spans="1:8" x14ac:dyDescent="0.25">
      <c r="A2179">
        <v>4438</v>
      </c>
      <c r="B2179">
        <v>51</v>
      </c>
      <c r="C2179" t="s">
        <v>894</v>
      </c>
      <c r="D2179" t="s">
        <v>6042</v>
      </c>
      <c r="E2179" t="s">
        <v>6122</v>
      </c>
      <c r="F2179" t="s">
        <v>6119</v>
      </c>
      <c r="G2179" t="s">
        <v>4444</v>
      </c>
    </row>
    <row r="2180" spans="1:8" x14ac:dyDescent="0.25">
      <c r="A2180">
        <v>4439</v>
      </c>
      <c r="B2180">
        <v>51</v>
      </c>
      <c r="C2180" t="s">
        <v>894</v>
      </c>
      <c r="D2180" t="s">
        <v>917</v>
      </c>
      <c r="E2180" t="s">
        <v>6123</v>
      </c>
      <c r="F2180" t="s">
        <v>6119</v>
      </c>
      <c r="G2180" t="s">
        <v>919</v>
      </c>
    </row>
    <row r="2181" spans="1:8" x14ac:dyDescent="0.25">
      <c r="A2181">
        <v>4440</v>
      </c>
      <c r="B2181">
        <v>51</v>
      </c>
      <c r="C2181" t="s">
        <v>894</v>
      </c>
      <c r="D2181" t="s">
        <v>6124</v>
      </c>
      <c r="E2181" t="s">
        <v>6125</v>
      </c>
      <c r="F2181" t="s">
        <v>6119</v>
      </c>
      <c r="G2181" t="s">
        <v>1670</v>
      </c>
    </row>
    <row r="2182" spans="1:8" x14ac:dyDescent="0.25">
      <c r="A2182">
        <v>4441</v>
      </c>
      <c r="B2182">
        <v>51</v>
      </c>
      <c r="C2182" t="s">
        <v>894</v>
      </c>
      <c r="D2182" t="s">
        <v>6126</v>
      </c>
      <c r="E2182" t="s">
        <v>6127</v>
      </c>
      <c r="F2182" t="s">
        <v>6119</v>
      </c>
      <c r="G2182" t="s">
        <v>4445</v>
      </c>
    </row>
    <row r="2183" spans="1:8" x14ac:dyDescent="0.25">
      <c r="A2183">
        <v>4444</v>
      </c>
      <c r="B2183">
        <v>783</v>
      </c>
      <c r="C2183" t="s">
        <v>898</v>
      </c>
      <c r="D2183" t="s">
        <v>1230</v>
      </c>
      <c r="F2183" t="s">
        <v>6128</v>
      </c>
      <c r="G2183" t="s">
        <v>4447</v>
      </c>
    </row>
    <row r="2184" spans="1:8" x14ac:dyDescent="0.25">
      <c r="A2184">
        <v>4446</v>
      </c>
      <c r="B2184">
        <v>783</v>
      </c>
      <c r="C2184" t="s">
        <v>898</v>
      </c>
      <c r="D2184" t="s">
        <v>6129</v>
      </c>
      <c r="F2184" t="s">
        <v>6128</v>
      </c>
      <c r="G2184" t="s">
        <v>4447</v>
      </c>
    </row>
    <row r="2185" spans="1:8" x14ac:dyDescent="0.25">
      <c r="A2185">
        <v>4447</v>
      </c>
      <c r="B2185">
        <v>783</v>
      </c>
      <c r="C2185" t="s">
        <v>898</v>
      </c>
      <c r="D2185" t="s">
        <v>1219</v>
      </c>
      <c r="F2185" t="s">
        <v>6130</v>
      </c>
      <c r="G2185" t="s">
        <v>919</v>
      </c>
    </row>
    <row r="2186" spans="1:8" x14ac:dyDescent="0.25">
      <c r="A2186">
        <v>4448</v>
      </c>
      <c r="B2186">
        <v>783</v>
      </c>
      <c r="C2186" t="s">
        <v>898</v>
      </c>
      <c r="D2186" t="s">
        <v>6131</v>
      </c>
      <c r="F2186" t="s">
        <v>6132</v>
      </c>
      <c r="G2186" t="s">
        <v>4447</v>
      </c>
    </row>
    <row r="2187" spans="1:8" x14ac:dyDescent="0.25">
      <c r="A2187">
        <v>4451</v>
      </c>
      <c r="B2187">
        <v>783</v>
      </c>
      <c r="C2187" t="s">
        <v>898</v>
      </c>
      <c r="D2187" t="s">
        <v>6133</v>
      </c>
      <c r="F2187" t="s">
        <v>6128</v>
      </c>
      <c r="G2187" t="s">
        <v>4442</v>
      </c>
    </row>
    <row r="2188" spans="1:8" x14ac:dyDescent="0.25">
      <c r="A2188">
        <v>4452</v>
      </c>
      <c r="B2188">
        <v>783</v>
      </c>
      <c r="C2188" t="s">
        <v>898</v>
      </c>
      <c r="D2188" t="s">
        <v>6134</v>
      </c>
      <c r="F2188" t="s">
        <v>6128</v>
      </c>
      <c r="G2188" t="s">
        <v>4442</v>
      </c>
    </row>
    <row r="2189" spans="1:8" x14ac:dyDescent="0.25">
      <c r="A2189">
        <v>4453</v>
      </c>
      <c r="B2189">
        <v>783</v>
      </c>
      <c r="C2189" t="s">
        <v>898</v>
      </c>
      <c r="D2189" t="s">
        <v>6135</v>
      </c>
      <c r="F2189" t="s">
        <v>6136</v>
      </c>
      <c r="G2189" t="s">
        <v>4446</v>
      </c>
    </row>
    <row r="2190" spans="1:8" x14ac:dyDescent="0.25">
      <c r="A2190">
        <v>4454</v>
      </c>
      <c r="B2190">
        <v>783</v>
      </c>
      <c r="C2190" t="s">
        <v>898</v>
      </c>
      <c r="D2190" t="s">
        <v>6137</v>
      </c>
      <c r="F2190" t="s">
        <v>6138</v>
      </c>
      <c r="G2190" t="s">
        <v>1262</v>
      </c>
    </row>
    <row r="2191" spans="1:8" x14ac:dyDescent="0.25">
      <c r="A2191">
        <v>4455</v>
      </c>
      <c r="B2191">
        <v>783</v>
      </c>
      <c r="C2191" t="s">
        <v>898</v>
      </c>
      <c r="D2191" t="s">
        <v>6139</v>
      </c>
      <c r="F2191" t="s">
        <v>6140</v>
      </c>
    </row>
    <row r="2192" spans="1:8" x14ac:dyDescent="0.25">
      <c r="A2192">
        <v>4458</v>
      </c>
      <c r="B2192">
        <v>2</v>
      </c>
      <c r="C2192" t="s">
        <v>894</v>
      </c>
      <c r="D2192" t="s">
        <v>6141</v>
      </c>
      <c r="E2192" t="s">
        <v>6142</v>
      </c>
      <c r="F2192" t="s">
        <v>6143</v>
      </c>
      <c r="G2192" t="s">
        <v>4445</v>
      </c>
      <c r="H2192">
        <v>500</v>
      </c>
    </row>
    <row r="2193" spans="1:8" x14ac:dyDescent="0.25">
      <c r="A2193">
        <v>4459</v>
      </c>
      <c r="B2193">
        <v>2</v>
      </c>
      <c r="C2193" t="s">
        <v>894</v>
      </c>
      <c r="D2193" t="s">
        <v>6144</v>
      </c>
      <c r="E2193" t="s">
        <v>6145</v>
      </c>
      <c r="F2193" t="s">
        <v>6146</v>
      </c>
      <c r="G2193" t="s">
        <v>6092</v>
      </c>
      <c r="H2193">
        <v>2000</v>
      </c>
    </row>
    <row r="2194" spans="1:8" x14ac:dyDescent="0.25">
      <c r="A2194">
        <v>4460</v>
      </c>
      <c r="B2194">
        <v>2</v>
      </c>
      <c r="C2194" t="s">
        <v>894</v>
      </c>
      <c r="D2194" t="s">
        <v>6147</v>
      </c>
      <c r="E2194" t="s">
        <v>6148</v>
      </c>
      <c r="F2194" t="s">
        <v>6149</v>
      </c>
      <c r="G2194" t="s">
        <v>4445</v>
      </c>
    </row>
    <row r="2195" spans="1:8" ht="135" x14ac:dyDescent="0.25">
      <c r="A2195">
        <v>4461</v>
      </c>
      <c r="B2195">
        <v>2</v>
      </c>
      <c r="C2195" t="s">
        <v>894</v>
      </c>
      <c r="D2195" t="s">
        <v>6150</v>
      </c>
      <c r="E2195" s="1" t="s">
        <v>6151</v>
      </c>
      <c r="F2195" t="s">
        <v>6149</v>
      </c>
      <c r="G2195" t="s">
        <v>4445</v>
      </c>
    </row>
    <row r="2196" spans="1:8" x14ac:dyDescent="0.25">
      <c r="A2196">
        <v>4462</v>
      </c>
      <c r="B2196">
        <v>2</v>
      </c>
      <c r="C2196" t="s">
        <v>894</v>
      </c>
      <c r="D2196" t="s">
        <v>6152</v>
      </c>
      <c r="E2196" t="s">
        <v>6153</v>
      </c>
      <c r="F2196" t="s">
        <v>6149</v>
      </c>
      <c r="G2196" t="s">
        <v>4445</v>
      </c>
    </row>
    <row r="2197" spans="1:8" x14ac:dyDescent="0.25">
      <c r="A2197">
        <v>4463</v>
      </c>
      <c r="B2197">
        <v>2</v>
      </c>
      <c r="C2197" t="s">
        <v>894</v>
      </c>
      <c r="D2197" t="s">
        <v>6154</v>
      </c>
      <c r="E2197" t="s">
        <v>6155</v>
      </c>
      <c r="F2197" t="s">
        <v>6156</v>
      </c>
    </row>
    <row r="2198" spans="1:8" x14ac:dyDescent="0.25">
      <c r="A2198">
        <v>4464</v>
      </c>
      <c r="B2198">
        <v>78</v>
      </c>
      <c r="C2198" t="s">
        <v>894</v>
      </c>
      <c r="D2198" t="s">
        <v>6157</v>
      </c>
      <c r="F2198" t="s">
        <v>1091</v>
      </c>
      <c r="G2198" t="s">
        <v>1670</v>
      </c>
    </row>
    <row r="2199" spans="1:8" x14ac:dyDescent="0.25">
      <c r="A2199">
        <v>4465</v>
      </c>
      <c r="B2199">
        <v>78</v>
      </c>
      <c r="C2199" t="s">
        <v>894</v>
      </c>
      <c r="D2199" t="s">
        <v>6158</v>
      </c>
      <c r="F2199" t="s">
        <v>1091</v>
      </c>
      <c r="G2199" t="s">
        <v>4447</v>
      </c>
    </row>
    <row r="2200" spans="1:8" x14ac:dyDescent="0.25">
      <c r="A2200">
        <v>4466</v>
      </c>
      <c r="B2200">
        <v>835</v>
      </c>
      <c r="C2200" t="s">
        <v>894</v>
      </c>
      <c r="D2200" t="s">
        <v>6159</v>
      </c>
      <c r="F2200" t="s">
        <v>6160</v>
      </c>
      <c r="G2200" t="s">
        <v>1670</v>
      </c>
    </row>
    <row r="2201" spans="1:8" x14ac:dyDescent="0.25">
      <c r="A2201">
        <v>4467</v>
      </c>
      <c r="B2201">
        <v>835</v>
      </c>
      <c r="C2201" t="s">
        <v>894</v>
      </c>
      <c r="D2201" t="s">
        <v>6161</v>
      </c>
      <c r="F2201" t="s">
        <v>6160</v>
      </c>
      <c r="G2201" t="s">
        <v>4447</v>
      </c>
    </row>
    <row r="2202" spans="1:8" x14ac:dyDescent="0.25">
      <c r="A2202">
        <v>4468</v>
      </c>
      <c r="B2202">
        <v>835</v>
      </c>
      <c r="C2202" t="s">
        <v>894</v>
      </c>
      <c r="D2202" t="s">
        <v>6162</v>
      </c>
      <c r="E2202" t="s">
        <v>6163</v>
      </c>
      <c r="F2202" t="s">
        <v>6160</v>
      </c>
      <c r="G2202" t="s">
        <v>4447</v>
      </c>
    </row>
    <row r="2203" spans="1:8" x14ac:dyDescent="0.25">
      <c r="A2203">
        <v>4470</v>
      </c>
      <c r="B2203">
        <v>835</v>
      </c>
      <c r="C2203" t="s">
        <v>894</v>
      </c>
      <c r="D2203" t="s">
        <v>6164</v>
      </c>
      <c r="E2203" t="s">
        <v>6165</v>
      </c>
      <c r="F2203" t="s">
        <v>6160</v>
      </c>
    </row>
    <row r="2204" spans="1:8" x14ac:dyDescent="0.25">
      <c r="A2204">
        <v>4471</v>
      </c>
      <c r="B2204">
        <v>21</v>
      </c>
      <c r="C2204" t="s">
        <v>894</v>
      </c>
      <c r="D2204" t="s">
        <v>963</v>
      </c>
      <c r="E2204" t="s">
        <v>6166</v>
      </c>
      <c r="F2204" t="s">
        <v>1306</v>
      </c>
      <c r="G2204" t="s">
        <v>4447</v>
      </c>
    </row>
    <row r="2205" spans="1:8" x14ac:dyDescent="0.25">
      <c r="A2205">
        <v>4472</v>
      </c>
      <c r="B2205">
        <v>616</v>
      </c>
      <c r="C2205" t="s">
        <v>894</v>
      </c>
      <c r="D2205" t="s">
        <v>966</v>
      </c>
      <c r="F2205" t="s">
        <v>6167</v>
      </c>
      <c r="G2205" t="s">
        <v>2758</v>
      </c>
    </row>
    <row r="2206" spans="1:8" x14ac:dyDescent="0.25">
      <c r="A2206">
        <v>4473</v>
      </c>
      <c r="B2206">
        <v>616</v>
      </c>
      <c r="C2206" t="s">
        <v>894</v>
      </c>
      <c r="D2206" t="s">
        <v>923</v>
      </c>
      <c r="E2206" t="s">
        <v>6168</v>
      </c>
      <c r="F2206" t="s">
        <v>6167</v>
      </c>
      <c r="G2206" t="s">
        <v>4444</v>
      </c>
    </row>
    <row r="2207" spans="1:8" x14ac:dyDescent="0.25">
      <c r="A2207">
        <v>4474</v>
      </c>
      <c r="B2207">
        <v>616</v>
      </c>
      <c r="C2207" t="s">
        <v>894</v>
      </c>
      <c r="D2207" t="s">
        <v>6169</v>
      </c>
      <c r="F2207" t="s">
        <v>6167</v>
      </c>
      <c r="G2207" t="s">
        <v>4447</v>
      </c>
    </row>
    <row r="2208" spans="1:8" x14ac:dyDescent="0.25">
      <c r="A2208">
        <v>4475</v>
      </c>
      <c r="B2208">
        <v>616</v>
      </c>
      <c r="C2208" t="s">
        <v>894</v>
      </c>
      <c r="D2208" t="s">
        <v>6170</v>
      </c>
      <c r="F2208" t="s">
        <v>6167</v>
      </c>
      <c r="G2208" t="s">
        <v>4447</v>
      </c>
    </row>
    <row r="2209" spans="1:8" x14ac:dyDescent="0.25">
      <c r="A2209">
        <v>4476</v>
      </c>
      <c r="B2209">
        <v>616</v>
      </c>
      <c r="C2209" t="s">
        <v>894</v>
      </c>
      <c r="D2209" t="s">
        <v>2239</v>
      </c>
      <c r="E2209" t="s">
        <v>6171</v>
      </c>
      <c r="F2209" t="s">
        <v>6167</v>
      </c>
      <c r="G2209" t="s">
        <v>4445</v>
      </c>
    </row>
    <row r="2210" spans="1:8" x14ac:dyDescent="0.25">
      <c r="A2210">
        <v>4485</v>
      </c>
      <c r="B2210">
        <v>57</v>
      </c>
      <c r="C2210" t="s">
        <v>894</v>
      </c>
      <c r="D2210" t="s">
        <v>6172</v>
      </c>
      <c r="E2210" t="s">
        <v>6173</v>
      </c>
      <c r="F2210" t="s">
        <v>1027</v>
      </c>
      <c r="G2210" t="s">
        <v>919</v>
      </c>
    </row>
    <row r="2211" spans="1:8" x14ac:dyDescent="0.25">
      <c r="A2211">
        <v>4486</v>
      </c>
      <c r="B2211">
        <v>63</v>
      </c>
      <c r="C2211" t="s">
        <v>894</v>
      </c>
      <c r="D2211" t="s">
        <v>917</v>
      </c>
      <c r="E2211" t="s">
        <v>6174</v>
      </c>
      <c r="F2211" t="s">
        <v>1052</v>
      </c>
      <c r="G2211" t="s">
        <v>919</v>
      </c>
    </row>
    <row r="2212" spans="1:8" x14ac:dyDescent="0.25">
      <c r="A2212">
        <v>4487</v>
      </c>
      <c r="B2212">
        <v>192</v>
      </c>
      <c r="C2212" t="s">
        <v>894</v>
      </c>
      <c r="D2212" t="s">
        <v>917</v>
      </c>
      <c r="E2212" t="s">
        <v>6175</v>
      </c>
      <c r="F2212" t="s">
        <v>6176</v>
      </c>
      <c r="G2212" t="s">
        <v>919</v>
      </c>
    </row>
    <row r="2213" spans="1:8" x14ac:dyDescent="0.25">
      <c r="A2213">
        <v>4488</v>
      </c>
      <c r="B2213">
        <v>216</v>
      </c>
      <c r="C2213" t="s">
        <v>894</v>
      </c>
      <c r="D2213" t="s">
        <v>923</v>
      </c>
      <c r="E2213" t="s">
        <v>6177</v>
      </c>
      <c r="F2213" t="s">
        <v>6178</v>
      </c>
      <c r="G2213" t="s">
        <v>4444</v>
      </c>
    </row>
    <row r="2214" spans="1:8" x14ac:dyDescent="0.25">
      <c r="A2214">
        <v>4489</v>
      </c>
      <c r="B2214">
        <v>216</v>
      </c>
      <c r="C2214" t="s">
        <v>894</v>
      </c>
      <c r="D2214" t="s">
        <v>6179</v>
      </c>
      <c r="E2214" t="s">
        <v>6180</v>
      </c>
      <c r="F2214" t="s">
        <v>6178</v>
      </c>
      <c r="G2214" t="s">
        <v>4445</v>
      </c>
    </row>
    <row r="2215" spans="1:8" x14ac:dyDescent="0.25">
      <c r="A2215">
        <v>4490</v>
      </c>
      <c r="B2215">
        <v>216</v>
      </c>
      <c r="C2215" t="s">
        <v>894</v>
      </c>
      <c r="D2215" t="s">
        <v>6181</v>
      </c>
      <c r="E2215" t="s">
        <v>6182</v>
      </c>
      <c r="F2215" t="s">
        <v>6178</v>
      </c>
      <c r="G2215" t="s">
        <v>4454</v>
      </c>
    </row>
    <row r="2216" spans="1:8" x14ac:dyDescent="0.25">
      <c r="A2216">
        <v>4491</v>
      </c>
      <c r="B2216">
        <v>216</v>
      </c>
      <c r="C2216" t="s">
        <v>894</v>
      </c>
      <c r="D2216" t="s">
        <v>6183</v>
      </c>
      <c r="E2216" t="s">
        <v>6184</v>
      </c>
      <c r="F2216" t="s">
        <v>6178</v>
      </c>
      <c r="G2216" t="s">
        <v>1670</v>
      </c>
    </row>
    <row r="2217" spans="1:8" x14ac:dyDescent="0.25">
      <c r="A2217">
        <v>4492</v>
      </c>
      <c r="B2217">
        <v>216</v>
      </c>
      <c r="C2217" t="s">
        <v>894</v>
      </c>
      <c r="D2217" t="s">
        <v>2028</v>
      </c>
      <c r="E2217" t="s">
        <v>6185</v>
      </c>
      <c r="F2217" t="s">
        <v>6178</v>
      </c>
      <c r="G2217" t="s">
        <v>1309</v>
      </c>
    </row>
    <row r="2218" spans="1:8" x14ac:dyDescent="0.25">
      <c r="A2218">
        <v>4493</v>
      </c>
      <c r="B2218">
        <v>216</v>
      </c>
      <c r="C2218" t="s">
        <v>894</v>
      </c>
      <c r="D2218" t="s">
        <v>2026</v>
      </c>
      <c r="E2218" t="s">
        <v>6186</v>
      </c>
      <c r="F2218" t="s">
        <v>6178</v>
      </c>
    </row>
    <row r="2219" spans="1:8" x14ac:dyDescent="0.25">
      <c r="A2219">
        <v>4495</v>
      </c>
      <c r="B2219">
        <v>40</v>
      </c>
      <c r="C2219" t="s">
        <v>894</v>
      </c>
      <c r="D2219" t="s">
        <v>963</v>
      </c>
      <c r="E2219" t="s">
        <v>6187</v>
      </c>
      <c r="F2219" t="s">
        <v>6188</v>
      </c>
      <c r="G2219" t="s">
        <v>4447</v>
      </c>
    </row>
    <row r="2220" spans="1:8" x14ac:dyDescent="0.25">
      <c r="A2220">
        <v>4496</v>
      </c>
      <c r="B2220">
        <v>105</v>
      </c>
      <c r="C2220" t="s">
        <v>898</v>
      </c>
      <c r="D2220" t="s">
        <v>6189</v>
      </c>
      <c r="E2220" t="s">
        <v>6190</v>
      </c>
      <c r="F2220" t="s">
        <v>6191</v>
      </c>
      <c r="G2220" t="s">
        <v>1309</v>
      </c>
      <c r="H2220">
        <v>3</v>
      </c>
    </row>
    <row r="2221" spans="1:8" x14ac:dyDescent="0.25">
      <c r="A2221">
        <v>4499</v>
      </c>
      <c r="B2221">
        <v>852</v>
      </c>
      <c r="C2221" t="s">
        <v>898</v>
      </c>
      <c r="D2221" t="s">
        <v>6192</v>
      </c>
      <c r="E2221" t="s">
        <v>6193</v>
      </c>
      <c r="F2221" t="s">
        <v>6194</v>
      </c>
    </row>
    <row r="2222" spans="1:8" x14ac:dyDescent="0.25">
      <c r="A2222">
        <v>4500</v>
      </c>
      <c r="B2222">
        <v>475</v>
      </c>
      <c r="C2222" t="s">
        <v>898</v>
      </c>
      <c r="D2222" t="s">
        <v>6195</v>
      </c>
      <c r="E2222" t="s">
        <v>6196</v>
      </c>
      <c r="F2222" t="s">
        <v>6197</v>
      </c>
    </row>
    <row r="2223" spans="1:8" x14ac:dyDescent="0.25">
      <c r="A2223">
        <v>4501</v>
      </c>
      <c r="B2223">
        <v>852</v>
      </c>
      <c r="C2223" t="s">
        <v>898</v>
      </c>
      <c r="D2223" t="s">
        <v>6198</v>
      </c>
      <c r="E2223" t="s">
        <v>6199</v>
      </c>
      <c r="F2223" t="s">
        <v>6200</v>
      </c>
    </row>
    <row r="2224" spans="1:8" x14ac:dyDescent="0.25">
      <c r="A2224">
        <v>4503</v>
      </c>
      <c r="B2224">
        <v>24</v>
      </c>
      <c r="C2224" t="s">
        <v>894</v>
      </c>
      <c r="D2224" t="s">
        <v>6201</v>
      </c>
      <c r="E2224" t="s">
        <v>6202</v>
      </c>
      <c r="F2224" t="s">
        <v>6203</v>
      </c>
    </row>
    <row r="2225" spans="1:6" x14ac:dyDescent="0.25">
      <c r="A2225">
        <v>4504</v>
      </c>
      <c r="B2225">
        <v>24</v>
      </c>
      <c r="C2225" t="s">
        <v>894</v>
      </c>
      <c r="D2225" t="s">
        <v>6204</v>
      </c>
      <c r="E2225" t="s">
        <v>6205</v>
      </c>
      <c r="F2225" t="s">
        <v>6203</v>
      </c>
    </row>
    <row r="2226" spans="1:6" x14ac:dyDescent="0.25">
      <c r="A2226">
        <v>4505</v>
      </c>
      <c r="B2226">
        <v>24</v>
      </c>
      <c r="C2226" t="s">
        <v>894</v>
      </c>
      <c r="D2226" t="s">
        <v>6206</v>
      </c>
      <c r="E2226" t="s">
        <v>6207</v>
      </c>
      <c r="F2226" t="s">
        <v>6203</v>
      </c>
    </row>
    <row r="2227" spans="1:6" x14ac:dyDescent="0.25">
      <c r="A2227">
        <v>4506</v>
      </c>
      <c r="B2227">
        <v>24</v>
      </c>
      <c r="C2227" t="s">
        <v>894</v>
      </c>
      <c r="D2227" t="s">
        <v>6208</v>
      </c>
      <c r="E2227" t="s">
        <v>6209</v>
      </c>
      <c r="F2227" t="s">
        <v>6203</v>
      </c>
    </row>
    <row r="2228" spans="1:6" x14ac:dyDescent="0.25">
      <c r="A2228">
        <v>4507</v>
      </c>
      <c r="B2228">
        <v>24</v>
      </c>
      <c r="C2228" t="s">
        <v>894</v>
      </c>
      <c r="D2228" t="s">
        <v>6210</v>
      </c>
      <c r="E2228" t="s">
        <v>6211</v>
      </c>
      <c r="F2228" t="s">
        <v>6203</v>
      </c>
    </row>
    <row r="2229" spans="1:6" x14ac:dyDescent="0.25">
      <c r="A2229">
        <v>4508</v>
      </c>
      <c r="B2229">
        <v>24</v>
      </c>
      <c r="C2229" t="s">
        <v>894</v>
      </c>
      <c r="D2229" t="s">
        <v>6212</v>
      </c>
      <c r="E2229" t="s">
        <v>6213</v>
      </c>
      <c r="F2229" t="s">
        <v>6203</v>
      </c>
    </row>
    <row r="2230" spans="1:6" x14ac:dyDescent="0.25">
      <c r="A2230">
        <v>4509</v>
      </c>
      <c r="B2230">
        <v>24</v>
      </c>
      <c r="C2230" t="s">
        <v>894</v>
      </c>
      <c r="D2230" t="s">
        <v>6214</v>
      </c>
      <c r="E2230" t="s">
        <v>6215</v>
      </c>
      <c r="F2230" t="s">
        <v>6203</v>
      </c>
    </row>
    <row r="2231" spans="1:6" x14ac:dyDescent="0.25">
      <c r="A2231">
        <v>4510</v>
      </c>
      <c r="B2231">
        <v>24</v>
      </c>
      <c r="C2231" t="s">
        <v>894</v>
      </c>
      <c r="D2231" t="s">
        <v>6216</v>
      </c>
      <c r="E2231" t="s">
        <v>6217</v>
      </c>
      <c r="F2231" t="s">
        <v>6203</v>
      </c>
    </row>
    <row r="2232" spans="1:6" x14ac:dyDescent="0.25">
      <c r="A2232">
        <v>4511</v>
      </c>
      <c r="B2232">
        <v>24</v>
      </c>
      <c r="C2232" t="s">
        <v>894</v>
      </c>
      <c r="D2232" t="s">
        <v>6218</v>
      </c>
      <c r="E2232" t="s">
        <v>6219</v>
      </c>
      <c r="F2232" t="s">
        <v>6203</v>
      </c>
    </row>
    <row r="2233" spans="1:6" x14ac:dyDescent="0.25">
      <c r="A2233">
        <v>4512</v>
      </c>
      <c r="B2233">
        <v>24</v>
      </c>
      <c r="C2233" t="s">
        <v>894</v>
      </c>
      <c r="D2233" t="s">
        <v>6220</v>
      </c>
      <c r="E2233" t="s">
        <v>6221</v>
      </c>
      <c r="F2233" t="s">
        <v>6203</v>
      </c>
    </row>
    <row r="2234" spans="1:6" x14ac:dyDescent="0.25">
      <c r="A2234">
        <v>4514</v>
      </c>
      <c r="B2234">
        <v>24</v>
      </c>
      <c r="C2234" t="s">
        <v>894</v>
      </c>
      <c r="D2234" t="s">
        <v>6222</v>
      </c>
      <c r="E2234" t="s">
        <v>6223</v>
      </c>
      <c r="F2234" t="s">
        <v>6203</v>
      </c>
    </row>
    <row r="2235" spans="1:6" x14ac:dyDescent="0.25">
      <c r="A2235">
        <v>4515</v>
      </c>
      <c r="B2235">
        <v>24</v>
      </c>
      <c r="C2235" t="s">
        <v>894</v>
      </c>
      <c r="D2235" t="s">
        <v>6224</v>
      </c>
      <c r="E2235" t="s">
        <v>6225</v>
      </c>
      <c r="F2235" t="s">
        <v>6203</v>
      </c>
    </row>
    <row r="2236" spans="1:6" x14ac:dyDescent="0.25">
      <c r="A2236">
        <v>4516</v>
      </c>
      <c r="B2236">
        <v>24</v>
      </c>
      <c r="C2236" t="s">
        <v>894</v>
      </c>
      <c r="D2236" t="s">
        <v>6226</v>
      </c>
      <c r="E2236" t="s">
        <v>6227</v>
      </c>
      <c r="F2236" t="s">
        <v>6203</v>
      </c>
    </row>
    <row r="2237" spans="1:6" x14ac:dyDescent="0.25">
      <c r="A2237">
        <v>4517</v>
      </c>
      <c r="B2237">
        <v>24</v>
      </c>
      <c r="C2237" t="s">
        <v>894</v>
      </c>
      <c r="D2237" t="s">
        <v>6228</v>
      </c>
      <c r="E2237" t="s">
        <v>6229</v>
      </c>
      <c r="F2237" t="s">
        <v>6203</v>
      </c>
    </row>
    <row r="2238" spans="1:6" x14ac:dyDescent="0.25">
      <c r="A2238">
        <v>4518</v>
      </c>
      <c r="B2238">
        <v>38</v>
      </c>
      <c r="C2238" t="s">
        <v>894</v>
      </c>
      <c r="D2238" t="s">
        <v>6230</v>
      </c>
      <c r="E2238" t="s">
        <v>6231</v>
      </c>
      <c r="F2238" t="s">
        <v>6232</v>
      </c>
    </row>
    <row r="2239" spans="1:6" x14ac:dyDescent="0.25">
      <c r="A2239">
        <v>4519</v>
      </c>
      <c r="B2239">
        <v>38</v>
      </c>
      <c r="C2239" t="s">
        <v>894</v>
      </c>
      <c r="D2239" t="s">
        <v>6233</v>
      </c>
      <c r="E2239" t="s">
        <v>6234</v>
      </c>
      <c r="F2239" t="s">
        <v>6235</v>
      </c>
    </row>
    <row r="2240" spans="1:6" x14ac:dyDescent="0.25">
      <c r="A2240">
        <v>4521</v>
      </c>
      <c r="B2240">
        <v>29</v>
      </c>
      <c r="C2240" t="s">
        <v>894</v>
      </c>
      <c r="D2240" t="s">
        <v>6236</v>
      </c>
      <c r="E2240" t="s">
        <v>6237</v>
      </c>
      <c r="F2240" t="s">
        <v>5653</v>
      </c>
    </row>
    <row r="2241" spans="1:8" x14ac:dyDescent="0.25">
      <c r="A2241">
        <v>4527</v>
      </c>
      <c r="B2241">
        <v>105</v>
      </c>
      <c r="C2241" t="s">
        <v>898</v>
      </c>
      <c r="D2241" t="s">
        <v>6238</v>
      </c>
      <c r="E2241" t="s">
        <v>6239</v>
      </c>
      <c r="F2241" t="s">
        <v>4692</v>
      </c>
    </row>
    <row r="2242" spans="1:8" x14ac:dyDescent="0.25">
      <c r="A2242">
        <v>4528</v>
      </c>
      <c r="B2242">
        <v>105</v>
      </c>
      <c r="C2242" t="s">
        <v>894</v>
      </c>
      <c r="D2242" t="s">
        <v>2759</v>
      </c>
      <c r="E2242" t="s">
        <v>6240</v>
      </c>
      <c r="F2242" t="s">
        <v>6241</v>
      </c>
    </row>
    <row r="2243" spans="1:8" x14ac:dyDescent="0.25">
      <c r="A2243">
        <v>4530</v>
      </c>
      <c r="B2243">
        <v>83</v>
      </c>
      <c r="C2243" t="s">
        <v>898</v>
      </c>
      <c r="D2243" t="s">
        <v>6242</v>
      </c>
      <c r="E2243" t="s">
        <v>6243</v>
      </c>
      <c r="F2243" t="s">
        <v>6244</v>
      </c>
    </row>
    <row r="2244" spans="1:8" x14ac:dyDescent="0.25">
      <c r="A2244">
        <v>4531</v>
      </c>
      <c r="B2244">
        <v>83</v>
      </c>
      <c r="C2244" t="s">
        <v>898</v>
      </c>
      <c r="D2244" t="s">
        <v>6245</v>
      </c>
      <c r="E2244" t="s">
        <v>6246</v>
      </c>
      <c r="F2244" t="s">
        <v>6244</v>
      </c>
    </row>
    <row r="2245" spans="1:8" x14ac:dyDescent="0.25">
      <c r="A2245">
        <v>4532</v>
      </c>
      <c r="B2245">
        <v>106</v>
      </c>
      <c r="C2245" t="s">
        <v>898</v>
      </c>
      <c r="D2245" t="s">
        <v>6247</v>
      </c>
      <c r="E2245" t="s">
        <v>6248</v>
      </c>
      <c r="F2245" t="s">
        <v>6249</v>
      </c>
    </row>
    <row r="2246" spans="1:8" x14ac:dyDescent="0.25">
      <c r="A2246">
        <v>4533</v>
      </c>
      <c r="B2246">
        <v>836</v>
      </c>
      <c r="C2246" t="s">
        <v>898</v>
      </c>
      <c r="D2246" t="s">
        <v>6250</v>
      </c>
      <c r="E2246" t="s">
        <v>6251</v>
      </c>
      <c r="F2246" t="s">
        <v>6252</v>
      </c>
    </row>
    <row r="2247" spans="1:8" x14ac:dyDescent="0.25">
      <c r="A2247">
        <v>4535</v>
      </c>
      <c r="B2247">
        <v>838</v>
      </c>
      <c r="C2247" t="s">
        <v>894</v>
      </c>
      <c r="D2247" t="s">
        <v>6253</v>
      </c>
      <c r="E2247" t="s">
        <v>6254</v>
      </c>
      <c r="F2247" t="s">
        <v>6255</v>
      </c>
    </row>
    <row r="2248" spans="1:8" x14ac:dyDescent="0.25">
      <c r="A2248">
        <v>4536</v>
      </c>
      <c r="B2248">
        <v>838</v>
      </c>
      <c r="C2248" t="s">
        <v>894</v>
      </c>
      <c r="D2248" t="s">
        <v>6256</v>
      </c>
      <c r="E2248" t="s">
        <v>6257</v>
      </c>
      <c r="F2248" t="s">
        <v>6258</v>
      </c>
    </row>
    <row r="2249" spans="1:8" x14ac:dyDescent="0.25">
      <c r="A2249">
        <v>4537</v>
      </c>
      <c r="B2249">
        <v>838</v>
      </c>
      <c r="C2249" t="s">
        <v>894</v>
      </c>
      <c r="D2249" t="s">
        <v>1648</v>
      </c>
      <c r="E2249" t="s">
        <v>6259</v>
      </c>
      <c r="F2249" t="s">
        <v>6260</v>
      </c>
      <c r="G2249" t="s">
        <v>4453</v>
      </c>
      <c r="H2249">
        <v>5</v>
      </c>
    </row>
    <row r="2250" spans="1:8" x14ac:dyDescent="0.25">
      <c r="A2250">
        <v>4538</v>
      </c>
      <c r="B2250">
        <v>826</v>
      </c>
      <c r="C2250" t="s">
        <v>894</v>
      </c>
      <c r="D2250" t="s">
        <v>917</v>
      </c>
      <c r="E2250" t="s">
        <v>6261</v>
      </c>
      <c r="F2250" t="s">
        <v>6107</v>
      </c>
      <c r="G2250" t="s">
        <v>919</v>
      </c>
    </row>
    <row r="2251" spans="1:8" x14ac:dyDescent="0.25">
      <c r="A2251">
        <v>4539</v>
      </c>
      <c r="B2251">
        <v>42</v>
      </c>
      <c r="C2251" t="s">
        <v>894</v>
      </c>
      <c r="D2251" t="s">
        <v>1354</v>
      </c>
      <c r="E2251" t="s">
        <v>6262</v>
      </c>
      <c r="F2251" t="s">
        <v>1136</v>
      </c>
    </row>
    <row r="2252" spans="1:8" x14ac:dyDescent="0.25">
      <c r="A2252">
        <v>4540</v>
      </c>
      <c r="B2252">
        <v>839</v>
      </c>
      <c r="C2252" t="s">
        <v>894</v>
      </c>
      <c r="D2252" t="s">
        <v>6263</v>
      </c>
      <c r="E2252" t="s">
        <v>6264</v>
      </c>
      <c r="F2252" t="s">
        <v>6265</v>
      </c>
      <c r="G2252" t="s">
        <v>2758</v>
      </c>
    </row>
    <row r="2253" spans="1:8" x14ac:dyDescent="0.25">
      <c r="A2253">
        <v>4541</v>
      </c>
      <c r="B2253">
        <v>839</v>
      </c>
      <c r="C2253" t="s">
        <v>894</v>
      </c>
      <c r="D2253" t="s">
        <v>6266</v>
      </c>
      <c r="E2253" t="s">
        <v>6264</v>
      </c>
      <c r="F2253" t="s">
        <v>6265</v>
      </c>
      <c r="G2253" t="s">
        <v>1309</v>
      </c>
    </row>
    <row r="2254" spans="1:8" x14ac:dyDescent="0.25">
      <c r="A2254">
        <v>4542</v>
      </c>
      <c r="B2254">
        <v>839</v>
      </c>
      <c r="C2254" t="s">
        <v>894</v>
      </c>
      <c r="D2254" t="s">
        <v>2120</v>
      </c>
      <c r="E2254" t="s">
        <v>6264</v>
      </c>
      <c r="F2254" t="s">
        <v>6265</v>
      </c>
      <c r="G2254" t="s">
        <v>4442</v>
      </c>
    </row>
    <row r="2255" spans="1:8" x14ac:dyDescent="0.25">
      <c r="A2255">
        <v>4543</v>
      </c>
      <c r="B2255">
        <v>839</v>
      </c>
      <c r="C2255" t="s">
        <v>894</v>
      </c>
      <c r="D2255" t="s">
        <v>923</v>
      </c>
      <c r="E2255" t="s">
        <v>6264</v>
      </c>
      <c r="F2255" t="s">
        <v>6265</v>
      </c>
      <c r="G2255" t="s">
        <v>4444</v>
      </c>
    </row>
    <row r="2256" spans="1:8" x14ac:dyDescent="0.25">
      <c r="A2256">
        <v>4544</v>
      </c>
      <c r="B2256">
        <v>839</v>
      </c>
      <c r="C2256" t="s">
        <v>894</v>
      </c>
      <c r="D2256" t="s">
        <v>1469</v>
      </c>
      <c r="E2256" t="s">
        <v>6264</v>
      </c>
      <c r="F2256" t="s">
        <v>6265</v>
      </c>
      <c r="G2256" t="s">
        <v>4447</v>
      </c>
    </row>
    <row r="2257" spans="1:7" x14ac:dyDescent="0.25">
      <c r="A2257">
        <v>4545</v>
      </c>
      <c r="B2257">
        <v>839</v>
      </c>
      <c r="C2257" t="s">
        <v>894</v>
      </c>
      <c r="D2257" t="s">
        <v>6267</v>
      </c>
      <c r="F2257" t="s">
        <v>6265</v>
      </c>
      <c r="G2257" t="s">
        <v>1309</v>
      </c>
    </row>
    <row r="2258" spans="1:7" x14ac:dyDescent="0.25">
      <c r="A2258">
        <v>4546</v>
      </c>
      <c r="B2258">
        <v>839</v>
      </c>
      <c r="C2258" t="s">
        <v>894</v>
      </c>
      <c r="D2258" t="s">
        <v>1093</v>
      </c>
      <c r="E2258" t="s">
        <v>6264</v>
      </c>
      <c r="F2258" t="s">
        <v>6265</v>
      </c>
      <c r="G2258" t="s">
        <v>919</v>
      </c>
    </row>
    <row r="2259" spans="1:7" x14ac:dyDescent="0.25">
      <c r="A2259">
        <v>4547</v>
      </c>
      <c r="B2259">
        <v>839</v>
      </c>
      <c r="C2259" t="s">
        <v>898</v>
      </c>
      <c r="D2259" t="s">
        <v>6268</v>
      </c>
      <c r="E2259" t="s">
        <v>6264</v>
      </c>
      <c r="F2259" t="s">
        <v>6265</v>
      </c>
      <c r="G2259" t="s">
        <v>919</v>
      </c>
    </row>
    <row r="2260" spans="1:7" x14ac:dyDescent="0.25">
      <c r="A2260">
        <v>4548</v>
      </c>
      <c r="B2260">
        <v>839</v>
      </c>
      <c r="C2260" t="s">
        <v>894</v>
      </c>
      <c r="D2260" t="s">
        <v>6269</v>
      </c>
      <c r="E2260" t="s">
        <v>6264</v>
      </c>
      <c r="F2260" t="s">
        <v>6265</v>
      </c>
      <c r="G2260" t="s">
        <v>4445</v>
      </c>
    </row>
    <row r="2261" spans="1:7" x14ac:dyDescent="0.25">
      <c r="A2261">
        <v>4551</v>
      </c>
      <c r="B2261">
        <v>47</v>
      </c>
      <c r="C2261" t="s">
        <v>894</v>
      </c>
      <c r="D2261" t="s">
        <v>4601</v>
      </c>
      <c r="E2261" t="s">
        <v>6270</v>
      </c>
      <c r="F2261" t="s">
        <v>6271</v>
      </c>
      <c r="G2261" t="s">
        <v>1670</v>
      </c>
    </row>
    <row r="2262" spans="1:7" x14ac:dyDescent="0.25">
      <c r="A2262">
        <v>4552</v>
      </c>
      <c r="B2262">
        <v>841</v>
      </c>
      <c r="C2262" t="s">
        <v>894</v>
      </c>
      <c r="D2262" t="s">
        <v>6272</v>
      </c>
      <c r="E2262" t="s">
        <v>6273</v>
      </c>
      <c r="F2262" t="s">
        <v>6274</v>
      </c>
      <c r="G2262" t="s">
        <v>4444</v>
      </c>
    </row>
    <row r="2263" spans="1:7" x14ac:dyDescent="0.25">
      <c r="A2263">
        <v>4553</v>
      </c>
      <c r="B2263">
        <v>841</v>
      </c>
      <c r="C2263" t="s">
        <v>894</v>
      </c>
      <c r="D2263" t="s">
        <v>917</v>
      </c>
      <c r="E2263" t="s">
        <v>6275</v>
      </c>
      <c r="F2263" t="s">
        <v>6274</v>
      </c>
      <c r="G2263" t="s">
        <v>919</v>
      </c>
    </row>
    <row r="2264" spans="1:7" x14ac:dyDescent="0.25">
      <c r="A2264">
        <v>4554</v>
      </c>
      <c r="B2264">
        <v>842</v>
      </c>
      <c r="C2264" t="s">
        <v>894</v>
      </c>
      <c r="D2264" t="s">
        <v>6276</v>
      </c>
      <c r="E2264" t="s">
        <v>6277</v>
      </c>
      <c r="F2264" t="s">
        <v>6278</v>
      </c>
      <c r="G2264" t="s">
        <v>4447</v>
      </c>
    </row>
    <row r="2265" spans="1:7" x14ac:dyDescent="0.25">
      <c r="A2265">
        <v>4555</v>
      </c>
      <c r="B2265">
        <v>841</v>
      </c>
      <c r="C2265" t="s">
        <v>894</v>
      </c>
      <c r="D2265" t="s">
        <v>6279</v>
      </c>
      <c r="E2265" t="s">
        <v>6280</v>
      </c>
      <c r="F2265" t="s">
        <v>6274</v>
      </c>
      <c r="G2265" t="s">
        <v>4443</v>
      </c>
    </row>
    <row r="2266" spans="1:7" x14ac:dyDescent="0.25">
      <c r="A2266">
        <v>4556</v>
      </c>
      <c r="B2266">
        <v>842</v>
      </c>
      <c r="C2266" t="s">
        <v>894</v>
      </c>
      <c r="D2266" t="s">
        <v>2174</v>
      </c>
      <c r="E2266" t="s">
        <v>6281</v>
      </c>
      <c r="F2266" t="s">
        <v>6278</v>
      </c>
      <c r="G2266" t="s">
        <v>4442</v>
      </c>
    </row>
    <row r="2267" spans="1:7" x14ac:dyDescent="0.25">
      <c r="A2267">
        <v>4557</v>
      </c>
      <c r="B2267">
        <v>842</v>
      </c>
      <c r="C2267" t="s">
        <v>894</v>
      </c>
      <c r="D2267" t="s">
        <v>1668</v>
      </c>
      <c r="E2267" t="s">
        <v>6282</v>
      </c>
      <c r="F2267" t="s">
        <v>6278</v>
      </c>
      <c r="G2267" t="s">
        <v>1670</v>
      </c>
    </row>
    <row r="2268" spans="1:7" x14ac:dyDescent="0.25">
      <c r="A2268">
        <v>4558</v>
      </c>
      <c r="B2268">
        <v>841</v>
      </c>
      <c r="C2268" t="s">
        <v>894</v>
      </c>
      <c r="D2268" t="s">
        <v>6283</v>
      </c>
      <c r="E2268" t="s">
        <v>6284</v>
      </c>
      <c r="F2268" t="s">
        <v>6274</v>
      </c>
      <c r="G2268" t="s">
        <v>4447</v>
      </c>
    </row>
    <row r="2269" spans="1:7" x14ac:dyDescent="0.25">
      <c r="A2269">
        <v>4560</v>
      </c>
      <c r="B2269">
        <v>843</v>
      </c>
      <c r="C2269" t="s">
        <v>894</v>
      </c>
      <c r="D2269" t="s">
        <v>966</v>
      </c>
      <c r="E2269" t="s">
        <v>6285</v>
      </c>
      <c r="F2269" t="s">
        <v>6286</v>
      </c>
      <c r="G2269" t="s">
        <v>2758</v>
      </c>
    </row>
    <row r="2270" spans="1:7" x14ac:dyDescent="0.25">
      <c r="A2270">
        <v>4561</v>
      </c>
      <c r="B2270">
        <v>843</v>
      </c>
      <c r="C2270" t="s">
        <v>894</v>
      </c>
      <c r="D2270" t="s">
        <v>6287</v>
      </c>
      <c r="E2270" t="s">
        <v>6288</v>
      </c>
      <c r="F2270" t="s">
        <v>6286</v>
      </c>
      <c r="G2270" t="s">
        <v>4442</v>
      </c>
    </row>
    <row r="2271" spans="1:7" x14ac:dyDescent="0.25">
      <c r="A2271">
        <v>4562</v>
      </c>
      <c r="B2271">
        <v>843</v>
      </c>
      <c r="C2271" t="s">
        <v>894</v>
      </c>
      <c r="D2271" t="s">
        <v>6289</v>
      </c>
      <c r="E2271" t="s">
        <v>6290</v>
      </c>
      <c r="F2271" t="s">
        <v>6286</v>
      </c>
      <c r="G2271" t="s">
        <v>1262</v>
      </c>
    </row>
    <row r="2272" spans="1:7" x14ac:dyDescent="0.25">
      <c r="A2272">
        <v>4563</v>
      </c>
      <c r="B2272">
        <v>843</v>
      </c>
      <c r="C2272" t="s">
        <v>894</v>
      </c>
      <c r="D2272" t="s">
        <v>923</v>
      </c>
      <c r="E2272" t="s">
        <v>6291</v>
      </c>
      <c r="F2272" t="s">
        <v>6286</v>
      </c>
      <c r="G2272" t="s">
        <v>4444</v>
      </c>
    </row>
    <row r="2273" spans="1:7" x14ac:dyDescent="0.25">
      <c r="A2273">
        <v>4564</v>
      </c>
      <c r="B2273">
        <v>843</v>
      </c>
      <c r="C2273" t="s">
        <v>894</v>
      </c>
      <c r="D2273" t="s">
        <v>917</v>
      </c>
      <c r="E2273" t="s">
        <v>6292</v>
      </c>
      <c r="F2273" t="s">
        <v>6286</v>
      </c>
      <c r="G2273" t="s">
        <v>919</v>
      </c>
    </row>
    <row r="2274" spans="1:7" x14ac:dyDescent="0.25">
      <c r="A2274">
        <v>4565</v>
      </c>
      <c r="B2274">
        <v>843</v>
      </c>
      <c r="C2274" t="s">
        <v>894</v>
      </c>
      <c r="D2274" t="s">
        <v>6293</v>
      </c>
      <c r="E2274" t="s">
        <v>6291</v>
      </c>
      <c r="F2274" t="s">
        <v>6286</v>
      </c>
      <c r="G2274" t="s">
        <v>4447</v>
      </c>
    </row>
    <row r="2275" spans="1:7" x14ac:dyDescent="0.25">
      <c r="A2275">
        <v>4566</v>
      </c>
      <c r="B2275">
        <v>843</v>
      </c>
      <c r="C2275" t="s">
        <v>894</v>
      </c>
      <c r="D2275" t="s">
        <v>6294</v>
      </c>
      <c r="E2275" t="s">
        <v>6291</v>
      </c>
      <c r="F2275" t="s">
        <v>6286</v>
      </c>
      <c r="G2275" t="s">
        <v>4447</v>
      </c>
    </row>
    <row r="2276" spans="1:7" x14ac:dyDescent="0.25">
      <c r="A2276">
        <v>4567</v>
      </c>
      <c r="B2276">
        <v>843</v>
      </c>
      <c r="C2276" t="s">
        <v>894</v>
      </c>
      <c r="D2276" t="s">
        <v>6295</v>
      </c>
      <c r="E2276" t="s">
        <v>6296</v>
      </c>
      <c r="F2276" t="s">
        <v>6286</v>
      </c>
      <c r="G2276" t="s">
        <v>1457</v>
      </c>
    </row>
    <row r="2277" spans="1:7" x14ac:dyDescent="0.25">
      <c r="A2277">
        <v>4568</v>
      </c>
      <c r="B2277">
        <v>844</v>
      </c>
      <c r="C2277" t="s">
        <v>894</v>
      </c>
      <c r="D2277" t="s">
        <v>6297</v>
      </c>
      <c r="E2277" t="s">
        <v>6298</v>
      </c>
      <c r="F2277" t="s">
        <v>6299</v>
      </c>
      <c r="G2277" t="s">
        <v>4447</v>
      </c>
    </row>
    <row r="2278" spans="1:7" x14ac:dyDescent="0.25">
      <c r="A2278">
        <v>4569</v>
      </c>
      <c r="B2278">
        <v>844</v>
      </c>
      <c r="C2278" t="s">
        <v>894</v>
      </c>
      <c r="D2278" t="s">
        <v>6300</v>
      </c>
      <c r="E2278" t="s">
        <v>6301</v>
      </c>
      <c r="F2278" t="s">
        <v>6299</v>
      </c>
      <c r="G2278" t="s">
        <v>4447</v>
      </c>
    </row>
    <row r="2279" spans="1:7" x14ac:dyDescent="0.25">
      <c r="A2279">
        <v>4570</v>
      </c>
      <c r="B2279">
        <v>844</v>
      </c>
      <c r="C2279" t="s">
        <v>894</v>
      </c>
      <c r="D2279" t="s">
        <v>936</v>
      </c>
      <c r="E2279" t="s">
        <v>6302</v>
      </c>
      <c r="F2279" t="s">
        <v>6299</v>
      </c>
      <c r="G2279" t="s">
        <v>4447</v>
      </c>
    </row>
    <row r="2280" spans="1:7" x14ac:dyDescent="0.25">
      <c r="A2280">
        <v>4571</v>
      </c>
      <c r="B2280">
        <v>844</v>
      </c>
      <c r="C2280" t="s">
        <v>894</v>
      </c>
      <c r="D2280" t="s">
        <v>1028</v>
      </c>
      <c r="E2280" t="s">
        <v>6303</v>
      </c>
      <c r="F2280" t="s">
        <v>6299</v>
      </c>
      <c r="G2280" t="s">
        <v>919</v>
      </c>
    </row>
    <row r="2281" spans="1:7" x14ac:dyDescent="0.25">
      <c r="A2281">
        <v>4572</v>
      </c>
      <c r="B2281">
        <v>844</v>
      </c>
      <c r="C2281" t="s">
        <v>894</v>
      </c>
      <c r="D2281" t="s">
        <v>1241</v>
      </c>
      <c r="E2281" t="s">
        <v>6304</v>
      </c>
      <c r="F2281" t="s">
        <v>6299</v>
      </c>
      <c r="G2281" t="s">
        <v>4442</v>
      </c>
    </row>
    <row r="2282" spans="1:7" x14ac:dyDescent="0.25">
      <c r="A2282">
        <v>4573</v>
      </c>
      <c r="B2282">
        <v>844</v>
      </c>
      <c r="C2282" t="s">
        <v>894</v>
      </c>
      <c r="D2282" t="s">
        <v>2404</v>
      </c>
      <c r="E2282" t="s">
        <v>6305</v>
      </c>
      <c r="F2282" t="s">
        <v>6299</v>
      </c>
      <c r="G2282" t="s">
        <v>4445</v>
      </c>
    </row>
    <row r="2283" spans="1:7" x14ac:dyDescent="0.25">
      <c r="A2283">
        <v>4581</v>
      </c>
      <c r="B2283">
        <v>847</v>
      </c>
      <c r="C2283" t="s">
        <v>898</v>
      </c>
      <c r="D2283" t="s">
        <v>2760</v>
      </c>
      <c r="E2283" t="s">
        <v>6306</v>
      </c>
      <c r="F2283" t="s">
        <v>6307</v>
      </c>
    </row>
    <row r="2284" spans="1:7" x14ac:dyDescent="0.25">
      <c r="A2284">
        <v>4582</v>
      </c>
      <c r="B2284">
        <v>39</v>
      </c>
      <c r="C2284" t="s">
        <v>894</v>
      </c>
      <c r="D2284" t="s">
        <v>6308</v>
      </c>
      <c r="E2284" t="s">
        <v>6309</v>
      </c>
      <c r="F2284" t="s">
        <v>6310</v>
      </c>
      <c r="G2284" t="s">
        <v>1309</v>
      </c>
    </row>
    <row r="2285" spans="1:7" x14ac:dyDescent="0.25">
      <c r="A2285">
        <v>4583</v>
      </c>
      <c r="B2285">
        <v>848</v>
      </c>
      <c r="C2285" t="s">
        <v>894</v>
      </c>
      <c r="D2285" t="s">
        <v>939</v>
      </c>
      <c r="E2285" t="s">
        <v>6311</v>
      </c>
      <c r="F2285" t="s">
        <v>6312</v>
      </c>
      <c r="G2285" t="s">
        <v>919</v>
      </c>
    </row>
    <row r="2286" spans="1:7" x14ac:dyDescent="0.25">
      <c r="A2286">
        <v>4584</v>
      </c>
      <c r="B2286">
        <v>24</v>
      </c>
      <c r="C2286" t="s">
        <v>894</v>
      </c>
      <c r="D2286" t="s">
        <v>6313</v>
      </c>
      <c r="E2286" t="s">
        <v>6314</v>
      </c>
      <c r="F2286" t="s">
        <v>6203</v>
      </c>
    </row>
    <row r="2287" spans="1:7" x14ac:dyDescent="0.25">
      <c r="A2287">
        <v>4585</v>
      </c>
      <c r="B2287">
        <v>643</v>
      </c>
      <c r="C2287" t="s">
        <v>1188</v>
      </c>
      <c r="D2287" t="s">
        <v>6315</v>
      </c>
      <c r="E2287" t="s">
        <v>6316</v>
      </c>
      <c r="F2287" t="s">
        <v>1191</v>
      </c>
    </row>
    <row r="2288" spans="1:7" x14ac:dyDescent="0.25">
      <c r="A2288">
        <v>4586</v>
      </c>
      <c r="B2288">
        <v>643</v>
      </c>
      <c r="C2288" t="s">
        <v>1188</v>
      </c>
      <c r="D2288" t="s">
        <v>6317</v>
      </c>
      <c r="E2288" t="s">
        <v>6318</v>
      </c>
      <c r="F2288" t="s">
        <v>1191</v>
      </c>
    </row>
    <row r="2289" spans="1:8" x14ac:dyDescent="0.25">
      <c r="A2289">
        <v>4587</v>
      </c>
      <c r="B2289">
        <v>643</v>
      </c>
      <c r="C2289" t="s">
        <v>1188</v>
      </c>
      <c r="D2289" t="s">
        <v>6319</v>
      </c>
      <c r="E2289" t="s">
        <v>6320</v>
      </c>
      <c r="F2289" t="s">
        <v>1191</v>
      </c>
    </row>
    <row r="2290" spans="1:8" x14ac:dyDescent="0.25">
      <c r="A2290">
        <v>4588</v>
      </c>
      <c r="B2290">
        <v>643</v>
      </c>
      <c r="C2290" t="s">
        <v>1188</v>
      </c>
      <c r="D2290" t="s">
        <v>6321</v>
      </c>
      <c r="E2290" t="s">
        <v>6322</v>
      </c>
      <c r="F2290" t="s">
        <v>1191</v>
      </c>
    </row>
    <row r="2291" spans="1:8" x14ac:dyDescent="0.25">
      <c r="A2291">
        <v>4589</v>
      </c>
      <c r="B2291">
        <v>643</v>
      </c>
      <c r="C2291" t="s">
        <v>1188</v>
      </c>
      <c r="D2291" t="s">
        <v>6323</v>
      </c>
      <c r="E2291" t="s">
        <v>6322</v>
      </c>
      <c r="F2291" t="s">
        <v>1191</v>
      </c>
    </row>
    <row r="2292" spans="1:8" x14ac:dyDescent="0.25">
      <c r="A2292">
        <v>4590</v>
      </c>
      <c r="B2292">
        <v>643</v>
      </c>
      <c r="C2292" t="s">
        <v>1188</v>
      </c>
      <c r="D2292" t="s">
        <v>6324</v>
      </c>
      <c r="E2292" t="s">
        <v>6322</v>
      </c>
      <c r="F2292" t="s">
        <v>1191</v>
      </c>
    </row>
    <row r="2293" spans="1:8" x14ac:dyDescent="0.25">
      <c r="A2293">
        <v>4591</v>
      </c>
      <c r="B2293">
        <v>643</v>
      </c>
      <c r="C2293" t="s">
        <v>1188</v>
      </c>
      <c r="D2293" t="s">
        <v>6325</v>
      </c>
      <c r="E2293" t="s">
        <v>6326</v>
      </c>
      <c r="F2293" t="s">
        <v>1191</v>
      </c>
    </row>
    <row r="2294" spans="1:8" x14ac:dyDescent="0.25">
      <c r="A2294">
        <v>4592</v>
      </c>
      <c r="B2294">
        <v>643</v>
      </c>
      <c r="C2294" t="s">
        <v>1188</v>
      </c>
      <c r="D2294" t="s">
        <v>6327</v>
      </c>
      <c r="E2294" t="s">
        <v>6328</v>
      </c>
    </row>
    <row r="2295" spans="1:8" x14ac:dyDescent="0.25">
      <c r="A2295">
        <v>4593</v>
      </c>
      <c r="B2295">
        <v>643</v>
      </c>
      <c r="C2295" t="s">
        <v>1188</v>
      </c>
      <c r="D2295" t="s">
        <v>6329</v>
      </c>
      <c r="E2295" t="s">
        <v>6322</v>
      </c>
      <c r="F2295" t="s">
        <v>1191</v>
      </c>
    </row>
    <row r="2296" spans="1:8" x14ac:dyDescent="0.25">
      <c r="A2296">
        <v>4594</v>
      </c>
      <c r="B2296">
        <v>643</v>
      </c>
      <c r="C2296" t="s">
        <v>1188</v>
      </c>
      <c r="D2296" t="s">
        <v>6330</v>
      </c>
      <c r="F2296" t="s">
        <v>1191</v>
      </c>
    </row>
    <row r="2297" spans="1:8" x14ac:dyDescent="0.25">
      <c r="A2297">
        <v>4595</v>
      </c>
      <c r="B2297">
        <v>643</v>
      </c>
      <c r="C2297" t="s">
        <v>1188</v>
      </c>
      <c r="D2297" t="s">
        <v>6331</v>
      </c>
      <c r="E2297" t="s">
        <v>6332</v>
      </c>
      <c r="F2297" t="s">
        <v>6333</v>
      </c>
      <c r="G2297" t="s">
        <v>4453</v>
      </c>
      <c r="H2297">
        <v>5</v>
      </c>
    </row>
    <row r="2298" spans="1:8" x14ac:dyDescent="0.25">
      <c r="A2298">
        <v>4596</v>
      </c>
      <c r="B2298">
        <v>849</v>
      </c>
      <c r="C2298" t="s">
        <v>894</v>
      </c>
      <c r="D2298" t="s">
        <v>1469</v>
      </c>
      <c r="E2298" t="s">
        <v>6334</v>
      </c>
      <c r="F2298" t="s">
        <v>6335</v>
      </c>
      <c r="G2298" t="s">
        <v>4447</v>
      </c>
    </row>
    <row r="2299" spans="1:8" x14ac:dyDescent="0.25">
      <c r="A2299">
        <v>4597</v>
      </c>
      <c r="B2299">
        <v>849</v>
      </c>
      <c r="C2299" t="s">
        <v>894</v>
      </c>
      <c r="D2299" t="s">
        <v>923</v>
      </c>
      <c r="E2299" t="s">
        <v>6336</v>
      </c>
      <c r="F2299" t="s">
        <v>6335</v>
      </c>
      <c r="G2299" t="s">
        <v>4444</v>
      </c>
    </row>
    <row r="2300" spans="1:8" x14ac:dyDescent="0.25">
      <c r="A2300">
        <v>4598</v>
      </c>
      <c r="B2300">
        <v>697</v>
      </c>
      <c r="C2300" t="s">
        <v>1188</v>
      </c>
      <c r="D2300" t="s">
        <v>6337</v>
      </c>
      <c r="F2300" t="s">
        <v>6338</v>
      </c>
    </row>
    <row r="2301" spans="1:8" x14ac:dyDescent="0.25">
      <c r="A2301">
        <v>4599</v>
      </c>
      <c r="B2301">
        <v>697</v>
      </c>
      <c r="C2301" t="s">
        <v>1188</v>
      </c>
      <c r="D2301" t="s">
        <v>6339</v>
      </c>
      <c r="F2301" t="s">
        <v>6338</v>
      </c>
      <c r="G2301" t="s">
        <v>4442</v>
      </c>
    </row>
    <row r="2302" spans="1:8" x14ac:dyDescent="0.25">
      <c r="A2302">
        <v>4600</v>
      </c>
      <c r="B2302">
        <v>697</v>
      </c>
      <c r="C2302" t="s">
        <v>1188</v>
      </c>
      <c r="D2302" t="s">
        <v>1921</v>
      </c>
      <c r="F2302" t="s">
        <v>6338</v>
      </c>
      <c r="G2302" t="s">
        <v>919</v>
      </c>
    </row>
    <row r="2303" spans="1:8" x14ac:dyDescent="0.25">
      <c r="A2303">
        <v>4601</v>
      </c>
      <c r="B2303">
        <v>697</v>
      </c>
      <c r="C2303" t="s">
        <v>1188</v>
      </c>
      <c r="D2303" t="s">
        <v>6340</v>
      </c>
      <c r="F2303" t="s">
        <v>6338</v>
      </c>
      <c r="G2303" t="s">
        <v>4442</v>
      </c>
    </row>
    <row r="2304" spans="1:8" x14ac:dyDescent="0.25">
      <c r="A2304">
        <v>4602</v>
      </c>
      <c r="B2304">
        <v>105</v>
      </c>
      <c r="C2304" t="s">
        <v>898</v>
      </c>
      <c r="D2304" t="s">
        <v>6341</v>
      </c>
      <c r="E2304" t="s">
        <v>6342</v>
      </c>
      <c r="F2304" t="s">
        <v>6343</v>
      </c>
    </row>
    <row r="2305" spans="1:8" x14ac:dyDescent="0.25">
      <c r="A2305">
        <v>4603</v>
      </c>
      <c r="B2305">
        <v>105</v>
      </c>
      <c r="C2305" t="s">
        <v>898</v>
      </c>
      <c r="D2305" t="s">
        <v>6344</v>
      </c>
      <c r="E2305" t="s">
        <v>6345</v>
      </c>
      <c r="F2305" t="s">
        <v>6346</v>
      </c>
    </row>
    <row r="2306" spans="1:8" x14ac:dyDescent="0.25">
      <c r="A2306">
        <v>4604</v>
      </c>
      <c r="B2306">
        <v>29</v>
      </c>
      <c r="C2306" t="s">
        <v>894</v>
      </c>
      <c r="D2306" t="s">
        <v>6347</v>
      </c>
      <c r="E2306" t="s">
        <v>6348</v>
      </c>
      <c r="F2306" t="s">
        <v>6349</v>
      </c>
      <c r="G2306" t="s">
        <v>4442</v>
      </c>
    </row>
    <row r="2307" spans="1:8" x14ac:dyDescent="0.25">
      <c r="A2307">
        <v>4605</v>
      </c>
      <c r="B2307">
        <v>557</v>
      </c>
      <c r="C2307" t="s">
        <v>898</v>
      </c>
      <c r="D2307" t="s">
        <v>6350</v>
      </c>
      <c r="E2307" t="s">
        <v>6351</v>
      </c>
      <c r="F2307" t="s">
        <v>6352</v>
      </c>
      <c r="G2307" t="s">
        <v>919</v>
      </c>
      <c r="H2307">
        <v>1</v>
      </c>
    </row>
    <row r="2308" spans="1:8" x14ac:dyDescent="0.25">
      <c r="A2308">
        <v>4606</v>
      </c>
      <c r="B2308">
        <v>28</v>
      </c>
      <c r="C2308" t="s">
        <v>894</v>
      </c>
      <c r="D2308" t="s">
        <v>6353</v>
      </c>
      <c r="E2308" t="s">
        <v>6354</v>
      </c>
      <c r="F2308" t="s">
        <v>6355</v>
      </c>
      <c r="G2308" t="s">
        <v>4447</v>
      </c>
    </row>
    <row r="2309" spans="1:8" x14ac:dyDescent="0.25">
      <c r="A2309">
        <v>4607</v>
      </c>
      <c r="B2309">
        <v>31</v>
      </c>
      <c r="C2309" t="s">
        <v>898</v>
      </c>
      <c r="D2309" t="s">
        <v>6356</v>
      </c>
      <c r="E2309" t="s">
        <v>6357</v>
      </c>
      <c r="F2309" t="s">
        <v>974</v>
      </c>
      <c r="G2309" t="s">
        <v>4445</v>
      </c>
      <c r="H2309">
        <v>250</v>
      </c>
    </row>
    <row r="2310" spans="1:8" x14ac:dyDescent="0.25">
      <c r="A2310">
        <v>4608</v>
      </c>
      <c r="B2310">
        <v>31</v>
      </c>
      <c r="C2310" t="s">
        <v>898</v>
      </c>
      <c r="D2310" t="s">
        <v>6358</v>
      </c>
      <c r="E2310" t="s">
        <v>6359</v>
      </c>
      <c r="F2310" t="s">
        <v>6360</v>
      </c>
      <c r="G2310" t="s">
        <v>6092</v>
      </c>
      <c r="H2310">
        <v>3000</v>
      </c>
    </row>
    <row r="2311" spans="1:8" x14ac:dyDescent="0.25">
      <c r="A2311">
        <v>4609</v>
      </c>
      <c r="B2311">
        <v>817</v>
      </c>
      <c r="C2311" t="s">
        <v>894</v>
      </c>
      <c r="D2311" t="s">
        <v>986</v>
      </c>
      <c r="E2311" t="s">
        <v>6361</v>
      </c>
      <c r="F2311" t="s">
        <v>6362</v>
      </c>
      <c r="G2311" t="s">
        <v>4448</v>
      </c>
    </row>
    <row r="2312" spans="1:8" x14ac:dyDescent="0.25">
      <c r="A2312">
        <v>4610</v>
      </c>
      <c r="B2312">
        <v>817</v>
      </c>
      <c r="C2312" t="s">
        <v>894</v>
      </c>
      <c r="D2312" t="s">
        <v>1310</v>
      </c>
      <c r="E2312" t="s">
        <v>6363</v>
      </c>
      <c r="F2312" t="s">
        <v>6364</v>
      </c>
      <c r="G2312" t="s">
        <v>4448</v>
      </c>
    </row>
    <row r="2313" spans="1:8" x14ac:dyDescent="0.25">
      <c r="A2313">
        <v>4611</v>
      </c>
      <c r="B2313">
        <v>339</v>
      </c>
      <c r="C2313" t="s">
        <v>894</v>
      </c>
      <c r="D2313" t="s">
        <v>4601</v>
      </c>
      <c r="E2313" t="s">
        <v>6365</v>
      </c>
      <c r="F2313" t="s">
        <v>1569</v>
      </c>
      <c r="G2313" t="s">
        <v>1670</v>
      </c>
    </row>
    <row r="2314" spans="1:8" x14ac:dyDescent="0.25">
      <c r="A2314">
        <v>4612</v>
      </c>
      <c r="B2314">
        <v>141</v>
      </c>
      <c r="C2314" t="s">
        <v>894</v>
      </c>
      <c r="D2314" t="s">
        <v>6366</v>
      </c>
      <c r="F2314" t="s">
        <v>1261</v>
      </c>
      <c r="G2314" t="s">
        <v>1457</v>
      </c>
    </row>
    <row r="2315" spans="1:8" x14ac:dyDescent="0.25">
      <c r="A2315">
        <v>4613</v>
      </c>
      <c r="B2315">
        <v>141</v>
      </c>
      <c r="C2315" t="s">
        <v>894</v>
      </c>
      <c r="D2315" t="s">
        <v>6367</v>
      </c>
      <c r="F2315" t="s">
        <v>1261</v>
      </c>
      <c r="G2315" t="s">
        <v>4445</v>
      </c>
    </row>
    <row r="2316" spans="1:8" x14ac:dyDescent="0.25">
      <c r="A2316">
        <v>4614</v>
      </c>
      <c r="B2316">
        <v>52</v>
      </c>
      <c r="C2316" t="s">
        <v>894</v>
      </c>
      <c r="D2316" t="s">
        <v>6368</v>
      </c>
      <c r="E2316" t="s">
        <v>6369</v>
      </c>
      <c r="F2316" t="s">
        <v>995</v>
      </c>
      <c r="G2316" t="s">
        <v>4446</v>
      </c>
    </row>
    <row r="2317" spans="1:8" x14ac:dyDescent="0.25">
      <c r="A2317">
        <v>4615</v>
      </c>
      <c r="B2317">
        <v>808</v>
      </c>
      <c r="C2317" t="s">
        <v>898</v>
      </c>
      <c r="D2317" t="s">
        <v>6370</v>
      </c>
      <c r="E2317" t="s">
        <v>6371</v>
      </c>
      <c r="F2317" t="s">
        <v>6372</v>
      </c>
    </row>
    <row r="2318" spans="1:8" x14ac:dyDescent="0.25">
      <c r="A2318">
        <v>4616</v>
      </c>
      <c r="B2318">
        <v>623</v>
      </c>
      <c r="C2318" t="s">
        <v>898</v>
      </c>
      <c r="D2318" t="s">
        <v>2425</v>
      </c>
      <c r="E2318" t="s">
        <v>6373</v>
      </c>
      <c r="F2318" t="s">
        <v>6374</v>
      </c>
      <c r="G2318" t="s">
        <v>919</v>
      </c>
    </row>
    <row r="2319" spans="1:8" x14ac:dyDescent="0.25">
      <c r="A2319">
        <v>4617</v>
      </c>
      <c r="B2319">
        <v>103</v>
      </c>
      <c r="C2319" t="s">
        <v>898</v>
      </c>
      <c r="D2319" t="s">
        <v>6375</v>
      </c>
      <c r="E2319" t="s">
        <v>6376</v>
      </c>
      <c r="F2319" t="s">
        <v>1151</v>
      </c>
    </row>
    <row r="2320" spans="1:8" x14ac:dyDescent="0.25">
      <c r="A2320">
        <v>4618</v>
      </c>
      <c r="B2320">
        <v>105</v>
      </c>
      <c r="C2320" t="s">
        <v>898</v>
      </c>
      <c r="D2320" t="s">
        <v>6377</v>
      </c>
      <c r="E2320" t="s">
        <v>6378</v>
      </c>
      <c r="F2320" t="s">
        <v>6379</v>
      </c>
      <c r="G2320" t="s">
        <v>4463</v>
      </c>
    </row>
    <row r="2321" spans="1:8" x14ac:dyDescent="0.25">
      <c r="A2321">
        <v>4619</v>
      </c>
      <c r="B2321">
        <v>105</v>
      </c>
      <c r="C2321" t="s">
        <v>898</v>
      </c>
      <c r="D2321" t="s">
        <v>6380</v>
      </c>
      <c r="E2321" t="s">
        <v>6381</v>
      </c>
      <c r="F2321" t="s">
        <v>6382</v>
      </c>
      <c r="G2321" t="s">
        <v>4463</v>
      </c>
    </row>
    <row r="2322" spans="1:8" x14ac:dyDescent="0.25">
      <c r="A2322">
        <v>4620</v>
      </c>
      <c r="B2322">
        <v>187</v>
      </c>
      <c r="C2322" t="s">
        <v>894</v>
      </c>
      <c r="D2322" t="s">
        <v>6383</v>
      </c>
      <c r="E2322" t="s">
        <v>6384</v>
      </c>
      <c r="F2322" t="s">
        <v>1529</v>
      </c>
      <c r="G2322" t="s">
        <v>4454</v>
      </c>
    </row>
    <row r="2323" spans="1:8" x14ac:dyDescent="0.25">
      <c r="A2323">
        <v>4621</v>
      </c>
      <c r="B2323">
        <v>105</v>
      </c>
      <c r="C2323" t="s">
        <v>898</v>
      </c>
      <c r="D2323" t="s">
        <v>6385</v>
      </c>
      <c r="E2323" t="s">
        <v>6386</v>
      </c>
      <c r="F2323" t="s">
        <v>6387</v>
      </c>
      <c r="G2323" t="s">
        <v>4442</v>
      </c>
    </row>
    <row r="2324" spans="1:8" x14ac:dyDescent="0.25">
      <c r="A2324">
        <v>4622</v>
      </c>
      <c r="B2324">
        <v>98</v>
      </c>
      <c r="C2324" t="s">
        <v>894</v>
      </c>
      <c r="D2324" t="s">
        <v>6388</v>
      </c>
      <c r="E2324" t="s">
        <v>6389</v>
      </c>
      <c r="F2324" t="s">
        <v>2193</v>
      </c>
      <c r="G2324" t="s">
        <v>1309</v>
      </c>
    </row>
    <row r="2325" spans="1:8" x14ac:dyDescent="0.25">
      <c r="A2325">
        <v>4623</v>
      </c>
      <c r="B2325">
        <v>98</v>
      </c>
      <c r="C2325" t="s">
        <v>894</v>
      </c>
      <c r="D2325" t="s">
        <v>6390</v>
      </c>
      <c r="E2325" t="s">
        <v>6391</v>
      </c>
      <c r="F2325" t="s">
        <v>2193</v>
      </c>
      <c r="G2325" t="s">
        <v>4453</v>
      </c>
    </row>
    <row r="2326" spans="1:8" x14ac:dyDescent="0.25">
      <c r="A2326">
        <v>4624</v>
      </c>
      <c r="B2326">
        <v>98</v>
      </c>
      <c r="C2326" t="s">
        <v>894</v>
      </c>
      <c r="D2326" t="s">
        <v>6392</v>
      </c>
      <c r="E2326" t="s">
        <v>6393</v>
      </c>
      <c r="F2326" t="s">
        <v>2193</v>
      </c>
      <c r="G2326" t="s">
        <v>4448</v>
      </c>
    </row>
    <row r="2327" spans="1:8" x14ac:dyDescent="0.25">
      <c r="A2327">
        <v>4625</v>
      </c>
      <c r="B2327">
        <v>98</v>
      </c>
      <c r="C2327" t="s">
        <v>894</v>
      </c>
      <c r="D2327" t="s">
        <v>6394</v>
      </c>
      <c r="E2327" t="s">
        <v>6395</v>
      </c>
      <c r="F2327" t="s">
        <v>2193</v>
      </c>
      <c r="G2327" t="s">
        <v>4448</v>
      </c>
    </row>
    <row r="2328" spans="1:8" x14ac:dyDescent="0.25">
      <c r="A2328">
        <v>4626</v>
      </c>
      <c r="B2328">
        <v>5</v>
      </c>
      <c r="C2328" t="s">
        <v>898</v>
      </c>
      <c r="D2328" t="s">
        <v>6396</v>
      </c>
      <c r="E2328" t="s">
        <v>6397</v>
      </c>
      <c r="F2328" t="s">
        <v>6398</v>
      </c>
    </row>
    <row r="2329" spans="1:8" x14ac:dyDescent="0.25">
      <c r="A2329">
        <v>4627</v>
      </c>
      <c r="B2329">
        <v>71</v>
      </c>
      <c r="C2329" t="s">
        <v>894</v>
      </c>
      <c r="D2329" t="s">
        <v>6399</v>
      </c>
      <c r="E2329" t="s">
        <v>6400</v>
      </c>
      <c r="F2329" t="s">
        <v>1069</v>
      </c>
      <c r="G2329" t="s">
        <v>6092</v>
      </c>
      <c r="H2329">
        <v>2000</v>
      </c>
    </row>
    <row r="2330" spans="1:8" x14ac:dyDescent="0.25">
      <c r="A2330">
        <v>4628</v>
      </c>
      <c r="B2330">
        <v>42</v>
      </c>
      <c r="C2330" t="s">
        <v>894</v>
      </c>
      <c r="D2330" t="s">
        <v>6399</v>
      </c>
      <c r="E2330" t="s">
        <v>6401</v>
      </c>
      <c r="F2330" t="s">
        <v>6402</v>
      </c>
      <c r="G2330" t="s">
        <v>6092</v>
      </c>
      <c r="H2330">
        <v>2000</v>
      </c>
    </row>
    <row r="2331" spans="1:8" x14ac:dyDescent="0.25">
      <c r="A2331">
        <v>4629</v>
      </c>
      <c r="B2331">
        <v>778</v>
      </c>
      <c r="C2331" t="s">
        <v>894</v>
      </c>
      <c r="D2331" t="s">
        <v>2655</v>
      </c>
      <c r="E2331" t="s">
        <v>6403</v>
      </c>
      <c r="F2331" t="s">
        <v>5639</v>
      </c>
      <c r="G2331" t="s">
        <v>4442</v>
      </c>
    </row>
    <row r="2332" spans="1:8" x14ac:dyDescent="0.25">
      <c r="A2332">
        <v>4630</v>
      </c>
      <c r="B2332">
        <v>778</v>
      </c>
      <c r="C2332" t="s">
        <v>894</v>
      </c>
      <c r="D2332" t="s">
        <v>4601</v>
      </c>
      <c r="E2332" t="s">
        <v>6404</v>
      </c>
      <c r="F2332" t="s">
        <v>5639</v>
      </c>
      <c r="G2332" t="s">
        <v>1670</v>
      </c>
    </row>
    <row r="2333" spans="1:8" x14ac:dyDescent="0.25">
      <c r="A2333">
        <v>4631</v>
      </c>
      <c r="B2333">
        <v>860</v>
      </c>
      <c r="C2333" t="s">
        <v>898</v>
      </c>
      <c r="D2333" t="s">
        <v>6405</v>
      </c>
      <c r="E2333" t="s">
        <v>6406</v>
      </c>
      <c r="F2333" t="s">
        <v>6407</v>
      </c>
    </row>
    <row r="2334" spans="1:8" x14ac:dyDescent="0.25">
      <c r="A2334">
        <v>4633</v>
      </c>
      <c r="B2334">
        <v>733</v>
      </c>
      <c r="C2334" t="s">
        <v>898</v>
      </c>
      <c r="D2334" t="s">
        <v>1378</v>
      </c>
      <c r="E2334" t="s">
        <v>2717</v>
      </c>
      <c r="F2334" t="s">
        <v>5359</v>
      </c>
      <c r="G2334" t="s">
        <v>4442</v>
      </c>
    </row>
    <row r="2335" spans="1:8" x14ac:dyDescent="0.25">
      <c r="A2335">
        <v>4634</v>
      </c>
      <c r="B2335">
        <v>733</v>
      </c>
      <c r="C2335" t="s">
        <v>898</v>
      </c>
      <c r="D2335" t="s">
        <v>1828</v>
      </c>
      <c r="E2335" t="s">
        <v>2717</v>
      </c>
      <c r="F2335" t="s">
        <v>5359</v>
      </c>
      <c r="G2335" t="s">
        <v>4442</v>
      </c>
    </row>
    <row r="2336" spans="1:8" x14ac:dyDescent="0.25">
      <c r="A2336">
        <v>4635</v>
      </c>
      <c r="B2336">
        <v>733</v>
      </c>
      <c r="C2336" t="s">
        <v>898</v>
      </c>
      <c r="D2336" t="s">
        <v>6408</v>
      </c>
      <c r="E2336" t="s">
        <v>2761</v>
      </c>
      <c r="F2336" t="s">
        <v>5359</v>
      </c>
    </row>
    <row r="2337" spans="1:7" x14ac:dyDescent="0.25">
      <c r="A2337">
        <v>4636</v>
      </c>
      <c r="B2337">
        <v>733</v>
      </c>
      <c r="C2337" t="s">
        <v>898</v>
      </c>
      <c r="D2337" t="s">
        <v>6409</v>
      </c>
      <c r="F2337" t="s">
        <v>5359</v>
      </c>
    </row>
    <row r="2338" spans="1:7" x14ac:dyDescent="0.25">
      <c r="A2338">
        <v>4637</v>
      </c>
      <c r="B2338">
        <v>731</v>
      </c>
      <c r="C2338" t="s">
        <v>1188</v>
      </c>
      <c r="D2338" t="s">
        <v>5698</v>
      </c>
      <c r="F2338" t="s">
        <v>5336</v>
      </c>
      <c r="G2338" t="s">
        <v>4445</v>
      </c>
    </row>
    <row r="2339" spans="1:7" x14ac:dyDescent="0.25">
      <c r="A2339">
        <v>4638</v>
      </c>
      <c r="B2339">
        <v>731</v>
      </c>
      <c r="C2339" t="s">
        <v>1188</v>
      </c>
      <c r="D2339" t="s">
        <v>6410</v>
      </c>
      <c r="F2339" t="s">
        <v>5336</v>
      </c>
      <c r="G2339" t="s">
        <v>4451</v>
      </c>
    </row>
    <row r="2340" spans="1:7" x14ac:dyDescent="0.25">
      <c r="A2340">
        <v>4639</v>
      </c>
      <c r="B2340">
        <v>731</v>
      </c>
      <c r="C2340" t="s">
        <v>1188</v>
      </c>
      <c r="D2340" t="s">
        <v>6331</v>
      </c>
      <c r="F2340" t="s">
        <v>5336</v>
      </c>
      <c r="G2340" t="s">
        <v>4453</v>
      </c>
    </row>
    <row r="2341" spans="1:7" x14ac:dyDescent="0.25">
      <c r="A2341">
        <v>4640</v>
      </c>
      <c r="B2341">
        <v>731</v>
      </c>
      <c r="C2341" t="s">
        <v>1188</v>
      </c>
      <c r="D2341" t="s">
        <v>6411</v>
      </c>
      <c r="F2341" t="s">
        <v>5336</v>
      </c>
    </row>
    <row r="2342" spans="1:7" x14ac:dyDescent="0.25">
      <c r="A2342">
        <v>4641</v>
      </c>
      <c r="B2342">
        <v>731</v>
      </c>
      <c r="C2342" t="s">
        <v>1188</v>
      </c>
      <c r="D2342" t="s">
        <v>6412</v>
      </c>
      <c r="F2342" t="s">
        <v>5336</v>
      </c>
      <c r="G2342" t="s">
        <v>1457</v>
      </c>
    </row>
    <row r="2343" spans="1:7" x14ac:dyDescent="0.25">
      <c r="A2343">
        <v>4642</v>
      </c>
      <c r="B2343">
        <v>731</v>
      </c>
      <c r="C2343" t="s">
        <v>1188</v>
      </c>
      <c r="D2343" t="s">
        <v>5228</v>
      </c>
      <c r="F2343" t="s">
        <v>5336</v>
      </c>
    </row>
    <row r="2344" spans="1:7" x14ac:dyDescent="0.25">
      <c r="A2344">
        <v>4643</v>
      </c>
      <c r="B2344">
        <v>731</v>
      </c>
      <c r="C2344" t="s">
        <v>1188</v>
      </c>
      <c r="D2344" t="s">
        <v>1917</v>
      </c>
      <c r="F2344" t="s">
        <v>6413</v>
      </c>
      <c r="G2344" t="s">
        <v>4440</v>
      </c>
    </row>
    <row r="2345" spans="1:7" x14ac:dyDescent="0.25">
      <c r="A2345">
        <v>4644</v>
      </c>
      <c r="B2345">
        <v>731</v>
      </c>
      <c r="C2345" t="s">
        <v>1188</v>
      </c>
      <c r="D2345" t="s">
        <v>1795</v>
      </c>
      <c r="F2345" t="s">
        <v>6413</v>
      </c>
      <c r="G2345" t="s">
        <v>4441</v>
      </c>
    </row>
    <row r="2346" spans="1:7" x14ac:dyDescent="0.25">
      <c r="A2346">
        <v>4646</v>
      </c>
      <c r="B2346">
        <v>624</v>
      </c>
      <c r="C2346" t="s">
        <v>898</v>
      </c>
      <c r="D2346" t="s">
        <v>6414</v>
      </c>
      <c r="F2346" t="s">
        <v>6415</v>
      </c>
      <c r="G2346" t="s">
        <v>1309</v>
      </c>
    </row>
    <row r="2347" spans="1:7" x14ac:dyDescent="0.25">
      <c r="A2347">
        <v>4647</v>
      </c>
      <c r="B2347">
        <v>624</v>
      </c>
      <c r="C2347" t="s">
        <v>898</v>
      </c>
      <c r="D2347" t="s">
        <v>6416</v>
      </c>
      <c r="F2347" t="s">
        <v>6415</v>
      </c>
    </row>
    <row r="2348" spans="1:7" x14ac:dyDescent="0.25">
      <c r="A2348">
        <v>4648</v>
      </c>
      <c r="B2348">
        <v>624</v>
      </c>
      <c r="C2348" t="s">
        <v>898</v>
      </c>
      <c r="D2348" t="s">
        <v>6417</v>
      </c>
      <c r="F2348" t="s">
        <v>6415</v>
      </c>
      <c r="G2348" t="s">
        <v>4448</v>
      </c>
    </row>
    <row r="2349" spans="1:7" x14ac:dyDescent="0.25">
      <c r="A2349">
        <v>4649</v>
      </c>
      <c r="B2349">
        <v>624</v>
      </c>
      <c r="C2349" t="s">
        <v>898</v>
      </c>
      <c r="D2349" t="s">
        <v>6418</v>
      </c>
      <c r="F2349" t="s">
        <v>6415</v>
      </c>
      <c r="G2349" t="s">
        <v>4447</v>
      </c>
    </row>
    <row r="2350" spans="1:7" x14ac:dyDescent="0.25">
      <c r="A2350">
        <v>4650</v>
      </c>
      <c r="B2350">
        <v>656</v>
      </c>
      <c r="C2350" t="s">
        <v>898</v>
      </c>
      <c r="D2350" t="s">
        <v>6419</v>
      </c>
      <c r="E2350" t="s">
        <v>6420</v>
      </c>
      <c r="F2350" t="s">
        <v>4878</v>
      </c>
      <c r="G2350" t="s">
        <v>4441</v>
      </c>
    </row>
    <row r="2351" spans="1:7" x14ac:dyDescent="0.25">
      <c r="A2351">
        <v>4651</v>
      </c>
      <c r="B2351">
        <v>656</v>
      </c>
      <c r="C2351" t="s">
        <v>898</v>
      </c>
      <c r="D2351" t="s">
        <v>6421</v>
      </c>
      <c r="F2351" t="s">
        <v>4878</v>
      </c>
      <c r="G2351" t="s">
        <v>4452</v>
      </c>
    </row>
    <row r="2352" spans="1:7" x14ac:dyDescent="0.25">
      <c r="A2352">
        <v>4654</v>
      </c>
      <c r="B2352">
        <v>111</v>
      </c>
      <c r="C2352" t="s">
        <v>898</v>
      </c>
      <c r="D2352" t="s">
        <v>6422</v>
      </c>
      <c r="F2352" t="s">
        <v>6423</v>
      </c>
      <c r="G2352" t="s">
        <v>4448</v>
      </c>
    </row>
    <row r="2353" spans="1:7" x14ac:dyDescent="0.25">
      <c r="A2353">
        <v>4655</v>
      </c>
      <c r="B2353">
        <v>820</v>
      </c>
      <c r="C2353" t="s">
        <v>898</v>
      </c>
      <c r="D2353" t="s">
        <v>6424</v>
      </c>
      <c r="F2353" t="s">
        <v>5995</v>
      </c>
      <c r="G2353" t="s">
        <v>4442</v>
      </c>
    </row>
    <row r="2354" spans="1:7" x14ac:dyDescent="0.25">
      <c r="A2354">
        <v>4656</v>
      </c>
      <c r="B2354">
        <v>403</v>
      </c>
      <c r="C2354" t="s">
        <v>898</v>
      </c>
      <c r="D2354" t="s">
        <v>5762</v>
      </c>
      <c r="E2354" t="s">
        <v>4961</v>
      </c>
      <c r="F2354" t="s">
        <v>6425</v>
      </c>
      <c r="G2354" t="s">
        <v>4442</v>
      </c>
    </row>
    <row r="2355" spans="1:7" x14ac:dyDescent="0.25">
      <c r="A2355">
        <v>4657</v>
      </c>
      <c r="B2355">
        <v>403</v>
      </c>
      <c r="C2355" t="s">
        <v>898</v>
      </c>
      <c r="D2355" t="s">
        <v>6426</v>
      </c>
      <c r="E2355" t="s">
        <v>6427</v>
      </c>
      <c r="F2355" t="s">
        <v>6428</v>
      </c>
      <c r="G2355" t="s">
        <v>4442</v>
      </c>
    </row>
    <row r="2356" spans="1:7" x14ac:dyDescent="0.25">
      <c r="A2356">
        <v>4658</v>
      </c>
      <c r="B2356">
        <v>403</v>
      </c>
      <c r="C2356" t="s">
        <v>898</v>
      </c>
      <c r="D2356" t="s">
        <v>6429</v>
      </c>
      <c r="F2356" t="s">
        <v>6430</v>
      </c>
      <c r="G2356" t="s">
        <v>1309</v>
      </c>
    </row>
    <row r="2357" spans="1:7" x14ac:dyDescent="0.25">
      <c r="A2357">
        <v>4659</v>
      </c>
      <c r="B2357">
        <v>403</v>
      </c>
      <c r="C2357" t="s">
        <v>898</v>
      </c>
      <c r="D2357" t="s">
        <v>6431</v>
      </c>
      <c r="F2357" t="s">
        <v>6432</v>
      </c>
      <c r="G2357" t="s">
        <v>2755</v>
      </c>
    </row>
    <row r="2358" spans="1:7" x14ac:dyDescent="0.25">
      <c r="A2358">
        <v>4660</v>
      </c>
      <c r="B2358">
        <v>795</v>
      </c>
      <c r="C2358" t="s">
        <v>898</v>
      </c>
      <c r="D2358" t="s">
        <v>6433</v>
      </c>
      <c r="E2358" t="s">
        <v>6434</v>
      </c>
      <c r="F2358" t="s">
        <v>5830</v>
      </c>
      <c r="G2358" t="s">
        <v>4448</v>
      </c>
    </row>
    <row r="2359" spans="1:7" x14ac:dyDescent="0.25">
      <c r="A2359">
        <v>4661</v>
      </c>
      <c r="B2359">
        <v>795</v>
      </c>
      <c r="C2359" t="s">
        <v>898</v>
      </c>
      <c r="D2359" t="s">
        <v>6435</v>
      </c>
      <c r="F2359" t="s">
        <v>5830</v>
      </c>
      <c r="G2359" t="s">
        <v>4442</v>
      </c>
    </row>
    <row r="2360" spans="1:7" x14ac:dyDescent="0.25">
      <c r="A2360">
        <v>4662</v>
      </c>
      <c r="B2360">
        <v>795</v>
      </c>
      <c r="C2360" t="s">
        <v>898</v>
      </c>
      <c r="D2360" t="s">
        <v>6436</v>
      </c>
      <c r="F2360" t="s">
        <v>5830</v>
      </c>
      <c r="G2360" t="s">
        <v>919</v>
      </c>
    </row>
    <row r="2361" spans="1:7" x14ac:dyDescent="0.25">
      <c r="A2361">
        <v>4663</v>
      </c>
      <c r="B2361">
        <v>795</v>
      </c>
      <c r="C2361" t="s">
        <v>898</v>
      </c>
      <c r="D2361" t="s">
        <v>6437</v>
      </c>
      <c r="E2361" t="s">
        <v>6438</v>
      </c>
      <c r="F2361" t="s">
        <v>5830</v>
      </c>
      <c r="G2361" t="s">
        <v>4444</v>
      </c>
    </row>
    <row r="2362" spans="1:7" x14ac:dyDescent="0.25">
      <c r="A2362">
        <v>4664</v>
      </c>
      <c r="B2362">
        <v>125</v>
      </c>
      <c r="C2362" t="s">
        <v>898</v>
      </c>
      <c r="D2362" t="s">
        <v>6439</v>
      </c>
      <c r="E2362" t="s">
        <v>6440</v>
      </c>
      <c r="F2362" t="s">
        <v>1226</v>
      </c>
      <c r="G2362" t="s">
        <v>4440</v>
      </c>
    </row>
    <row r="2363" spans="1:7" x14ac:dyDescent="0.25">
      <c r="A2363">
        <v>4665</v>
      </c>
      <c r="B2363">
        <v>125</v>
      </c>
      <c r="C2363" t="s">
        <v>898</v>
      </c>
      <c r="D2363" t="s">
        <v>6441</v>
      </c>
      <c r="E2363" t="s">
        <v>1923</v>
      </c>
      <c r="F2363" t="s">
        <v>1226</v>
      </c>
      <c r="G2363" t="s">
        <v>4462</v>
      </c>
    </row>
    <row r="2364" spans="1:7" x14ac:dyDescent="0.25">
      <c r="A2364">
        <v>4666</v>
      </c>
      <c r="B2364">
        <v>125</v>
      </c>
      <c r="C2364" t="s">
        <v>898</v>
      </c>
      <c r="D2364" t="s">
        <v>1818</v>
      </c>
      <c r="E2364" t="s">
        <v>6442</v>
      </c>
      <c r="F2364" t="s">
        <v>1226</v>
      </c>
    </row>
    <row r="2365" spans="1:7" x14ac:dyDescent="0.25">
      <c r="A2365">
        <v>4667</v>
      </c>
      <c r="B2365">
        <v>125</v>
      </c>
      <c r="C2365" t="s">
        <v>898</v>
      </c>
      <c r="D2365" t="s">
        <v>6443</v>
      </c>
      <c r="F2365" t="s">
        <v>1226</v>
      </c>
      <c r="G2365" t="s">
        <v>1262</v>
      </c>
    </row>
    <row r="2366" spans="1:7" x14ac:dyDescent="0.25">
      <c r="A2366">
        <v>4668</v>
      </c>
      <c r="B2366">
        <v>547</v>
      </c>
      <c r="C2366" t="s">
        <v>894</v>
      </c>
      <c r="D2366" t="s">
        <v>6444</v>
      </c>
      <c r="F2366" t="s">
        <v>2373</v>
      </c>
      <c r="G2366" t="s">
        <v>1670</v>
      </c>
    </row>
    <row r="2367" spans="1:7" x14ac:dyDescent="0.25">
      <c r="A2367">
        <v>4669</v>
      </c>
      <c r="B2367">
        <v>125</v>
      </c>
      <c r="C2367" t="s">
        <v>898</v>
      </c>
      <c r="D2367" t="s">
        <v>6445</v>
      </c>
      <c r="F2367" t="s">
        <v>1226</v>
      </c>
      <c r="G2367" t="s">
        <v>2756</v>
      </c>
    </row>
    <row r="2368" spans="1:7" x14ac:dyDescent="0.25">
      <c r="A2368">
        <v>4670</v>
      </c>
      <c r="B2368">
        <v>125</v>
      </c>
      <c r="C2368" t="s">
        <v>898</v>
      </c>
      <c r="D2368" t="s">
        <v>6446</v>
      </c>
      <c r="F2368" t="s">
        <v>1226</v>
      </c>
      <c r="G2368" t="s">
        <v>2758</v>
      </c>
    </row>
    <row r="2369" spans="1:7" x14ac:dyDescent="0.25">
      <c r="A2369">
        <v>4671</v>
      </c>
      <c r="B2369">
        <v>125</v>
      </c>
      <c r="C2369" t="s">
        <v>898</v>
      </c>
      <c r="D2369" t="s">
        <v>6447</v>
      </c>
      <c r="F2369" t="s">
        <v>1226</v>
      </c>
      <c r="G2369" t="s">
        <v>1457</v>
      </c>
    </row>
    <row r="2370" spans="1:7" x14ac:dyDescent="0.25">
      <c r="A2370">
        <v>4672</v>
      </c>
      <c r="B2370">
        <v>617</v>
      </c>
      <c r="C2370" t="s">
        <v>894</v>
      </c>
      <c r="D2370" t="s">
        <v>1028</v>
      </c>
      <c r="E2370" t="s">
        <v>6448</v>
      </c>
      <c r="F2370" t="s">
        <v>2592</v>
      </c>
      <c r="G2370" t="s">
        <v>919</v>
      </c>
    </row>
    <row r="2371" spans="1:7" x14ac:dyDescent="0.25">
      <c r="A2371">
        <v>4673</v>
      </c>
      <c r="B2371">
        <v>617</v>
      </c>
      <c r="C2371" t="s">
        <v>894</v>
      </c>
      <c r="D2371" t="s">
        <v>6295</v>
      </c>
      <c r="E2371" t="s">
        <v>6449</v>
      </c>
      <c r="F2371" t="s">
        <v>2592</v>
      </c>
      <c r="G2371" t="s">
        <v>1457</v>
      </c>
    </row>
    <row r="2372" spans="1:7" x14ac:dyDescent="0.25">
      <c r="A2372">
        <v>4674</v>
      </c>
      <c r="B2372">
        <v>617</v>
      </c>
      <c r="C2372" t="s">
        <v>894</v>
      </c>
      <c r="D2372" t="s">
        <v>6450</v>
      </c>
      <c r="E2372" t="s">
        <v>6451</v>
      </c>
      <c r="F2372" t="s">
        <v>2592</v>
      </c>
      <c r="G2372" t="s">
        <v>4456</v>
      </c>
    </row>
    <row r="2373" spans="1:7" x14ac:dyDescent="0.25">
      <c r="A2373">
        <v>4676</v>
      </c>
      <c r="B2373">
        <v>673</v>
      </c>
      <c r="C2373" t="s">
        <v>898</v>
      </c>
      <c r="D2373" t="s">
        <v>6452</v>
      </c>
      <c r="F2373" t="s">
        <v>5083</v>
      </c>
      <c r="G2373" t="s">
        <v>4450</v>
      </c>
    </row>
    <row r="2374" spans="1:7" x14ac:dyDescent="0.25">
      <c r="A2374">
        <v>4677</v>
      </c>
      <c r="B2374">
        <v>394</v>
      </c>
      <c r="C2374" t="s">
        <v>898</v>
      </c>
      <c r="D2374" t="s">
        <v>6453</v>
      </c>
      <c r="F2374" t="s">
        <v>5725</v>
      </c>
      <c r="G2374" t="s">
        <v>4447</v>
      </c>
    </row>
    <row r="2375" spans="1:7" x14ac:dyDescent="0.25">
      <c r="A2375">
        <v>4678</v>
      </c>
      <c r="B2375">
        <v>394</v>
      </c>
      <c r="C2375" t="s">
        <v>898</v>
      </c>
      <c r="D2375" t="s">
        <v>6454</v>
      </c>
      <c r="F2375" t="s">
        <v>5725</v>
      </c>
      <c r="G2375" t="s">
        <v>4440</v>
      </c>
    </row>
    <row r="2376" spans="1:7" x14ac:dyDescent="0.25">
      <c r="A2376">
        <v>4679</v>
      </c>
      <c r="B2376">
        <v>733</v>
      </c>
      <c r="C2376" t="s">
        <v>898</v>
      </c>
      <c r="D2376" t="s">
        <v>6455</v>
      </c>
      <c r="F2376" t="s">
        <v>5359</v>
      </c>
      <c r="G2376" t="s">
        <v>4447</v>
      </c>
    </row>
    <row r="2377" spans="1:7" x14ac:dyDescent="0.25">
      <c r="A2377">
        <v>4681</v>
      </c>
      <c r="B2377">
        <v>675</v>
      </c>
      <c r="C2377" t="s">
        <v>898</v>
      </c>
      <c r="D2377" t="s">
        <v>6456</v>
      </c>
      <c r="F2377" t="s">
        <v>6457</v>
      </c>
      <c r="G2377" t="s">
        <v>1125</v>
      </c>
    </row>
    <row r="2378" spans="1:7" x14ac:dyDescent="0.25">
      <c r="A2378">
        <v>4682</v>
      </c>
      <c r="B2378">
        <v>675</v>
      </c>
      <c r="C2378" t="s">
        <v>898</v>
      </c>
      <c r="D2378" t="s">
        <v>6458</v>
      </c>
      <c r="F2378" t="s">
        <v>5095</v>
      </c>
      <c r="G2378" t="s">
        <v>2755</v>
      </c>
    </row>
    <row r="2379" spans="1:7" x14ac:dyDescent="0.25">
      <c r="A2379">
        <v>4683</v>
      </c>
      <c r="B2379">
        <v>773</v>
      </c>
      <c r="C2379" t="s">
        <v>894</v>
      </c>
      <c r="D2379" t="s">
        <v>6459</v>
      </c>
      <c r="E2379" t="s">
        <v>6460</v>
      </c>
      <c r="F2379" t="s">
        <v>6461</v>
      </c>
    </row>
    <row r="2380" spans="1:7" x14ac:dyDescent="0.25">
      <c r="A2380">
        <v>4684</v>
      </c>
      <c r="B2380">
        <v>644</v>
      </c>
      <c r="C2380" t="s">
        <v>898</v>
      </c>
      <c r="D2380" t="s">
        <v>6462</v>
      </c>
      <c r="F2380" t="s">
        <v>4717</v>
      </c>
      <c r="G2380" t="s">
        <v>4447</v>
      </c>
    </row>
    <row r="2381" spans="1:7" x14ac:dyDescent="0.25">
      <c r="A2381">
        <v>4685</v>
      </c>
      <c r="B2381">
        <v>644</v>
      </c>
      <c r="C2381" t="s">
        <v>898</v>
      </c>
      <c r="D2381" t="s">
        <v>6463</v>
      </c>
      <c r="F2381" t="s">
        <v>4717</v>
      </c>
      <c r="G2381" t="s">
        <v>4445</v>
      </c>
    </row>
    <row r="2382" spans="1:7" x14ac:dyDescent="0.25">
      <c r="A2382">
        <v>4686</v>
      </c>
      <c r="B2382">
        <v>644</v>
      </c>
      <c r="C2382" t="s">
        <v>898</v>
      </c>
      <c r="D2382" t="s">
        <v>6464</v>
      </c>
      <c r="F2382" t="s">
        <v>4717</v>
      </c>
      <c r="G2382" t="s">
        <v>4441</v>
      </c>
    </row>
    <row r="2383" spans="1:7" x14ac:dyDescent="0.25">
      <c r="A2383">
        <v>4687</v>
      </c>
      <c r="B2383">
        <v>644</v>
      </c>
      <c r="C2383" t="s">
        <v>898</v>
      </c>
      <c r="D2383" t="s">
        <v>6465</v>
      </c>
      <c r="F2383" t="s">
        <v>4717</v>
      </c>
      <c r="G2383" t="s">
        <v>4461</v>
      </c>
    </row>
    <row r="2384" spans="1:7" x14ac:dyDescent="0.25">
      <c r="A2384">
        <v>4688</v>
      </c>
      <c r="B2384">
        <v>644</v>
      </c>
      <c r="C2384" t="s">
        <v>898</v>
      </c>
      <c r="D2384" t="s">
        <v>6466</v>
      </c>
      <c r="F2384" t="s">
        <v>4717</v>
      </c>
      <c r="G2384" t="s">
        <v>1457</v>
      </c>
    </row>
    <row r="2385" spans="1:7" x14ac:dyDescent="0.25">
      <c r="A2385">
        <v>4689</v>
      </c>
      <c r="B2385">
        <v>644</v>
      </c>
      <c r="C2385" t="s">
        <v>898</v>
      </c>
      <c r="D2385" t="s">
        <v>6467</v>
      </c>
      <c r="F2385" t="s">
        <v>4717</v>
      </c>
      <c r="G2385" t="s">
        <v>2755</v>
      </c>
    </row>
    <row r="2386" spans="1:7" x14ac:dyDescent="0.25">
      <c r="A2386">
        <v>4690</v>
      </c>
      <c r="B2386">
        <v>12</v>
      </c>
      <c r="C2386" t="s">
        <v>894</v>
      </c>
      <c r="D2386" t="s">
        <v>966</v>
      </c>
      <c r="E2386" t="s">
        <v>6468</v>
      </c>
      <c r="F2386" t="s">
        <v>6469</v>
      </c>
      <c r="G2386" t="s">
        <v>2758</v>
      </c>
    </row>
    <row r="2387" spans="1:7" x14ac:dyDescent="0.25">
      <c r="A2387">
        <v>4691</v>
      </c>
      <c r="B2387">
        <v>668</v>
      </c>
      <c r="C2387" t="s">
        <v>898</v>
      </c>
      <c r="D2387" t="s">
        <v>6470</v>
      </c>
      <c r="E2387" t="s">
        <v>6471</v>
      </c>
      <c r="F2387" t="s">
        <v>5025</v>
      </c>
      <c r="G2387" t="s">
        <v>1309</v>
      </c>
    </row>
    <row r="2388" spans="1:7" x14ac:dyDescent="0.25">
      <c r="A2388">
        <v>4692</v>
      </c>
      <c r="B2388">
        <v>668</v>
      </c>
      <c r="C2388" t="s">
        <v>898</v>
      </c>
      <c r="D2388" t="s">
        <v>6472</v>
      </c>
      <c r="E2388" t="s">
        <v>6473</v>
      </c>
      <c r="F2388" t="s">
        <v>5025</v>
      </c>
      <c r="G2388" t="s">
        <v>1125</v>
      </c>
    </row>
    <row r="2389" spans="1:7" x14ac:dyDescent="0.25">
      <c r="A2389">
        <v>4693</v>
      </c>
      <c r="B2389">
        <v>668</v>
      </c>
      <c r="C2389" t="s">
        <v>898</v>
      </c>
      <c r="D2389" t="s">
        <v>6474</v>
      </c>
      <c r="E2389" t="s">
        <v>6475</v>
      </c>
      <c r="F2389" t="s">
        <v>5025</v>
      </c>
      <c r="G2389" t="s">
        <v>1309</v>
      </c>
    </row>
    <row r="2390" spans="1:7" x14ac:dyDescent="0.25">
      <c r="A2390">
        <v>4694</v>
      </c>
      <c r="B2390">
        <v>668</v>
      </c>
      <c r="C2390" t="s">
        <v>898</v>
      </c>
      <c r="D2390" t="s">
        <v>6476</v>
      </c>
      <c r="E2390" t="s">
        <v>6477</v>
      </c>
      <c r="F2390" t="s">
        <v>5025</v>
      </c>
      <c r="G2390" t="s">
        <v>1457</v>
      </c>
    </row>
    <row r="2391" spans="1:7" x14ac:dyDescent="0.25">
      <c r="A2391">
        <v>4695</v>
      </c>
      <c r="B2391">
        <v>668</v>
      </c>
      <c r="C2391" t="s">
        <v>898</v>
      </c>
      <c r="D2391" t="s">
        <v>6478</v>
      </c>
      <c r="E2391" t="s">
        <v>6479</v>
      </c>
      <c r="F2391" t="s">
        <v>5025</v>
      </c>
      <c r="G2391" t="s">
        <v>1457</v>
      </c>
    </row>
    <row r="2392" spans="1:7" x14ac:dyDescent="0.25">
      <c r="A2392">
        <v>4696</v>
      </c>
      <c r="B2392">
        <v>668</v>
      </c>
      <c r="C2392" t="s">
        <v>898</v>
      </c>
      <c r="D2392" t="s">
        <v>6480</v>
      </c>
      <c r="E2392" t="s">
        <v>6481</v>
      </c>
      <c r="F2392" t="s">
        <v>5025</v>
      </c>
      <c r="G2392" t="s">
        <v>4447</v>
      </c>
    </row>
    <row r="2393" spans="1:7" x14ac:dyDescent="0.25">
      <c r="A2393">
        <v>4697</v>
      </c>
      <c r="B2393">
        <v>66</v>
      </c>
      <c r="C2393" t="s">
        <v>894</v>
      </c>
      <c r="D2393" t="s">
        <v>1254</v>
      </c>
      <c r="F2393" t="s">
        <v>5602</v>
      </c>
      <c r="G2393" t="s">
        <v>4442</v>
      </c>
    </row>
    <row r="2394" spans="1:7" x14ac:dyDescent="0.25">
      <c r="A2394">
        <v>4698</v>
      </c>
      <c r="B2394">
        <v>66</v>
      </c>
      <c r="C2394" t="s">
        <v>894</v>
      </c>
      <c r="D2394" t="s">
        <v>6482</v>
      </c>
      <c r="F2394" t="s">
        <v>5602</v>
      </c>
      <c r="G2394" t="s">
        <v>4442</v>
      </c>
    </row>
    <row r="2395" spans="1:7" x14ac:dyDescent="0.25">
      <c r="A2395">
        <v>4699</v>
      </c>
      <c r="B2395">
        <v>66</v>
      </c>
      <c r="C2395" t="s">
        <v>894</v>
      </c>
      <c r="D2395" t="s">
        <v>6483</v>
      </c>
      <c r="F2395" t="s">
        <v>5602</v>
      </c>
    </row>
    <row r="2396" spans="1:7" x14ac:dyDescent="0.25">
      <c r="A2396">
        <v>4700</v>
      </c>
      <c r="B2396">
        <v>66</v>
      </c>
      <c r="C2396" t="s">
        <v>894</v>
      </c>
      <c r="D2396" t="s">
        <v>1405</v>
      </c>
      <c r="F2396" t="s">
        <v>5602</v>
      </c>
    </row>
    <row r="2397" spans="1:7" x14ac:dyDescent="0.25">
      <c r="A2397">
        <v>4701</v>
      </c>
      <c r="B2397">
        <v>66</v>
      </c>
      <c r="C2397" t="s">
        <v>894</v>
      </c>
      <c r="D2397" t="s">
        <v>6484</v>
      </c>
      <c r="F2397" t="s">
        <v>5602</v>
      </c>
      <c r="G2397" t="s">
        <v>4447</v>
      </c>
    </row>
    <row r="2398" spans="1:7" x14ac:dyDescent="0.25">
      <c r="A2398">
        <v>4702</v>
      </c>
      <c r="B2398">
        <v>66</v>
      </c>
      <c r="C2398" t="s">
        <v>894</v>
      </c>
      <c r="D2398" t="s">
        <v>6485</v>
      </c>
      <c r="F2398" t="s">
        <v>5602</v>
      </c>
    </row>
    <row r="2399" spans="1:7" x14ac:dyDescent="0.25">
      <c r="A2399">
        <v>4703</v>
      </c>
      <c r="B2399">
        <v>66</v>
      </c>
      <c r="C2399" t="s">
        <v>894</v>
      </c>
      <c r="D2399" t="s">
        <v>6486</v>
      </c>
      <c r="F2399" t="s">
        <v>5602</v>
      </c>
      <c r="G2399" t="s">
        <v>4447</v>
      </c>
    </row>
    <row r="2400" spans="1:7" x14ac:dyDescent="0.25">
      <c r="A2400">
        <v>4704</v>
      </c>
      <c r="B2400">
        <v>66</v>
      </c>
      <c r="C2400" t="s">
        <v>894</v>
      </c>
      <c r="D2400" t="s">
        <v>1043</v>
      </c>
      <c r="F2400" t="s">
        <v>5602</v>
      </c>
      <c r="G2400" t="s">
        <v>4443</v>
      </c>
    </row>
    <row r="2401" spans="1:7" x14ac:dyDescent="0.25">
      <c r="A2401">
        <v>4705</v>
      </c>
      <c r="B2401">
        <v>66</v>
      </c>
      <c r="C2401" t="s">
        <v>894</v>
      </c>
      <c r="D2401" t="s">
        <v>6487</v>
      </c>
      <c r="F2401" t="s">
        <v>5602</v>
      </c>
      <c r="G2401" t="s">
        <v>4447</v>
      </c>
    </row>
    <row r="2402" spans="1:7" x14ac:dyDescent="0.25">
      <c r="A2402">
        <v>4706</v>
      </c>
      <c r="B2402">
        <v>66</v>
      </c>
      <c r="C2402" t="s">
        <v>894</v>
      </c>
      <c r="D2402" t="s">
        <v>6488</v>
      </c>
      <c r="F2402" t="s">
        <v>5602</v>
      </c>
      <c r="G2402" t="s">
        <v>4447</v>
      </c>
    </row>
    <row r="2403" spans="1:7" x14ac:dyDescent="0.25">
      <c r="A2403">
        <v>4708</v>
      </c>
      <c r="B2403">
        <v>66</v>
      </c>
      <c r="C2403" t="s">
        <v>894</v>
      </c>
      <c r="D2403" t="s">
        <v>6489</v>
      </c>
      <c r="F2403" t="s">
        <v>5602</v>
      </c>
      <c r="G2403" t="s">
        <v>4459</v>
      </c>
    </row>
    <row r="2404" spans="1:7" x14ac:dyDescent="0.25">
      <c r="A2404">
        <v>4709</v>
      </c>
      <c r="B2404">
        <v>66</v>
      </c>
      <c r="C2404" t="s">
        <v>894</v>
      </c>
      <c r="D2404" t="s">
        <v>917</v>
      </c>
      <c r="F2404" t="s">
        <v>5602</v>
      </c>
      <c r="G2404" t="s">
        <v>919</v>
      </c>
    </row>
    <row r="2405" spans="1:7" x14ac:dyDescent="0.25">
      <c r="A2405">
        <v>4710</v>
      </c>
      <c r="B2405">
        <v>66</v>
      </c>
      <c r="C2405" t="s">
        <v>894</v>
      </c>
      <c r="D2405" t="s">
        <v>5443</v>
      </c>
      <c r="F2405" t="s">
        <v>5602</v>
      </c>
      <c r="G2405" t="s">
        <v>4448</v>
      </c>
    </row>
    <row r="2406" spans="1:7" x14ac:dyDescent="0.25">
      <c r="A2406">
        <v>4711</v>
      </c>
      <c r="B2406">
        <v>66</v>
      </c>
      <c r="C2406" t="s">
        <v>894</v>
      </c>
      <c r="D2406" t="s">
        <v>5379</v>
      </c>
      <c r="F2406" t="s">
        <v>5602</v>
      </c>
      <c r="G2406" t="s">
        <v>4446</v>
      </c>
    </row>
    <row r="2407" spans="1:7" x14ac:dyDescent="0.25">
      <c r="A2407">
        <v>4712</v>
      </c>
      <c r="B2407">
        <v>66</v>
      </c>
      <c r="C2407" t="s">
        <v>894</v>
      </c>
      <c r="D2407" t="s">
        <v>6490</v>
      </c>
      <c r="F2407" t="s">
        <v>5602</v>
      </c>
      <c r="G2407" t="s">
        <v>4453</v>
      </c>
    </row>
    <row r="2408" spans="1:7" x14ac:dyDescent="0.25">
      <c r="A2408">
        <v>4713</v>
      </c>
      <c r="B2408">
        <v>64</v>
      </c>
      <c r="C2408" t="s">
        <v>894</v>
      </c>
      <c r="D2408" t="s">
        <v>895</v>
      </c>
      <c r="E2408" t="s">
        <v>6491</v>
      </c>
      <c r="F2408" t="s">
        <v>6492</v>
      </c>
      <c r="G2408" t="s">
        <v>4448</v>
      </c>
    </row>
    <row r="2409" spans="1:7" x14ac:dyDescent="0.25">
      <c r="A2409">
        <v>4714</v>
      </c>
      <c r="B2409">
        <v>647</v>
      </c>
      <c r="C2409" t="s">
        <v>898</v>
      </c>
      <c r="D2409" t="s">
        <v>6493</v>
      </c>
      <c r="F2409" t="s">
        <v>4745</v>
      </c>
      <c r="G2409" t="s">
        <v>2758</v>
      </c>
    </row>
    <row r="2410" spans="1:7" x14ac:dyDescent="0.25">
      <c r="A2410">
        <v>4715</v>
      </c>
      <c r="B2410">
        <v>647</v>
      </c>
      <c r="C2410" t="s">
        <v>898</v>
      </c>
      <c r="D2410" t="s">
        <v>6494</v>
      </c>
      <c r="F2410" t="s">
        <v>4745</v>
      </c>
      <c r="G2410" t="s">
        <v>2755</v>
      </c>
    </row>
    <row r="2411" spans="1:7" x14ac:dyDescent="0.25">
      <c r="A2411">
        <v>4717</v>
      </c>
      <c r="B2411">
        <v>647</v>
      </c>
      <c r="C2411" t="s">
        <v>898</v>
      </c>
      <c r="D2411" t="s">
        <v>6495</v>
      </c>
      <c r="F2411" t="s">
        <v>4745</v>
      </c>
      <c r="G2411" t="s">
        <v>4460</v>
      </c>
    </row>
    <row r="2412" spans="1:7" x14ac:dyDescent="0.25">
      <c r="A2412">
        <v>4718</v>
      </c>
      <c r="B2412">
        <v>647</v>
      </c>
      <c r="C2412" t="s">
        <v>898</v>
      </c>
      <c r="D2412" t="s">
        <v>6496</v>
      </c>
      <c r="F2412" t="s">
        <v>4745</v>
      </c>
      <c r="G2412" t="s">
        <v>4440</v>
      </c>
    </row>
    <row r="2413" spans="1:7" x14ac:dyDescent="0.25">
      <c r="A2413">
        <v>4719</v>
      </c>
      <c r="B2413">
        <v>647</v>
      </c>
      <c r="C2413" t="s">
        <v>898</v>
      </c>
      <c r="D2413" t="s">
        <v>6497</v>
      </c>
      <c r="F2413" t="s">
        <v>4745</v>
      </c>
      <c r="G2413" t="s">
        <v>4456</v>
      </c>
    </row>
    <row r="2414" spans="1:7" x14ac:dyDescent="0.25">
      <c r="A2414">
        <v>4720</v>
      </c>
      <c r="B2414">
        <v>647</v>
      </c>
      <c r="C2414" t="s">
        <v>898</v>
      </c>
      <c r="D2414" t="s">
        <v>6498</v>
      </c>
      <c r="F2414" t="s">
        <v>4745</v>
      </c>
      <c r="G2414" t="s">
        <v>4452</v>
      </c>
    </row>
    <row r="2415" spans="1:7" x14ac:dyDescent="0.25">
      <c r="A2415">
        <v>4721</v>
      </c>
      <c r="B2415">
        <v>137</v>
      </c>
      <c r="C2415" t="s">
        <v>894</v>
      </c>
      <c r="D2415" t="s">
        <v>6499</v>
      </c>
      <c r="F2415" t="s">
        <v>1255</v>
      </c>
      <c r="G2415" t="s">
        <v>4442</v>
      </c>
    </row>
    <row r="2416" spans="1:7" x14ac:dyDescent="0.25">
      <c r="A2416">
        <v>4722</v>
      </c>
      <c r="B2416">
        <v>137</v>
      </c>
      <c r="C2416" t="s">
        <v>894</v>
      </c>
      <c r="D2416" t="s">
        <v>1525</v>
      </c>
      <c r="F2416" t="s">
        <v>1255</v>
      </c>
      <c r="G2416" t="s">
        <v>4442</v>
      </c>
    </row>
    <row r="2417" spans="1:7" x14ac:dyDescent="0.25">
      <c r="A2417">
        <v>4723</v>
      </c>
      <c r="B2417">
        <v>137</v>
      </c>
      <c r="C2417" t="s">
        <v>894</v>
      </c>
      <c r="D2417" t="s">
        <v>6500</v>
      </c>
      <c r="F2417" t="s">
        <v>1255</v>
      </c>
      <c r="G2417" t="s">
        <v>4446</v>
      </c>
    </row>
    <row r="2418" spans="1:7" x14ac:dyDescent="0.25">
      <c r="A2418">
        <v>4724</v>
      </c>
      <c r="B2418">
        <v>137</v>
      </c>
      <c r="C2418" t="s">
        <v>894</v>
      </c>
      <c r="D2418" t="s">
        <v>6501</v>
      </c>
      <c r="F2418" t="s">
        <v>1255</v>
      </c>
      <c r="G2418" t="s">
        <v>4447</v>
      </c>
    </row>
    <row r="2419" spans="1:7" x14ac:dyDescent="0.25">
      <c r="A2419">
        <v>4725</v>
      </c>
      <c r="B2419">
        <v>137</v>
      </c>
      <c r="C2419" t="s">
        <v>894</v>
      </c>
      <c r="D2419" t="s">
        <v>917</v>
      </c>
      <c r="F2419" t="s">
        <v>1255</v>
      </c>
      <c r="G2419" t="s">
        <v>919</v>
      </c>
    </row>
    <row r="2420" spans="1:7" x14ac:dyDescent="0.25">
      <c r="A2420">
        <v>4726</v>
      </c>
      <c r="B2420">
        <v>137</v>
      </c>
      <c r="C2420" t="s">
        <v>894</v>
      </c>
      <c r="D2420" t="s">
        <v>6502</v>
      </c>
      <c r="F2420" t="s">
        <v>1255</v>
      </c>
      <c r="G2420" t="s">
        <v>4445</v>
      </c>
    </row>
    <row r="2421" spans="1:7" x14ac:dyDescent="0.25">
      <c r="A2421">
        <v>4727</v>
      </c>
      <c r="B2421">
        <v>616</v>
      </c>
      <c r="C2421" t="s">
        <v>894</v>
      </c>
      <c r="D2421" t="s">
        <v>6503</v>
      </c>
      <c r="F2421" t="s">
        <v>6167</v>
      </c>
      <c r="G2421" t="s">
        <v>4443</v>
      </c>
    </row>
    <row r="2422" spans="1:7" x14ac:dyDescent="0.25">
      <c r="A2422">
        <v>4728</v>
      </c>
      <c r="B2422">
        <v>137</v>
      </c>
      <c r="C2422" t="s">
        <v>894</v>
      </c>
      <c r="D2422" t="s">
        <v>6504</v>
      </c>
      <c r="F2422" t="s">
        <v>1255</v>
      </c>
      <c r="G2422" t="s">
        <v>4447</v>
      </c>
    </row>
    <row r="2423" spans="1:7" x14ac:dyDescent="0.25">
      <c r="A2423">
        <v>4729</v>
      </c>
      <c r="B2423">
        <v>137</v>
      </c>
      <c r="C2423" t="s">
        <v>894</v>
      </c>
      <c r="D2423" t="s">
        <v>6505</v>
      </c>
      <c r="F2423" t="s">
        <v>1255</v>
      </c>
    </row>
    <row r="2424" spans="1:7" x14ac:dyDescent="0.25">
      <c r="A2424">
        <v>4730</v>
      </c>
      <c r="B2424">
        <v>542</v>
      </c>
      <c r="C2424" t="s">
        <v>894</v>
      </c>
      <c r="D2424" t="s">
        <v>6506</v>
      </c>
      <c r="F2424" t="s">
        <v>2349</v>
      </c>
      <c r="G2424" t="s">
        <v>4445</v>
      </c>
    </row>
    <row r="2425" spans="1:7" x14ac:dyDescent="0.25">
      <c r="A2425">
        <v>4731</v>
      </c>
      <c r="B2425">
        <v>542</v>
      </c>
      <c r="C2425" t="s">
        <v>894</v>
      </c>
      <c r="D2425" t="s">
        <v>6507</v>
      </c>
      <c r="F2425" t="s">
        <v>2349</v>
      </c>
      <c r="G2425" t="s">
        <v>919</v>
      </c>
    </row>
    <row r="2426" spans="1:7" x14ac:dyDescent="0.25">
      <c r="A2426">
        <v>4732</v>
      </c>
      <c r="B2426">
        <v>542</v>
      </c>
      <c r="C2426" t="s">
        <v>894</v>
      </c>
      <c r="D2426" t="s">
        <v>6508</v>
      </c>
      <c r="F2426" t="s">
        <v>2349</v>
      </c>
      <c r="G2426" t="s">
        <v>4447</v>
      </c>
    </row>
    <row r="2427" spans="1:7" x14ac:dyDescent="0.25">
      <c r="A2427">
        <v>4733</v>
      </c>
      <c r="B2427">
        <v>51</v>
      </c>
      <c r="C2427" t="s">
        <v>894</v>
      </c>
      <c r="D2427" t="s">
        <v>1294</v>
      </c>
      <c r="E2427" t="s">
        <v>6509</v>
      </c>
      <c r="F2427" t="s">
        <v>6119</v>
      </c>
      <c r="G2427" t="s">
        <v>4443</v>
      </c>
    </row>
    <row r="2428" spans="1:7" x14ac:dyDescent="0.25">
      <c r="A2428">
        <v>4734</v>
      </c>
      <c r="B2428">
        <v>814</v>
      </c>
      <c r="C2428" t="s">
        <v>898</v>
      </c>
      <c r="D2428" t="s">
        <v>6510</v>
      </c>
      <c r="F2428" t="s">
        <v>5957</v>
      </c>
      <c r="G2428" t="s">
        <v>2755</v>
      </c>
    </row>
    <row r="2429" spans="1:7" x14ac:dyDescent="0.25">
      <c r="A2429">
        <v>4735</v>
      </c>
      <c r="B2429">
        <v>814</v>
      </c>
      <c r="C2429" t="s">
        <v>898</v>
      </c>
      <c r="D2429" t="s">
        <v>4853</v>
      </c>
      <c r="F2429" t="s">
        <v>5957</v>
      </c>
      <c r="G2429" t="s">
        <v>2755</v>
      </c>
    </row>
    <row r="2430" spans="1:7" x14ac:dyDescent="0.25">
      <c r="A2430">
        <v>4736</v>
      </c>
      <c r="B2430">
        <v>695</v>
      </c>
      <c r="C2430" t="s">
        <v>1188</v>
      </c>
      <c r="D2430" t="s">
        <v>1921</v>
      </c>
      <c r="F2430" t="s">
        <v>5186</v>
      </c>
      <c r="G2430" t="s">
        <v>919</v>
      </c>
    </row>
    <row r="2431" spans="1:7" x14ac:dyDescent="0.25">
      <c r="A2431">
        <v>4738</v>
      </c>
      <c r="B2431">
        <v>106</v>
      </c>
      <c r="C2431" t="s">
        <v>898</v>
      </c>
      <c r="D2431" t="s">
        <v>6511</v>
      </c>
      <c r="E2431" t="s">
        <v>6512</v>
      </c>
      <c r="F2431" t="s">
        <v>6513</v>
      </c>
      <c r="G2431" t="s">
        <v>4447</v>
      </c>
    </row>
    <row r="2432" spans="1:7" x14ac:dyDescent="0.25">
      <c r="A2432">
        <v>4739</v>
      </c>
      <c r="B2432">
        <v>106</v>
      </c>
      <c r="C2432" t="s">
        <v>898</v>
      </c>
      <c r="D2432" t="s">
        <v>6514</v>
      </c>
      <c r="E2432" t="s">
        <v>6515</v>
      </c>
      <c r="F2432" t="s">
        <v>6516</v>
      </c>
      <c r="G2432" t="s">
        <v>4447</v>
      </c>
    </row>
    <row r="2433" spans="1:7" x14ac:dyDescent="0.25">
      <c r="A2433">
        <v>4740</v>
      </c>
      <c r="B2433">
        <v>106</v>
      </c>
      <c r="C2433" t="s">
        <v>898</v>
      </c>
      <c r="D2433" t="s">
        <v>6517</v>
      </c>
      <c r="E2433" t="s">
        <v>6518</v>
      </c>
      <c r="F2433" t="s">
        <v>6519</v>
      </c>
      <c r="G2433" t="s">
        <v>4442</v>
      </c>
    </row>
    <row r="2434" spans="1:7" x14ac:dyDescent="0.25">
      <c r="A2434">
        <v>4741</v>
      </c>
      <c r="B2434">
        <v>106</v>
      </c>
      <c r="C2434" t="s">
        <v>898</v>
      </c>
      <c r="D2434" t="s">
        <v>6520</v>
      </c>
      <c r="E2434" t="s">
        <v>6521</v>
      </c>
      <c r="F2434" t="s">
        <v>6522</v>
      </c>
    </row>
    <row r="2435" spans="1:7" x14ac:dyDescent="0.25">
      <c r="A2435">
        <v>4742</v>
      </c>
      <c r="B2435">
        <v>106</v>
      </c>
      <c r="C2435" t="s">
        <v>898</v>
      </c>
      <c r="D2435" t="s">
        <v>6523</v>
      </c>
      <c r="E2435" t="s">
        <v>6524</v>
      </c>
      <c r="F2435" t="s">
        <v>6525</v>
      </c>
    </row>
    <row r="2436" spans="1:7" x14ac:dyDescent="0.25">
      <c r="A2436">
        <v>4743</v>
      </c>
      <c r="B2436">
        <v>106</v>
      </c>
      <c r="C2436" t="s">
        <v>898</v>
      </c>
      <c r="D2436" t="s">
        <v>6526</v>
      </c>
      <c r="E2436" t="s">
        <v>6527</v>
      </c>
      <c r="F2436" t="s">
        <v>6528</v>
      </c>
    </row>
    <row r="2437" spans="1:7" x14ac:dyDescent="0.25">
      <c r="A2437">
        <v>4744</v>
      </c>
      <c r="B2437">
        <v>106</v>
      </c>
      <c r="C2437" t="s">
        <v>898</v>
      </c>
      <c r="D2437" t="s">
        <v>6529</v>
      </c>
      <c r="E2437" t="s">
        <v>6530</v>
      </c>
      <c r="F2437" t="s">
        <v>6531</v>
      </c>
    </row>
    <row r="2438" spans="1:7" x14ac:dyDescent="0.25">
      <c r="A2438">
        <v>4745</v>
      </c>
      <c r="B2438">
        <v>38</v>
      </c>
      <c r="C2438" t="s">
        <v>894</v>
      </c>
      <c r="D2438" t="s">
        <v>6532</v>
      </c>
      <c r="E2438" t="s">
        <v>6533</v>
      </c>
      <c r="F2438" t="s">
        <v>6534</v>
      </c>
      <c r="G2438" t="s">
        <v>4446</v>
      </c>
    </row>
    <row r="2439" spans="1:7" x14ac:dyDescent="0.25">
      <c r="A2439">
        <v>4746</v>
      </c>
      <c r="B2439">
        <v>38</v>
      </c>
      <c r="C2439" t="s">
        <v>894</v>
      </c>
      <c r="D2439" t="s">
        <v>6535</v>
      </c>
      <c r="E2439" t="s">
        <v>6536</v>
      </c>
      <c r="F2439" t="s">
        <v>6534</v>
      </c>
      <c r="G2439" t="s">
        <v>1084</v>
      </c>
    </row>
    <row r="2440" spans="1:7" x14ac:dyDescent="0.25">
      <c r="A2440">
        <v>4747</v>
      </c>
      <c r="B2440">
        <v>38</v>
      </c>
      <c r="C2440" t="s">
        <v>894</v>
      </c>
      <c r="D2440" t="s">
        <v>6537</v>
      </c>
      <c r="E2440" t="s">
        <v>6538</v>
      </c>
      <c r="F2440" t="s">
        <v>6534</v>
      </c>
      <c r="G2440" t="s">
        <v>1084</v>
      </c>
    </row>
    <row r="2441" spans="1:7" x14ac:dyDescent="0.25">
      <c r="A2441">
        <v>4748</v>
      </c>
      <c r="B2441">
        <v>38</v>
      </c>
      <c r="C2441" t="s">
        <v>894</v>
      </c>
      <c r="D2441" t="s">
        <v>6539</v>
      </c>
      <c r="E2441" t="s">
        <v>6540</v>
      </c>
      <c r="F2441" t="s">
        <v>6534</v>
      </c>
      <c r="G2441" t="s">
        <v>1084</v>
      </c>
    </row>
    <row r="2442" spans="1:7" x14ac:dyDescent="0.25">
      <c r="A2442">
        <v>4749</v>
      </c>
      <c r="B2442">
        <v>389</v>
      </c>
      <c r="C2442" t="s">
        <v>1188</v>
      </c>
      <c r="D2442" t="s">
        <v>6541</v>
      </c>
      <c r="F2442" t="s">
        <v>2762</v>
      </c>
      <c r="G2442" t="s">
        <v>1262</v>
      </c>
    </row>
    <row r="2443" spans="1:7" x14ac:dyDescent="0.25">
      <c r="A2443">
        <v>4750</v>
      </c>
      <c r="B2443">
        <v>389</v>
      </c>
      <c r="C2443" t="s">
        <v>1188</v>
      </c>
      <c r="D2443" t="s">
        <v>6542</v>
      </c>
      <c r="F2443" t="s">
        <v>2762</v>
      </c>
      <c r="G2443" t="s">
        <v>4443</v>
      </c>
    </row>
    <row r="2444" spans="1:7" x14ac:dyDescent="0.25">
      <c r="A2444">
        <v>4751</v>
      </c>
      <c r="B2444">
        <v>374</v>
      </c>
      <c r="C2444" t="s">
        <v>894</v>
      </c>
      <c r="D2444" t="s">
        <v>6543</v>
      </c>
      <c r="E2444" t="s">
        <v>6544</v>
      </c>
      <c r="F2444" t="s">
        <v>2704</v>
      </c>
      <c r="G2444" t="s">
        <v>4445</v>
      </c>
    </row>
    <row r="2445" spans="1:7" x14ac:dyDescent="0.25">
      <c r="A2445">
        <v>4756</v>
      </c>
      <c r="B2445">
        <v>374</v>
      </c>
      <c r="C2445" t="s">
        <v>894</v>
      </c>
      <c r="D2445" t="s">
        <v>6545</v>
      </c>
      <c r="E2445" t="s">
        <v>6546</v>
      </c>
      <c r="F2445" t="s">
        <v>6547</v>
      </c>
    </row>
    <row r="2446" spans="1:7" x14ac:dyDescent="0.25">
      <c r="A2446">
        <v>4758</v>
      </c>
      <c r="B2446">
        <v>786</v>
      </c>
      <c r="C2446" t="s">
        <v>898</v>
      </c>
      <c r="D2446" t="s">
        <v>4886</v>
      </c>
      <c r="E2446" t="s">
        <v>6548</v>
      </c>
      <c r="F2446" t="s">
        <v>6549</v>
      </c>
      <c r="G2446" t="s">
        <v>4447</v>
      </c>
    </row>
    <row r="2447" spans="1:7" x14ac:dyDescent="0.25">
      <c r="A2447">
        <v>4759</v>
      </c>
      <c r="B2447">
        <v>786</v>
      </c>
      <c r="C2447" t="s">
        <v>898</v>
      </c>
      <c r="D2447" t="s">
        <v>6550</v>
      </c>
      <c r="F2447" t="s">
        <v>6549</v>
      </c>
      <c r="G2447" t="s">
        <v>4447</v>
      </c>
    </row>
    <row r="2448" spans="1:7" x14ac:dyDescent="0.25">
      <c r="A2448">
        <v>4760</v>
      </c>
      <c r="B2448">
        <v>786</v>
      </c>
      <c r="C2448" t="s">
        <v>898</v>
      </c>
      <c r="D2448" t="s">
        <v>6551</v>
      </c>
      <c r="F2448" t="s">
        <v>6549</v>
      </c>
      <c r="G2448" t="s">
        <v>4447</v>
      </c>
    </row>
    <row r="2449" spans="1:7" x14ac:dyDescent="0.25">
      <c r="A2449">
        <v>4761</v>
      </c>
      <c r="B2449">
        <v>786</v>
      </c>
      <c r="C2449" t="s">
        <v>898</v>
      </c>
      <c r="D2449" t="s">
        <v>6552</v>
      </c>
      <c r="E2449" t="s">
        <v>6553</v>
      </c>
      <c r="F2449" t="s">
        <v>6549</v>
      </c>
      <c r="G2449" t="s">
        <v>4443</v>
      </c>
    </row>
    <row r="2450" spans="1:7" x14ac:dyDescent="0.25">
      <c r="A2450">
        <v>4762</v>
      </c>
      <c r="B2450">
        <v>861</v>
      </c>
      <c r="C2450" t="s">
        <v>894</v>
      </c>
      <c r="D2450" t="s">
        <v>6554</v>
      </c>
      <c r="E2450" t="s">
        <v>6555</v>
      </c>
      <c r="F2450" t="s">
        <v>6556</v>
      </c>
      <c r="G2450" t="s">
        <v>4445</v>
      </c>
    </row>
    <row r="2451" spans="1:7" x14ac:dyDescent="0.25">
      <c r="A2451">
        <v>4763</v>
      </c>
      <c r="B2451">
        <v>861</v>
      </c>
      <c r="C2451" t="s">
        <v>894</v>
      </c>
      <c r="D2451" t="s">
        <v>6557</v>
      </c>
      <c r="E2451" t="s">
        <v>6558</v>
      </c>
      <c r="F2451" t="s">
        <v>6556</v>
      </c>
      <c r="G2451" t="s">
        <v>1670</v>
      </c>
    </row>
    <row r="2452" spans="1:7" x14ac:dyDescent="0.25">
      <c r="A2452">
        <v>4764</v>
      </c>
      <c r="B2452">
        <v>861</v>
      </c>
      <c r="C2452" t="s">
        <v>894</v>
      </c>
      <c r="D2452" t="s">
        <v>923</v>
      </c>
      <c r="E2452" t="s">
        <v>6559</v>
      </c>
      <c r="F2452" t="s">
        <v>6556</v>
      </c>
      <c r="G2452" t="s">
        <v>4444</v>
      </c>
    </row>
    <row r="2453" spans="1:7" x14ac:dyDescent="0.25">
      <c r="A2453">
        <v>4768</v>
      </c>
      <c r="B2453">
        <v>646</v>
      </c>
      <c r="C2453" t="s">
        <v>898</v>
      </c>
      <c r="D2453" t="s">
        <v>4893</v>
      </c>
      <c r="E2453" t="s">
        <v>6560</v>
      </c>
      <c r="F2453" t="s">
        <v>4735</v>
      </c>
      <c r="G2453" t="s">
        <v>4440</v>
      </c>
    </row>
    <row r="2454" spans="1:7" x14ac:dyDescent="0.25">
      <c r="A2454">
        <v>4769</v>
      </c>
      <c r="B2454">
        <v>646</v>
      </c>
      <c r="C2454" t="s">
        <v>898</v>
      </c>
      <c r="D2454" t="s">
        <v>1815</v>
      </c>
      <c r="E2454" t="s">
        <v>6561</v>
      </c>
      <c r="F2454" t="s">
        <v>4735</v>
      </c>
      <c r="G2454" t="s">
        <v>4441</v>
      </c>
    </row>
    <row r="2455" spans="1:7" x14ac:dyDescent="0.25">
      <c r="A2455">
        <v>4770</v>
      </c>
      <c r="B2455">
        <v>646</v>
      </c>
      <c r="C2455" t="s">
        <v>898</v>
      </c>
      <c r="D2455" t="s">
        <v>6562</v>
      </c>
      <c r="F2455" t="s">
        <v>4735</v>
      </c>
    </row>
    <row r="2456" spans="1:7" x14ac:dyDescent="0.25">
      <c r="A2456">
        <v>4771</v>
      </c>
      <c r="B2456">
        <v>540</v>
      </c>
      <c r="C2456" t="s">
        <v>894</v>
      </c>
      <c r="D2456" t="s">
        <v>5414</v>
      </c>
      <c r="E2456" t="s">
        <v>6563</v>
      </c>
      <c r="F2456" t="s">
        <v>6564</v>
      </c>
      <c r="G2456" t="s">
        <v>2758</v>
      </c>
    </row>
    <row r="2457" spans="1:7" x14ac:dyDescent="0.25">
      <c r="A2457">
        <v>4772</v>
      </c>
      <c r="B2457">
        <v>540</v>
      </c>
      <c r="C2457" t="s">
        <v>894</v>
      </c>
      <c r="D2457" t="s">
        <v>6565</v>
      </c>
      <c r="E2457" t="s">
        <v>6566</v>
      </c>
      <c r="F2457" t="s">
        <v>6564</v>
      </c>
      <c r="G2457" t="s">
        <v>1309</v>
      </c>
    </row>
    <row r="2458" spans="1:7" x14ac:dyDescent="0.25">
      <c r="A2458">
        <v>4773</v>
      </c>
      <c r="B2458">
        <v>540</v>
      </c>
      <c r="C2458" t="s">
        <v>894</v>
      </c>
      <c r="D2458" t="s">
        <v>963</v>
      </c>
      <c r="E2458" t="s">
        <v>6567</v>
      </c>
      <c r="F2458" t="s">
        <v>6564</v>
      </c>
      <c r="G2458" t="s">
        <v>4447</v>
      </c>
    </row>
    <row r="2459" spans="1:7" x14ac:dyDescent="0.25">
      <c r="A2459">
        <v>4774</v>
      </c>
      <c r="B2459">
        <v>540</v>
      </c>
      <c r="C2459" t="s">
        <v>894</v>
      </c>
      <c r="D2459" t="s">
        <v>923</v>
      </c>
      <c r="E2459" t="s">
        <v>6568</v>
      </c>
      <c r="F2459" t="s">
        <v>6564</v>
      </c>
      <c r="G2459" t="s">
        <v>4444</v>
      </c>
    </row>
    <row r="2460" spans="1:7" x14ac:dyDescent="0.25">
      <c r="A2460">
        <v>4775</v>
      </c>
      <c r="B2460">
        <v>540</v>
      </c>
      <c r="C2460" t="s">
        <v>894</v>
      </c>
      <c r="D2460" t="s">
        <v>917</v>
      </c>
      <c r="E2460" t="s">
        <v>6569</v>
      </c>
      <c r="F2460" t="s">
        <v>6564</v>
      </c>
      <c r="G2460" t="s">
        <v>919</v>
      </c>
    </row>
    <row r="2461" spans="1:7" x14ac:dyDescent="0.25">
      <c r="A2461">
        <v>4776</v>
      </c>
      <c r="B2461">
        <v>540</v>
      </c>
      <c r="C2461" t="s">
        <v>894</v>
      </c>
      <c r="D2461" t="s">
        <v>5379</v>
      </c>
      <c r="E2461" t="s">
        <v>6570</v>
      </c>
      <c r="F2461" t="s">
        <v>6564</v>
      </c>
      <c r="G2461" t="s">
        <v>4446</v>
      </c>
    </row>
    <row r="2462" spans="1:7" x14ac:dyDescent="0.25">
      <c r="A2462">
        <v>4777</v>
      </c>
      <c r="B2462">
        <v>540</v>
      </c>
      <c r="C2462" t="s">
        <v>894</v>
      </c>
      <c r="D2462" t="s">
        <v>6571</v>
      </c>
      <c r="E2462" t="s">
        <v>6572</v>
      </c>
      <c r="F2462" t="s">
        <v>6573</v>
      </c>
    </row>
    <row r="2463" spans="1:7" x14ac:dyDescent="0.25">
      <c r="A2463">
        <v>4779</v>
      </c>
      <c r="B2463">
        <v>863</v>
      </c>
      <c r="C2463" t="s">
        <v>898</v>
      </c>
      <c r="D2463" t="s">
        <v>6574</v>
      </c>
      <c r="E2463" t="s">
        <v>6575</v>
      </c>
      <c r="F2463" t="s">
        <v>6576</v>
      </c>
      <c r="G2463" t="s">
        <v>4448</v>
      </c>
    </row>
    <row r="2464" spans="1:7" x14ac:dyDescent="0.25">
      <c r="A2464">
        <v>4780</v>
      </c>
      <c r="B2464">
        <v>863</v>
      </c>
      <c r="C2464" t="s">
        <v>898</v>
      </c>
      <c r="D2464" t="s">
        <v>6577</v>
      </c>
      <c r="E2464" t="s">
        <v>6578</v>
      </c>
      <c r="F2464" t="s">
        <v>6576</v>
      </c>
    </row>
    <row r="2465" spans="1:7" x14ac:dyDescent="0.25">
      <c r="A2465">
        <v>4781</v>
      </c>
      <c r="B2465">
        <v>863</v>
      </c>
      <c r="C2465" t="s">
        <v>898</v>
      </c>
      <c r="D2465" t="s">
        <v>6579</v>
      </c>
      <c r="E2465" t="s">
        <v>6580</v>
      </c>
      <c r="F2465" t="s">
        <v>6576</v>
      </c>
      <c r="G2465" t="s">
        <v>4453</v>
      </c>
    </row>
    <row r="2466" spans="1:7" x14ac:dyDescent="0.25">
      <c r="A2466">
        <v>4782</v>
      </c>
      <c r="B2466">
        <v>863</v>
      </c>
      <c r="C2466" t="s">
        <v>898</v>
      </c>
      <c r="D2466" t="s">
        <v>6581</v>
      </c>
      <c r="E2466" t="s">
        <v>6582</v>
      </c>
      <c r="F2466" t="s">
        <v>6576</v>
      </c>
      <c r="G2466" t="s">
        <v>4456</v>
      </c>
    </row>
    <row r="2467" spans="1:7" x14ac:dyDescent="0.25">
      <c r="A2467">
        <v>4783</v>
      </c>
      <c r="B2467">
        <v>863</v>
      </c>
      <c r="C2467" t="s">
        <v>898</v>
      </c>
      <c r="D2467" t="s">
        <v>6583</v>
      </c>
      <c r="E2467" t="s">
        <v>6584</v>
      </c>
      <c r="F2467" t="s">
        <v>6576</v>
      </c>
    </row>
    <row r="2468" spans="1:7" x14ac:dyDescent="0.25">
      <c r="A2468">
        <v>4784</v>
      </c>
      <c r="B2468">
        <v>556</v>
      </c>
      <c r="C2468" t="s">
        <v>898</v>
      </c>
      <c r="D2468" t="s">
        <v>6585</v>
      </c>
      <c r="E2468" t="s">
        <v>6586</v>
      </c>
      <c r="F2468" t="s">
        <v>2424</v>
      </c>
      <c r="G2468" t="s">
        <v>4448</v>
      </c>
    </row>
    <row r="2469" spans="1:7" x14ac:dyDescent="0.25">
      <c r="A2469">
        <v>4785</v>
      </c>
      <c r="B2469">
        <v>556</v>
      </c>
      <c r="C2469" t="s">
        <v>898</v>
      </c>
      <c r="D2469" t="s">
        <v>6587</v>
      </c>
      <c r="E2469" t="s">
        <v>6588</v>
      </c>
      <c r="F2469" t="s">
        <v>2424</v>
      </c>
      <c r="G2469" t="s">
        <v>4455</v>
      </c>
    </row>
    <row r="2470" spans="1:7" x14ac:dyDescent="0.25">
      <c r="A2470">
        <v>4786</v>
      </c>
      <c r="B2470">
        <v>556</v>
      </c>
      <c r="C2470" t="s">
        <v>898</v>
      </c>
      <c r="D2470" t="s">
        <v>6589</v>
      </c>
      <c r="E2470" t="s">
        <v>6590</v>
      </c>
      <c r="F2470" t="s">
        <v>2424</v>
      </c>
      <c r="G2470" t="s">
        <v>4447</v>
      </c>
    </row>
    <row r="2471" spans="1:7" x14ac:dyDescent="0.25">
      <c r="A2471">
        <v>4787</v>
      </c>
      <c r="B2471">
        <v>556</v>
      </c>
      <c r="C2471" t="s">
        <v>898</v>
      </c>
      <c r="D2471" t="s">
        <v>6591</v>
      </c>
      <c r="E2471" t="s">
        <v>6592</v>
      </c>
      <c r="F2471" t="s">
        <v>2424</v>
      </c>
      <c r="G2471" t="s">
        <v>4441</v>
      </c>
    </row>
    <row r="2472" spans="1:7" x14ac:dyDescent="0.25">
      <c r="A2472">
        <v>4788</v>
      </c>
      <c r="B2472">
        <v>816</v>
      </c>
      <c r="C2472" t="s">
        <v>894</v>
      </c>
      <c r="D2472" t="s">
        <v>6593</v>
      </c>
      <c r="E2472" t="s">
        <v>6594</v>
      </c>
      <c r="F2472" t="s">
        <v>6595</v>
      </c>
    </row>
    <row r="2473" spans="1:7" x14ac:dyDescent="0.25">
      <c r="A2473">
        <v>4789</v>
      </c>
      <c r="B2473">
        <v>688</v>
      </c>
      <c r="C2473" t="s">
        <v>898</v>
      </c>
      <c r="D2473" t="s">
        <v>6596</v>
      </c>
      <c r="E2473" t="s">
        <v>6597</v>
      </c>
      <c r="F2473" t="s">
        <v>6598</v>
      </c>
      <c r="G2473" t="s">
        <v>4448</v>
      </c>
    </row>
    <row r="2474" spans="1:7" x14ac:dyDescent="0.25">
      <c r="A2474">
        <v>4790</v>
      </c>
      <c r="B2474">
        <v>126</v>
      </c>
      <c r="C2474" t="s">
        <v>898</v>
      </c>
      <c r="D2474" t="s">
        <v>6599</v>
      </c>
      <c r="E2474" t="s">
        <v>6600</v>
      </c>
      <c r="F2474" t="s">
        <v>6601</v>
      </c>
      <c r="G2474" t="s">
        <v>4448</v>
      </c>
    </row>
    <row r="2475" spans="1:7" x14ac:dyDescent="0.25">
      <c r="A2475">
        <v>4791</v>
      </c>
      <c r="B2475">
        <v>694</v>
      </c>
      <c r="C2475" t="s">
        <v>1188</v>
      </c>
      <c r="D2475" t="s">
        <v>6602</v>
      </c>
      <c r="F2475" t="s">
        <v>5177</v>
      </c>
      <c r="G2475" t="s">
        <v>4458</v>
      </c>
    </row>
    <row r="2476" spans="1:7" x14ac:dyDescent="0.25">
      <c r="A2476">
        <v>4792</v>
      </c>
      <c r="B2476">
        <v>694</v>
      </c>
      <c r="C2476" t="s">
        <v>1188</v>
      </c>
      <c r="D2476" t="s">
        <v>6603</v>
      </c>
      <c r="F2476" t="s">
        <v>5177</v>
      </c>
      <c r="G2476" t="s">
        <v>4444</v>
      </c>
    </row>
    <row r="2477" spans="1:7" x14ac:dyDescent="0.25">
      <c r="A2477">
        <v>4793</v>
      </c>
      <c r="B2477">
        <v>694</v>
      </c>
      <c r="C2477" t="s">
        <v>1188</v>
      </c>
      <c r="D2477" t="s">
        <v>6604</v>
      </c>
      <c r="F2477" t="s">
        <v>5177</v>
      </c>
      <c r="G2477" t="s">
        <v>919</v>
      </c>
    </row>
    <row r="2478" spans="1:7" x14ac:dyDescent="0.25">
      <c r="A2478">
        <v>4794</v>
      </c>
      <c r="B2478">
        <v>98</v>
      </c>
      <c r="C2478" t="s">
        <v>894</v>
      </c>
      <c r="D2478" t="s">
        <v>6605</v>
      </c>
      <c r="F2478" t="s">
        <v>2193</v>
      </c>
      <c r="G2478" t="s">
        <v>4446</v>
      </c>
    </row>
    <row r="2479" spans="1:7" x14ac:dyDescent="0.25">
      <c r="A2479">
        <v>4797</v>
      </c>
      <c r="B2479">
        <v>865</v>
      </c>
      <c r="C2479" t="s">
        <v>898</v>
      </c>
      <c r="D2479" t="s">
        <v>1479</v>
      </c>
      <c r="E2479" t="s">
        <v>6606</v>
      </c>
      <c r="F2479" t="s">
        <v>6607</v>
      </c>
      <c r="G2479" t="s">
        <v>2758</v>
      </c>
    </row>
    <row r="2480" spans="1:7" x14ac:dyDescent="0.25">
      <c r="A2480">
        <v>4798</v>
      </c>
      <c r="B2480">
        <v>865</v>
      </c>
      <c r="C2480" t="s">
        <v>898</v>
      </c>
      <c r="D2480" t="s">
        <v>6608</v>
      </c>
      <c r="E2480" t="s">
        <v>6609</v>
      </c>
      <c r="F2480" t="s">
        <v>6607</v>
      </c>
      <c r="G2480" t="s">
        <v>4442</v>
      </c>
    </row>
    <row r="2481" spans="1:7" x14ac:dyDescent="0.25">
      <c r="A2481">
        <v>4799</v>
      </c>
      <c r="B2481">
        <v>865</v>
      </c>
      <c r="C2481" t="s">
        <v>894</v>
      </c>
      <c r="D2481" t="s">
        <v>4955</v>
      </c>
      <c r="E2481" t="s">
        <v>6610</v>
      </c>
      <c r="F2481" t="s">
        <v>6607</v>
      </c>
      <c r="G2481" t="s">
        <v>4447</v>
      </c>
    </row>
    <row r="2482" spans="1:7" x14ac:dyDescent="0.25">
      <c r="A2482">
        <v>4800</v>
      </c>
      <c r="B2482">
        <v>865</v>
      </c>
      <c r="C2482" t="s">
        <v>894</v>
      </c>
      <c r="D2482" t="s">
        <v>1972</v>
      </c>
      <c r="E2482" t="s">
        <v>6611</v>
      </c>
      <c r="F2482" t="s">
        <v>6607</v>
      </c>
      <c r="G2482" t="s">
        <v>4447</v>
      </c>
    </row>
    <row r="2483" spans="1:7" x14ac:dyDescent="0.25">
      <c r="A2483">
        <v>4801</v>
      </c>
      <c r="B2483">
        <v>865</v>
      </c>
      <c r="C2483" t="s">
        <v>898</v>
      </c>
      <c r="D2483" t="s">
        <v>1828</v>
      </c>
      <c r="E2483" t="s">
        <v>6612</v>
      </c>
      <c r="F2483" t="s">
        <v>6607</v>
      </c>
      <c r="G2483" t="s">
        <v>2758</v>
      </c>
    </row>
    <row r="2484" spans="1:7" x14ac:dyDescent="0.25">
      <c r="A2484">
        <v>4802</v>
      </c>
      <c r="B2484">
        <v>865</v>
      </c>
      <c r="C2484" t="s">
        <v>898</v>
      </c>
      <c r="D2484" t="s">
        <v>1140</v>
      </c>
      <c r="E2484" t="s">
        <v>6609</v>
      </c>
      <c r="F2484" t="s">
        <v>6607</v>
      </c>
    </row>
    <row r="2485" spans="1:7" x14ac:dyDescent="0.25">
      <c r="A2485">
        <v>4803</v>
      </c>
      <c r="B2485">
        <v>865</v>
      </c>
      <c r="C2485" t="s">
        <v>898</v>
      </c>
      <c r="D2485" t="s">
        <v>6409</v>
      </c>
      <c r="E2485" t="s">
        <v>6609</v>
      </c>
      <c r="F2485" t="s">
        <v>6607</v>
      </c>
    </row>
    <row r="2486" spans="1:7" x14ac:dyDescent="0.25">
      <c r="A2486">
        <v>4804</v>
      </c>
      <c r="B2486">
        <v>374</v>
      </c>
      <c r="C2486" t="s">
        <v>894</v>
      </c>
      <c r="D2486" t="s">
        <v>6613</v>
      </c>
      <c r="E2486" t="s">
        <v>6614</v>
      </c>
      <c r="F2486" t="s">
        <v>6615</v>
      </c>
      <c r="G2486" t="s">
        <v>4447</v>
      </c>
    </row>
    <row r="2487" spans="1:7" x14ac:dyDescent="0.25">
      <c r="A2487">
        <v>4805</v>
      </c>
      <c r="B2487">
        <v>374</v>
      </c>
      <c r="C2487" t="s">
        <v>894</v>
      </c>
      <c r="D2487" t="s">
        <v>6616</v>
      </c>
      <c r="E2487" t="s">
        <v>6617</v>
      </c>
      <c r="F2487" t="s">
        <v>6618</v>
      </c>
      <c r="G2487" t="s">
        <v>919</v>
      </c>
    </row>
    <row r="2488" spans="1:7" x14ac:dyDescent="0.25">
      <c r="A2488">
        <v>4806</v>
      </c>
      <c r="B2488">
        <v>630</v>
      </c>
      <c r="C2488" t="s">
        <v>898</v>
      </c>
      <c r="D2488" t="s">
        <v>6619</v>
      </c>
      <c r="E2488" t="s">
        <v>6620</v>
      </c>
      <c r="F2488" t="s">
        <v>6621</v>
      </c>
      <c r="G2488" t="s">
        <v>2758</v>
      </c>
    </row>
    <row r="2489" spans="1:7" x14ac:dyDescent="0.25">
      <c r="A2489">
        <v>4807</v>
      </c>
      <c r="B2489">
        <v>630</v>
      </c>
      <c r="C2489" t="s">
        <v>898</v>
      </c>
      <c r="D2489" t="s">
        <v>6622</v>
      </c>
      <c r="E2489" t="s">
        <v>6623</v>
      </c>
      <c r="F2489" t="s">
        <v>6621</v>
      </c>
      <c r="G2489" t="s">
        <v>1309</v>
      </c>
    </row>
    <row r="2490" spans="1:7" x14ac:dyDescent="0.25">
      <c r="A2490">
        <v>4808</v>
      </c>
      <c r="B2490">
        <v>630</v>
      </c>
      <c r="C2490" t="s">
        <v>898</v>
      </c>
      <c r="D2490" t="s">
        <v>6624</v>
      </c>
      <c r="E2490" t="s">
        <v>6625</v>
      </c>
      <c r="F2490" t="s">
        <v>6621</v>
      </c>
      <c r="G2490" t="s">
        <v>4447</v>
      </c>
    </row>
    <row r="2491" spans="1:7" x14ac:dyDescent="0.25">
      <c r="A2491">
        <v>4825</v>
      </c>
      <c r="B2491">
        <v>559</v>
      </c>
      <c r="C2491" t="s">
        <v>894</v>
      </c>
      <c r="D2491" t="s">
        <v>6626</v>
      </c>
      <c r="E2491" t="s">
        <v>6627</v>
      </c>
      <c r="F2491" t="s">
        <v>6628</v>
      </c>
    </row>
    <row r="2492" spans="1:7" x14ac:dyDescent="0.25">
      <c r="A2492">
        <v>4826</v>
      </c>
      <c r="B2492">
        <v>374</v>
      </c>
      <c r="C2492" t="s">
        <v>894</v>
      </c>
      <c r="D2492" t="s">
        <v>6629</v>
      </c>
      <c r="E2492" t="s">
        <v>6630</v>
      </c>
      <c r="F2492" t="s">
        <v>6631</v>
      </c>
      <c r="G2492" t="s">
        <v>4444</v>
      </c>
    </row>
    <row r="2493" spans="1:7" x14ac:dyDescent="0.25">
      <c r="A2493">
        <v>4827</v>
      </c>
      <c r="B2493">
        <v>750</v>
      </c>
      <c r="C2493" t="s">
        <v>1188</v>
      </c>
      <c r="D2493" t="s">
        <v>5182</v>
      </c>
      <c r="G2493" t="s">
        <v>4442</v>
      </c>
    </row>
    <row r="2494" spans="1:7" x14ac:dyDescent="0.25">
      <c r="A2494">
        <v>4828</v>
      </c>
      <c r="B2494">
        <v>750</v>
      </c>
      <c r="C2494" t="s">
        <v>1188</v>
      </c>
      <c r="D2494" t="s">
        <v>6632</v>
      </c>
      <c r="G2494" t="s">
        <v>4447</v>
      </c>
    </row>
    <row r="2495" spans="1:7" x14ac:dyDescent="0.25">
      <c r="A2495">
        <v>4829</v>
      </c>
      <c r="B2495">
        <v>750</v>
      </c>
      <c r="C2495" t="s">
        <v>1188</v>
      </c>
      <c r="D2495" t="s">
        <v>6633</v>
      </c>
      <c r="G2495" t="s">
        <v>4447</v>
      </c>
    </row>
    <row r="2496" spans="1:7" x14ac:dyDescent="0.25">
      <c r="A2496">
        <v>4830</v>
      </c>
      <c r="B2496">
        <v>750</v>
      </c>
      <c r="C2496" t="s">
        <v>1188</v>
      </c>
      <c r="D2496" t="s">
        <v>1903</v>
      </c>
      <c r="G2496" t="s">
        <v>919</v>
      </c>
    </row>
    <row r="2497" spans="1:8" x14ac:dyDescent="0.25">
      <c r="A2497">
        <v>4831</v>
      </c>
      <c r="B2497">
        <v>750</v>
      </c>
      <c r="C2497" t="s">
        <v>1188</v>
      </c>
      <c r="D2497" t="s">
        <v>6634</v>
      </c>
      <c r="F2497" t="s">
        <v>6635</v>
      </c>
      <c r="G2497" t="s">
        <v>4444</v>
      </c>
    </row>
    <row r="2498" spans="1:8" x14ac:dyDescent="0.25">
      <c r="A2498">
        <v>4832</v>
      </c>
      <c r="B2498">
        <v>750</v>
      </c>
      <c r="C2498" t="s">
        <v>1188</v>
      </c>
      <c r="D2498" t="s">
        <v>6636</v>
      </c>
      <c r="G2498" t="s">
        <v>2758</v>
      </c>
    </row>
    <row r="2499" spans="1:8" x14ac:dyDescent="0.25">
      <c r="A2499">
        <v>4833</v>
      </c>
      <c r="B2499">
        <v>866</v>
      </c>
      <c r="C2499" t="s">
        <v>898</v>
      </c>
      <c r="D2499" t="s">
        <v>6637</v>
      </c>
      <c r="E2499" t="s">
        <v>6638</v>
      </c>
      <c r="F2499" t="s">
        <v>6639</v>
      </c>
      <c r="G2499" t="s">
        <v>4441</v>
      </c>
    </row>
    <row r="2500" spans="1:8" x14ac:dyDescent="0.25">
      <c r="A2500">
        <v>4834</v>
      </c>
      <c r="B2500">
        <v>866</v>
      </c>
      <c r="C2500" t="s">
        <v>898</v>
      </c>
      <c r="D2500" t="s">
        <v>6640</v>
      </c>
      <c r="E2500" t="s">
        <v>6641</v>
      </c>
      <c r="F2500" t="s">
        <v>6642</v>
      </c>
      <c r="G2500" t="s">
        <v>4445</v>
      </c>
    </row>
    <row r="2501" spans="1:8" x14ac:dyDescent="0.25">
      <c r="A2501">
        <v>4835</v>
      </c>
      <c r="B2501">
        <v>31</v>
      </c>
      <c r="C2501" t="s">
        <v>898</v>
      </c>
      <c r="D2501" t="s">
        <v>6643</v>
      </c>
      <c r="E2501" t="s">
        <v>6644</v>
      </c>
      <c r="F2501" t="s">
        <v>6645</v>
      </c>
    </row>
    <row r="2502" spans="1:8" ht="90" x14ac:dyDescent="0.25">
      <c r="A2502">
        <v>4836</v>
      </c>
      <c r="B2502">
        <v>105</v>
      </c>
      <c r="C2502" t="s">
        <v>898</v>
      </c>
      <c r="D2502" t="s">
        <v>6646</v>
      </c>
      <c r="E2502" s="1" t="s">
        <v>6647</v>
      </c>
      <c r="F2502" t="s">
        <v>6648</v>
      </c>
      <c r="G2502" t="s">
        <v>919</v>
      </c>
      <c r="H2502">
        <v>1</v>
      </c>
    </row>
    <row r="2503" spans="1:8" x14ac:dyDescent="0.25">
      <c r="A2503">
        <v>4837</v>
      </c>
      <c r="B2503">
        <v>557</v>
      </c>
      <c r="C2503" t="s">
        <v>898</v>
      </c>
      <c r="D2503" t="s">
        <v>6649</v>
      </c>
      <c r="E2503" t="s">
        <v>6650</v>
      </c>
      <c r="F2503" t="s">
        <v>6651</v>
      </c>
    </row>
    <row r="2504" spans="1:8" x14ac:dyDescent="0.25">
      <c r="A2504">
        <v>4838</v>
      </c>
      <c r="B2504">
        <v>557</v>
      </c>
      <c r="C2504" t="s">
        <v>898</v>
      </c>
      <c r="D2504" t="s">
        <v>6652</v>
      </c>
      <c r="E2504" t="s">
        <v>6653</v>
      </c>
      <c r="F2504" t="s">
        <v>6651</v>
      </c>
    </row>
    <row r="2505" spans="1:8" x14ac:dyDescent="0.25">
      <c r="A2505">
        <v>4839</v>
      </c>
      <c r="B2505">
        <v>39</v>
      </c>
      <c r="C2505" t="s">
        <v>894</v>
      </c>
      <c r="D2505" t="s">
        <v>6654</v>
      </c>
      <c r="E2505" t="s">
        <v>6655</v>
      </c>
      <c r="F2505" t="s">
        <v>6310</v>
      </c>
      <c r="G2505" t="s">
        <v>1309</v>
      </c>
      <c r="H2505">
        <v>4</v>
      </c>
    </row>
    <row r="2506" spans="1:8" x14ac:dyDescent="0.25">
      <c r="A2506">
        <v>4840</v>
      </c>
      <c r="B2506">
        <v>212</v>
      </c>
      <c r="C2506" t="s">
        <v>894</v>
      </c>
      <c r="D2506" t="s">
        <v>917</v>
      </c>
      <c r="E2506" t="s">
        <v>6656</v>
      </c>
      <c r="F2506" t="s">
        <v>1362</v>
      </c>
      <c r="G2506" t="s">
        <v>919</v>
      </c>
    </row>
    <row r="2507" spans="1:8" x14ac:dyDescent="0.25">
      <c r="A2507">
        <v>4841</v>
      </c>
      <c r="B2507">
        <v>212</v>
      </c>
      <c r="C2507" t="s">
        <v>894</v>
      </c>
      <c r="D2507" t="s">
        <v>4601</v>
      </c>
      <c r="E2507" t="s">
        <v>6657</v>
      </c>
      <c r="F2507" t="s">
        <v>1362</v>
      </c>
      <c r="G2507" t="s">
        <v>1670</v>
      </c>
    </row>
    <row r="2508" spans="1:8" x14ac:dyDescent="0.25">
      <c r="A2508">
        <v>4842</v>
      </c>
      <c r="B2508">
        <v>867</v>
      </c>
      <c r="C2508" t="s">
        <v>894</v>
      </c>
      <c r="D2508" t="s">
        <v>6658</v>
      </c>
      <c r="E2508" t="s">
        <v>6659</v>
      </c>
      <c r="F2508" t="s">
        <v>6660</v>
      </c>
      <c r="G2508" t="s">
        <v>4442</v>
      </c>
    </row>
    <row r="2509" spans="1:8" x14ac:dyDescent="0.25">
      <c r="A2509">
        <v>4843</v>
      </c>
      <c r="B2509">
        <v>867</v>
      </c>
      <c r="C2509" t="s">
        <v>894</v>
      </c>
      <c r="D2509" t="s">
        <v>1254</v>
      </c>
      <c r="E2509" t="s">
        <v>6661</v>
      </c>
      <c r="F2509" t="s">
        <v>6660</v>
      </c>
      <c r="G2509" t="s">
        <v>4442</v>
      </c>
    </row>
    <row r="2510" spans="1:8" x14ac:dyDescent="0.25">
      <c r="A2510">
        <v>4844</v>
      </c>
      <c r="B2510">
        <v>867</v>
      </c>
      <c r="C2510" t="s">
        <v>894</v>
      </c>
      <c r="D2510" t="s">
        <v>923</v>
      </c>
      <c r="F2510" t="s">
        <v>6660</v>
      </c>
      <c r="G2510" t="s">
        <v>4444</v>
      </c>
    </row>
    <row r="2511" spans="1:8" x14ac:dyDescent="0.25">
      <c r="A2511">
        <v>4845</v>
      </c>
      <c r="B2511">
        <v>867</v>
      </c>
      <c r="C2511" t="s">
        <v>894</v>
      </c>
      <c r="D2511" t="s">
        <v>1318</v>
      </c>
      <c r="F2511" t="s">
        <v>6660</v>
      </c>
      <c r="G2511" t="s">
        <v>919</v>
      </c>
    </row>
    <row r="2512" spans="1:8" x14ac:dyDescent="0.25">
      <c r="A2512">
        <v>4846</v>
      </c>
      <c r="B2512">
        <v>867</v>
      </c>
      <c r="C2512" t="s">
        <v>894</v>
      </c>
      <c r="D2512" t="s">
        <v>963</v>
      </c>
      <c r="E2512" t="s">
        <v>6662</v>
      </c>
      <c r="F2512" t="s">
        <v>6660</v>
      </c>
      <c r="G2512" t="s">
        <v>4447</v>
      </c>
    </row>
    <row r="2513" spans="1:8" x14ac:dyDescent="0.25">
      <c r="A2513">
        <v>4847</v>
      </c>
      <c r="B2513">
        <v>867</v>
      </c>
      <c r="C2513" t="s">
        <v>894</v>
      </c>
      <c r="D2513" t="s">
        <v>960</v>
      </c>
      <c r="E2513" t="s">
        <v>6663</v>
      </c>
      <c r="F2513" t="s">
        <v>6660</v>
      </c>
      <c r="G2513" t="s">
        <v>4447</v>
      </c>
    </row>
    <row r="2514" spans="1:8" x14ac:dyDescent="0.25">
      <c r="A2514">
        <v>4848</v>
      </c>
      <c r="B2514">
        <v>867</v>
      </c>
      <c r="C2514" t="s">
        <v>894</v>
      </c>
      <c r="D2514" t="s">
        <v>1045</v>
      </c>
      <c r="E2514" t="s">
        <v>6664</v>
      </c>
      <c r="F2514" t="s">
        <v>6660</v>
      </c>
      <c r="G2514" t="s">
        <v>4447</v>
      </c>
    </row>
    <row r="2515" spans="1:8" x14ac:dyDescent="0.25">
      <c r="A2515">
        <v>4849</v>
      </c>
      <c r="B2515">
        <v>867</v>
      </c>
      <c r="C2515" t="s">
        <v>894</v>
      </c>
      <c r="D2515" t="s">
        <v>6665</v>
      </c>
      <c r="F2515" t="s">
        <v>6660</v>
      </c>
      <c r="G2515" t="s">
        <v>4445</v>
      </c>
    </row>
    <row r="2516" spans="1:8" x14ac:dyDescent="0.25">
      <c r="A2516">
        <v>4850</v>
      </c>
      <c r="B2516">
        <v>868</v>
      </c>
      <c r="C2516" t="s">
        <v>894</v>
      </c>
      <c r="D2516" t="s">
        <v>895</v>
      </c>
      <c r="F2516" t="s">
        <v>6666</v>
      </c>
      <c r="G2516" t="s">
        <v>4448</v>
      </c>
    </row>
    <row r="2517" spans="1:8" x14ac:dyDescent="0.25">
      <c r="A2517">
        <v>4851</v>
      </c>
      <c r="B2517">
        <v>868</v>
      </c>
      <c r="C2517" t="s">
        <v>894</v>
      </c>
      <c r="D2517" t="s">
        <v>923</v>
      </c>
      <c r="F2517" t="s">
        <v>6666</v>
      </c>
      <c r="G2517" t="s">
        <v>4444</v>
      </c>
    </row>
    <row r="2518" spans="1:8" x14ac:dyDescent="0.25">
      <c r="A2518">
        <v>4852</v>
      </c>
      <c r="B2518">
        <v>868</v>
      </c>
      <c r="C2518" t="s">
        <v>894</v>
      </c>
      <c r="D2518" t="s">
        <v>917</v>
      </c>
      <c r="F2518" t="s">
        <v>6666</v>
      </c>
      <c r="G2518" t="s">
        <v>919</v>
      </c>
    </row>
    <row r="2519" spans="1:8" x14ac:dyDescent="0.25">
      <c r="A2519">
        <v>4853</v>
      </c>
      <c r="B2519">
        <v>868</v>
      </c>
      <c r="C2519" t="s">
        <v>894</v>
      </c>
      <c r="D2519" t="s">
        <v>5967</v>
      </c>
      <c r="F2519" t="s">
        <v>6666</v>
      </c>
      <c r="G2519" t="s">
        <v>4447</v>
      </c>
    </row>
    <row r="2520" spans="1:8" x14ac:dyDescent="0.25">
      <c r="A2520">
        <v>4854</v>
      </c>
      <c r="B2520">
        <v>868</v>
      </c>
      <c r="C2520" t="s">
        <v>894</v>
      </c>
      <c r="D2520" t="s">
        <v>6667</v>
      </c>
      <c r="F2520" t="s">
        <v>6666</v>
      </c>
      <c r="G2520" t="s">
        <v>4443</v>
      </c>
    </row>
    <row r="2521" spans="1:8" x14ac:dyDescent="0.25">
      <c r="A2521">
        <v>4855</v>
      </c>
      <c r="B2521">
        <v>868</v>
      </c>
      <c r="C2521" t="s">
        <v>894</v>
      </c>
      <c r="D2521" t="s">
        <v>1440</v>
      </c>
      <c r="F2521" t="s">
        <v>6666</v>
      </c>
      <c r="G2521" t="s">
        <v>4447</v>
      </c>
    </row>
    <row r="2522" spans="1:8" x14ac:dyDescent="0.25">
      <c r="A2522">
        <v>4856</v>
      </c>
      <c r="B2522">
        <v>868</v>
      </c>
      <c r="C2522" t="s">
        <v>894</v>
      </c>
      <c r="D2522" t="s">
        <v>2655</v>
      </c>
      <c r="F2522" t="s">
        <v>6666</v>
      </c>
      <c r="G2522" t="s">
        <v>4442</v>
      </c>
    </row>
    <row r="2523" spans="1:8" x14ac:dyDescent="0.25">
      <c r="A2523">
        <v>4865</v>
      </c>
      <c r="B2523">
        <v>28</v>
      </c>
      <c r="C2523" t="s">
        <v>894</v>
      </c>
      <c r="D2523" t="s">
        <v>6668</v>
      </c>
      <c r="E2523" t="s">
        <v>6669</v>
      </c>
      <c r="F2523" t="s">
        <v>6670</v>
      </c>
      <c r="G2523" t="s">
        <v>4445</v>
      </c>
      <c r="H2523">
        <v>1300</v>
      </c>
    </row>
    <row r="2524" spans="1:8" x14ac:dyDescent="0.25">
      <c r="A2524">
        <v>4866</v>
      </c>
      <c r="B2524">
        <v>871</v>
      </c>
      <c r="C2524" t="s">
        <v>894</v>
      </c>
      <c r="D2524" t="s">
        <v>966</v>
      </c>
      <c r="E2524" t="s">
        <v>6671</v>
      </c>
      <c r="F2524" t="s">
        <v>6672</v>
      </c>
      <c r="G2524" t="s">
        <v>2758</v>
      </c>
    </row>
    <row r="2525" spans="1:8" x14ac:dyDescent="0.25">
      <c r="A2525">
        <v>4867</v>
      </c>
      <c r="B2525">
        <v>871</v>
      </c>
      <c r="C2525" t="s">
        <v>894</v>
      </c>
      <c r="D2525" t="s">
        <v>6673</v>
      </c>
      <c r="E2525" t="s">
        <v>6674</v>
      </c>
      <c r="F2525" t="s">
        <v>6675</v>
      </c>
      <c r="G2525" t="s">
        <v>1457</v>
      </c>
    </row>
    <row r="2526" spans="1:8" x14ac:dyDescent="0.25">
      <c r="A2526">
        <v>4868</v>
      </c>
      <c r="B2526">
        <v>680</v>
      </c>
      <c r="C2526" t="s">
        <v>898</v>
      </c>
      <c r="D2526" t="s">
        <v>6676</v>
      </c>
      <c r="E2526" t="s">
        <v>6677</v>
      </c>
      <c r="F2526" t="s">
        <v>6678</v>
      </c>
    </row>
    <row r="2527" spans="1:8" x14ac:dyDescent="0.25">
      <c r="A2527">
        <v>4869</v>
      </c>
      <c r="B2527">
        <v>872</v>
      </c>
      <c r="C2527" t="s">
        <v>894</v>
      </c>
      <c r="D2527" t="s">
        <v>6679</v>
      </c>
      <c r="F2527" t="s">
        <v>6680</v>
      </c>
      <c r="G2527" t="s">
        <v>4442</v>
      </c>
    </row>
    <row r="2528" spans="1:8" x14ac:dyDescent="0.25">
      <c r="A2528">
        <v>4870</v>
      </c>
      <c r="B2528">
        <v>872</v>
      </c>
      <c r="C2528" t="s">
        <v>894</v>
      </c>
      <c r="D2528" t="s">
        <v>917</v>
      </c>
      <c r="F2528" t="s">
        <v>6680</v>
      </c>
      <c r="G2528" t="s">
        <v>919</v>
      </c>
    </row>
    <row r="2529" spans="1:7" x14ac:dyDescent="0.25">
      <c r="A2529">
        <v>4871</v>
      </c>
      <c r="B2529">
        <v>872</v>
      </c>
      <c r="C2529" t="s">
        <v>894</v>
      </c>
      <c r="D2529" t="s">
        <v>963</v>
      </c>
      <c r="E2529" t="s">
        <v>6681</v>
      </c>
      <c r="F2529" t="s">
        <v>6680</v>
      </c>
      <c r="G2529" t="s">
        <v>4443</v>
      </c>
    </row>
    <row r="2530" spans="1:7" x14ac:dyDescent="0.25">
      <c r="A2530">
        <v>4872</v>
      </c>
      <c r="B2530">
        <v>874</v>
      </c>
      <c r="C2530" t="s">
        <v>898</v>
      </c>
      <c r="D2530" t="s">
        <v>6682</v>
      </c>
      <c r="E2530" t="s">
        <v>6683</v>
      </c>
      <c r="F2530" t="s">
        <v>6684</v>
      </c>
      <c r="G2530" t="s">
        <v>4448</v>
      </c>
    </row>
    <row r="2531" spans="1:7" x14ac:dyDescent="0.25">
      <c r="A2531">
        <v>4873</v>
      </c>
      <c r="B2531">
        <v>874</v>
      </c>
      <c r="C2531" t="s">
        <v>898</v>
      </c>
      <c r="D2531" t="s">
        <v>2502</v>
      </c>
      <c r="E2531" t="s">
        <v>6685</v>
      </c>
      <c r="F2531" t="s">
        <v>6684</v>
      </c>
      <c r="G2531" t="s">
        <v>919</v>
      </c>
    </row>
    <row r="2532" spans="1:7" x14ac:dyDescent="0.25">
      <c r="A2532">
        <v>4888</v>
      </c>
      <c r="B2532">
        <v>879</v>
      </c>
      <c r="C2532" t="s">
        <v>898</v>
      </c>
      <c r="D2532" t="s">
        <v>1479</v>
      </c>
      <c r="F2532" t="s">
        <v>6686</v>
      </c>
      <c r="G2532" t="s">
        <v>2758</v>
      </c>
    </row>
    <row r="2533" spans="1:7" x14ac:dyDescent="0.25">
      <c r="A2533">
        <v>4889</v>
      </c>
      <c r="B2533">
        <v>879</v>
      </c>
      <c r="C2533" t="s">
        <v>898</v>
      </c>
      <c r="D2533" t="s">
        <v>2642</v>
      </c>
      <c r="F2533" t="s">
        <v>6686</v>
      </c>
      <c r="G2533" t="s">
        <v>4445</v>
      </c>
    </row>
    <row r="2534" spans="1:7" x14ac:dyDescent="0.25">
      <c r="A2534">
        <v>4890</v>
      </c>
      <c r="B2534">
        <v>879</v>
      </c>
      <c r="C2534" t="s">
        <v>898</v>
      </c>
      <c r="D2534" t="s">
        <v>6687</v>
      </c>
      <c r="F2534" t="s">
        <v>6686</v>
      </c>
      <c r="G2534" t="s">
        <v>4441</v>
      </c>
    </row>
    <row r="2535" spans="1:7" x14ac:dyDescent="0.25">
      <c r="A2535">
        <v>4891</v>
      </c>
      <c r="B2535">
        <v>879</v>
      </c>
      <c r="C2535" t="s">
        <v>898</v>
      </c>
      <c r="D2535" t="s">
        <v>4646</v>
      </c>
      <c r="F2535" t="s">
        <v>6686</v>
      </c>
      <c r="G2535" t="s">
        <v>4450</v>
      </c>
    </row>
    <row r="2536" spans="1:7" x14ac:dyDescent="0.25">
      <c r="A2536">
        <v>4892</v>
      </c>
      <c r="B2536">
        <v>879</v>
      </c>
      <c r="C2536" t="s">
        <v>898</v>
      </c>
      <c r="D2536" t="s">
        <v>6688</v>
      </c>
      <c r="F2536" t="s">
        <v>6686</v>
      </c>
      <c r="G2536" t="s">
        <v>4451</v>
      </c>
    </row>
    <row r="2537" spans="1:7" x14ac:dyDescent="0.25">
      <c r="A2537">
        <v>4904</v>
      </c>
      <c r="B2537">
        <v>880</v>
      </c>
      <c r="C2537" t="s">
        <v>894</v>
      </c>
      <c r="D2537" t="s">
        <v>1668</v>
      </c>
      <c r="F2537" t="s">
        <v>6689</v>
      </c>
      <c r="G2537" t="s">
        <v>1670</v>
      </c>
    </row>
    <row r="2538" spans="1:7" x14ac:dyDescent="0.25">
      <c r="A2538">
        <v>4905</v>
      </c>
      <c r="B2538">
        <v>880</v>
      </c>
      <c r="C2538" t="s">
        <v>894</v>
      </c>
      <c r="D2538" t="s">
        <v>5621</v>
      </c>
      <c r="F2538" t="s">
        <v>6689</v>
      </c>
      <c r="G2538" t="s">
        <v>4445</v>
      </c>
    </row>
    <row r="2539" spans="1:7" x14ac:dyDescent="0.25">
      <c r="A2539">
        <v>4913</v>
      </c>
      <c r="B2539">
        <v>884</v>
      </c>
      <c r="C2539" t="s">
        <v>894</v>
      </c>
      <c r="D2539" t="s">
        <v>1469</v>
      </c>
      <c r="E2539" t="s">
        <v>6690</v>
      </c>
      <c r="F2539" t="s">
        <v>6691</v>
      </c>
      <c r="G2539" t="s">
        <v>4447</v>
      </c>
    </row>
    <row r="2540" spans="1:7" x14ac:dyDescent="0.25">
      <c r="A2540">
        <v>4915</v>
      </c>
      <c r="B2540">
        <v>884</v>
      </c>
      <c r="C2540" t="s">
        <v>894</v>
      </c>
      <c r="D2540" t="s">
        <v>933</v>
      </c>
      <c r="F2540" t="s">
        <v>6691</v>
      </c>
      <c r="G2540" t="s">
        <v>4444</v>
      </c>
    </row>
    <row r="2541" spans="1:7" x14ac:dyDescent="0.25">
      <c r="A2541">
        <v>4916</v>
      </c>
      <c r="B2541">
        <v>884</v>
      </c>
      <c r="C2541" t="s">
        <v>894</v>
      </c>
      <c r="D2541" t="s">
        <v>917</v>
      </c>
      <c r="F2541" t="s">
        <v>6691</v>
      </c>
      <c r="G2541" t="s">
        <v>919</v>
      </c>
    </row>
    <row r="2542" spans="1:7" x14ac:dyDescent="0.25">
      <c r="A2542">
        <v>4917</v>
      </c>
      <c r="B2542">
        <v>884</v>
      </c>
      <c r="C2542" t="s">
        <v>894</v>
      </c>
      <c r="D2542" t="s">
        <v>6692</v>
      </c>
      <c r="F2542" t="s">
        <v>6691</v>
      </c>
      <c r="G2542" t="s">
        <v>4445</v>
      </c>
    </row>
    <row r="2543" spans="1:7" x14ac:dyDescent="0.25">
      <c r="A2543">
        <v>4918</v>
      </c>
      <c r="B2543">
        <v>885</v>
      </c>
      <c r="C2543" t="s">
        <v>894</v>
      </c>
      <c r="D2543" t="s">
        <v>895</v>
      </c>
      <c r="F2543" t="s">
        <v>6693</v>
      </c>
      <c r="G2543" t="s">
        <v>4448</v>
      </c>
    </row>
    <row r="2544" spans="1:7" x14ac:dyDescent="0.25">
      <c r="A2544">
        <v>4919</v>
      </c>
      <c r="B2544">
        <v>885</v>
      </c>
      <c r="C2544" t="s">
        <v>894</v>
      </c>
      <c r="D2544" t="s">
        <v>966</v>
      </c>
      <c r="F2544" t="s">
        <v>6694</v>
      </c>
      <c r="G2544" t="s">
        <v>2758</v>
      </c>
    </row>
    <row r="2545" spans="1:7" x14ac:dyDescent="0.25">
      <c r="A2545">
        <v>4920</v>
      </c>
      <c r="B2545">
        <v>885</v>
      </c>
      <c r="C2545" t="s">
        <v>894</v>
      </c>
      <c r="D2545" t="s">
        <v>6695</v>
      </c>
      <c r="F2545" t="s">
        <v>6694</v>
      </c>
      <c r="G2545" t="s">
        <v>4447</v>
      </c>
    </row>
    <row r="2546" spans="1:7" x14ac:dyDescent="0.25">
      <c r="A2546">
        <v>4921</v>
      </c>
      <c r="B2546">
        <v>885</v>
      </c>
      <c r="C2546" t="s">
        <v>894</v>
      </c>
      <c r="D2546" t="s">
        <v>5640</v>
      </c>
      <c r="F2546" t="s">
        <v>6694</v>
      </c>
      <c r="G2546" t="s">
        <v>4442</v>
      </c>
    </row>
    <row r="2547" spans="1:7" x14ac:dyDescent="0.25">
      <c r="A2547">
        <v>4922</v>
      </c>
      <c r="B2547">
        <v>886</v>
      </c>
      <c r="C2547" t="s">
        <v>898</v>
      </c>
      <c r="D2547" t="s">
        <v>1137</v>
      </c>
      <c r="F2547" t="s">
        <v>6696</v>
      </c>
      <c r="G2547" t="s">
        <v>4444</v>
      </c>
    </row>
    <row r="2548" spans="1:7" x14ac:dyDescent="0.25">
      <c r="A2548">
        <v>4923</v>
      </c>
      <c r="B2548">
        <v>886</v>
      </c>
      <c r="C2548" t="s">
        <v>898</v>
      </c>
      <c r="D2548" t="s">
        <v>4764</v>
      </c>
      <c r="F2548" t="s">
        <v>6696</v>
      </c>
      <c r="G2548" t="s">
        <v>919</v>
      </c>
    </row>
    <row r="2549" spans="1:7" x14ac:dyDescent="0.25">
      <c r="A2549">
        <v>4924</v>
      </c>
      <c r="B2549">
        <v>886</v>
      </c>
      <c r="C2549" t="s">
        <v>898</v>
      </c>
      <c r="D2549" t="s">
        <v>6697</v>
      </c>
      <c r="F2549" t="s">
        <v>6696</v>
      </c>
      <c r="G2549" t="s">
        <v>4447</v>
      </c>
    </row>
    <row r="2550" spans="1:7" x14ac:dyDescent="0.25">
      <c r="A2550">
        <v>4925</v>
      </c>
      <c r="B2550">
        <v>886</v>
      </c>
      <c r="C2550" t="s">
        <v>898</v>
      </c>
      <c r="D2550" t="s">
        <v>6698</v>
      </c>
      <c r="F2550" t="s">
        <v>6696</v>
      </c>
      <c r="G2550" t="s">
        <v>4447</v>
      </c>
    </row>
    <row r="2551" spans="1:7" x14ac:dyDescent="0.25">
      <c r="A2551">
        <v>4926</v>
      </c>
      <c r="B2551">
        <v>886</v>
      </c>
      <c r="C2551" t="s">
        <v>898</v>
      </c>
      <c r="D2551" t="s">
        <v>6699</v>
      </c>
      <c r="F2551" t="s">
        <v>6696</v>
      </c>
      <c r="G2551" t="s">
        <v>4441</v>
      </c>
    </row>
    <row r="2552" spans="1:7" x14ac:dyDescent="0.25">
      <c r="A2552">
        <v>4927</v>
      </c>
      <c r="B2552">
        <v>886</v>
      </c>
      <c r="C2552" t="s">
        <v>898</v>
      </c>
      <c r="D2552" t="s">
        <v>6700</v>
      </c>
      <c r="F2552" t="s">
        <v>6696</v>
      </c>
    </row>
    <row r="2553" spans="1:7" x14ac:dyDescent="0.25">
      <c r="A2553">
        <v>4928</v>
      </c>
      <c r="B2553">
        <v>886</v>
      </c>
      <c r="C2553" t="s">
        <v>898</v>
      </c>
      <c r="D2553" t="s">
        <v>4840</v>
      </c>
      <c r="F2553" t="s">
        <v>6696</v>
      </c>
      <c r="G2553" t="s">
        <v>4441</v>
      </c>
    </row>
    <row r="2554" spans="1:7" x14ac:dyDescent="0.25">
      <c r="A2554">
        <v>4929</v>
      </c>
      <c r="B2554">
        <v>886</v>
      </c>
      <c r="C2554" t="s">
        <v>898</v>
      </c>
      <c r="D2554" t="s">
        <v>6701</v>
      </c>
      <c r="F2554" t="s">
        <v>6696</v>
      </c>
      <c r="G2554" t="s">
        <v>4456</v>
      </c>
    </row>
    <row r="2555" spans="1:7" x14ac:dyDescent="0.25">
      <c r="A2555">
        <v>4930</v>
      </c>
      <c r="B2555">
        <v>886</v>
      </c>
      <c r="C2555" t="s">
        <v>898</v>
      </c>
      <c r="D2555" t="s">
        <v>6702</v>
      </c>
      <c r="F2555" t="s">
        <v>6696</v>
      </c>
      <c r="G2555" t="s">
        <v>4440</v>
      </c>
    </row>
    <row r="2556" spans="1:7" x14ac:dyDescent="0.25">
      <c r="A2556">
        <v>4931</v>
      </c>
      <c r="B2556">
        <v>886</v>
      </c>
      <c r="C2556" t="s">
        <v>898</v>
      </c>
      <c r="D2556" t="s">
        <v>6703</v>
      </c>
      <c r="F2556" t="s">
        <v>6696</v>
      </c>
      <c r="G2556" t="s">
        <v>4451</v>
      </c>
    </row>
    <row r="2557" spans="1:7" x14ac:dyDescent="0.25">
      <c r="A2557">
        <v>4932</v>
      </c>
      <c r="B2557">
        <v>80</v>
      </c>
      <c r="C2557" t="s">
        <v>894</v>
      </c>
      <c r="D2557" t="s">
        <v>6704</v>
      </c>
      <c r="F2557" t="s">
        <v>1092</v>
      </c>
      <c r="G2557" t="s">
        <v>2758</v>
      </c>
    </row>
    <row r="2558" spans="1:7" x14ac:dyDescent="0.25">
      <c r="A2558">
        <v>4933</v>
      </c>
      <c r="B2558">
        <v>80</v>
      </c>
      <c r="C2558" t="s">
        <v>894</v>
      </c>
      <c r="D2558" t="s">
        <v>6266</v>
      </c>
      <c r="F2558" t="s">
        <v>1092</v>
      </c>
      <c r="G2558" t="s">
        <v>1309</v>
      </c>
    </row>
    <row r="2559" spans="1:7" x14ac:dyDescent="0.25">
      <c r="A2559">
        <v>4934</v>
      </c>
      <c r="B2559">
        <v>80</v>
      </c>
      <c r="C2559" t="s">
        <v>894</v>
      </c>
      <c r="D2559" t="s">
        <v>6705</v>
      </c>
      <c r="F2559" t="s">
        <v>1092</v>
      </c>
      <c r="G2559" t="s">
        <v>4447</v>
      </c>
    </row>
    <row r="2560" spans="1:7" x14ac:dyDescent="0.25">
      <c r="A2560">
        <v>4935</v>
      </c>
      <c r="B2560">
        <v>80</v>
      </c>
      <c r="C2560" t="s">
        <v>894</v>
      </c>
      <c r="D2560" t="s">
        <v>6268</v>
      </c>
      <c r="F2560" t="s">
        <v>1092</v>
      </c>
      <c r="G2560" t="s">
        <v>919</v>
      </c>
    </row>
    <row r="2561" spans="1:7" x14ac:dyDescent="0.25">
      <c r="A2561">
        <v>4936</v>
      </c>
      <c r="B2561">
        <v>80</v>
      </c>
      <c r="C2561" t="s">
        <v>894</v>
      </c>
      <c r="D2561" t="s">
        <v>6706</v>
      </c>
      <c r="F2561" t="s">
        <v>1092</v>
      </c>
      <c r="G2561" t="s">
        <v>4445</v>
      </c>
    </row>
    <row r="2562" spans="1:7" x14ac:dyDescent="0.25">
      <c r="A2562">
        <v>4937</v>
      </c>
      <c r="B2562">
        <v>77</v>
      </c>
      <c r="C2562" t="s">
        <v>894</v>
      </c>
      <c r="D2562" t="s">
        <v>963</v>
      </c>
      <c r="E2562" t="s">
        <v>6707</v>
      </c>
      <c r="F2562" t="s">
        <v>6708</v>
      </c>
      <c r="G2562" t="s">
        <v>4447</v>
      </c>
    </row>
    <row r="2563" spans="1:7" x14ac:dyDescent="0.25">
      <c r="A2563">
        <v>4938</v>
      </c>
      <c r="B2563">
        <v>140</v>
      </c>
      <c r="C2563" t="s">
        <v>894</v>
      </c>
      <c r="D2563" t="s">
        <v>1294</v>
      </c>
      <c r="E2563" t="s">
        <v>6709</v>
      </c>
      <c r="F2563" t="s">
        <v>1258</v>
      </c>
      <c r="G2563" t="s">
        <v>4443</v>
      </c>
    </row>
    <row r="2564" spans="1:7" x14ac:dyDescent="0.25">
      <c r="A2564">
        <v>4939</v>
      </c>
      <c r="B2564">
        <v>1</v>
      </c>
      <c r="C2564" t="s">
        <v>894</v>
      </c>
      <c r="D2564" t="s">
        <v>6710</v>
      </c>
      <c r="E2564" t="s">
        <v>6711</v>
      </c>
      <c r="F2564" t="s">
        <v>6712</v>
      </c>
    </row>
    <row r="2565" spans="1:7" x14ac:dyDescent="0.25">
      <c r="A2565">
        <v>4940</v>
      </c>
      <c r="B2565">
        <v>887</v>
      </c>
      <c r="C2565" t="s">
        <v>898</v>
      </c>
      <c r="D2565" t="s">
        <v>4932</v>
      </c>
      <c r="F2565" t="s">
        <v>6713</v>
      </c>
      <c r="G2565" t="s">
        <v>4448</v>
      </c>
    </row>
    <row r="2566" spans="1:7" x14ac:dyDescent="0.25">
      <c r="A2566">
        <v>4941</v>
      </c>
      <c r="B2566">
        <v>887</v>
      </c>
      <c r="C2566" t="s">
        <v>898</v>
      </c>
      <c r="D2566" t="s">
        <v>5045</v>
      </c>
      <c r="F2566" t="s">
        <v>6713</v>
      </c>
      <c r="G2566" t="s">
        <v>4442</v>
      </c>
    </row>
    <row r="2567" spans="1:7" x14ac:dyDescent="0.25">
      <c r="A2567">
        <v>4942</v>
      </c>
      <c r="B2567">
        <v>887</v>
      </c>
      <c r="C2567" t="s">
        <v>898</v>
      </c>
      <c r="D2567" t="s">
        <v>4909</v>
      </c>
      <c r="F2567" t="s">
        <v>6713</v>
      </c>
      <c r="G2567" t="s">
        <v>4447</v>
      </c>
    </row>
    <row r="2568" spans="1:7" x14ac:dyDescent="0.25">
      <c r="A2568">
        <v>4943</v>
      </c>
      <c r="B2568">
        <v>887</v>
      </c>
      <c r="C2568" t="s">
        <v>898</v>
      </c>
      <c r="D2568" t="s">
        <v>1972</v>
      </c>
      <c r="F2568" t="s">
        <v>6713</v>
      </c>
      <c r="G2568" t="s">
        <v>4447</v>
      </c>
    </row>
    <row r="2569" spans="1:7" x14ac:dyDescent="0.25">
      <c r="A2569">
        <v>4944</v>
      </c>
      <c r="B2569">
        <v>887</v>
      </c>
      <c r="C2569" t="s">
        <v>898</v>
      </c>
      <c r="D2569" t="s">
        <v>6714</v>
      </c>
      <c r="F2569" t="s">
        <v>6713</v>
      </c>
      <c r="G2569" t="s">
        <v>4444</v>
      </c>
    </row>
    <row r="2570" spans="1:7" x14ac:dyDescent="0.25">
      <c r="A2570">
        <v>4945</v>
      </c>
      <c r="B2570">
        <v>887</v>
      </c>
      <c r="C2570" t="s">
        <v>898</v>
      </c>
      <c r="D2570" t="s">
        <v>6715</v>
      </c>
      <c r="F2570" t="s">
        <v>6713</v>
      </c>
      <c r="G2570" t="s">
        <v>919</v>
      </c>
    </row>
    <row r="2571" spans="1:7" x14ac:dyDescent="0.25">
      <c r="A2571">
        <v>4946</v>
      </c>
      <c r="B2571">
        <v>887</v>
      </c>
      <c r="C2571" t="s">
        <v>898</v>
      </c>
      <c r="D2571" t="s">
        <v>6716</v>
      </c>
      <c r="F2571" t="s">
        <v>6713</v>
      </c>
      <c r="G2571" t="s">
        <v>4440</v>
      </c>
    </row>
    <row r="2572" spans="1:7" x14ac:dyDescent="0.25">
      <c r="A2572">
        <v>4947</v>
      </c>
      <c r="B2572">
        <v>887</v>
      </c>
      <c r="C2572" t="s">
        <v>898</v>
      </c>
      <c r="D2572" t="s">
        <v>6717</v>
      </c>
      <c r="F2572" t="s">
        <v>6713</v>
      </c>
      <c r="G2572" t="s">
        <v>4441</v>
      </c>
    </row>
    <row r="2573" spans="1:7" x14ac:dyDescent="0.25">
      <c r="A2573">
        <v>4948</v>
      </c>
      <c r="B2573">
        <v>887</v>
      </c>
      <c r="C2573" t="s">
        <v>898</v>
      </c>
      <c r="D2573" t="s">
        <v>1818</v>
      </c>
      <c r="F2573" t="s">
        <v>6713</v>
      </c>
    </row>
    <row r="2574" spans="1:7" x14ac:dyDescent="0.25">
      <c r="A2574">
        <v>4962</v>
      </c>
      <c r="B2574">
        <v>48</v>
      </c>
      <c r="C2574" t="s">
        <v>894</v>
      </c>
      <c r="D2574" t="s">
        <v>4601</v>
      </c>
      <c r="E2574" t="s">
        <v>6270</v>
      </c>
      <c r="F2574" t="s">
        <v>6718</v>
      </c>
      <c r="G2574" t="s">
        <v>1670</v>
      </c>
    </row>
    <row r="2575" spans="1:7" x14ac:dyDescent="0.25">
      <c r="A2575">
        <v>4963</v>
      </c>
      <c r="B2575">
        <v>48</v>
      </c>
      <c r="C2575" t="s">
        <v>894</v>
      </c>
      <c r="D2575" t="s">
        <v>6719</v>
      </c>
      <c r="E2575" t="s">
        <v>6720</v>
      </c>
      <c r="F2575" t="s">
        <v>6718</v>
      </c>
    </row>
    <row r="2576" spans="1:7" x14ac:dyDescent="0.25">
      <c r="A2576">
        <v>4964</v>
      </c>
      <c r="B2576">
        <v>48</v>
      </c>
      <c r="C2576" t="s">
        <v>894</v>
      </c>
      <c r="D2576" t="s">
        <v>6721</v>
      </c>
      <c r="E2576" t="s">
        <v>6722</v>
      </c>
      <c r="F2576" t="s">
        <v>6718</v>
      </c>
      <c r="G2576" t="s">
        <v>919</v>
      </c>
    </row>
    <row r="2577" spans="1:8" x14ac:dyDescent="0.25">
      <c r="A2577">
        <v>4965</v>
      </c>
      <c r="B2577">
        <v>48</v>
      </c>
      <c r="C2577" t="s">
        <v>894</v>
      </c>
      <c r="D2577" t="s">
        <v>6723</v>
      </c>
      <c r="E2577" t="s">
        <v>6724</v>
      </c>
      <c r="F2577" t="s">
        <v>6718</v>
      </c>
      <c r="G2577" t="s">
        <v>919</v>
      </c>
    </row>
    <row r="2578" spans="1:8" x14ac:dyDescent="0.25">
      <c r="A2578">
        <v>4966</v>
      </c>
      <c r="B2578">
        <v>5</v>
      </c>
      <c r="C2578" t="s">
        <v>898</v>
      </c>
      <c r="D2578" t="s">
        <v>6725</v>
      </c>
      <c r="E2578" t="s">
        <v>6726</v>
      </c>
      <c r="F2578" t="s">
        <v>6727</v>
      </c>
    </row>
    <row r="2579" spans="1:8" x14ac:dyDescent="0.25">
      <c r="A2579">
        <v>4967</v>
      </c>
      <c r="B2579">
        <v>5</v>
      </c>
      <c r="C2579" t="s">
        <v>898</v>
      </c>
      <c r="D2579" t="s">
        <v>6728</v>
      </c>
      <c r="E2579" t="s">
        <v>6729</v>
      </c>
      <c r="F2579" t="s">
        <v>6730</v>
      </c>
    </row>
    <row r="2580" spans="1:8" x14ac:dyDescent="0.25">
      <c r="A2580">
        <v>4968</v>
      </c>
      <c r="B2580">
        <v>5</v>
      </c>
      <c r="C2580" t="s">
        <v>898</v>
      </c>
      <c r="D2580" t="s">
        <v>6731</v>
      </c>
      <c r="E2580" t="s">
        <v>6732</v>
      </c>
      <c r="F2580" t="s">
        <v>6733</v>
      </c>
    </row>
    <row r="2581" spans="1:8" x14ac:dyDescent="0.25">
      <c r="A2581">
        <v>4969</v>
      </c>
      <c r="B2581">
        <v>2</v>
      </c>
      <c r="C2581" t="s">
        <v>894</v>
      </c>
      <c r="D2581" t="s">
        <v>6734</v>
      </c>
      <c r="E2581" t="s">
        <v>6735</v>
      </c>
      <c r="F2581" t="s">
        <v>6736</v>
      </c>
      <c r="G2581" t="s">
        <v>4447</v>
      </c>
    </row>
    <row r="2582" spans="1:8" x14ac:dyDescent="0.25">
      <c r="A2582">
        <v>4970</v>
      </c>
      <c r="B2582">
        <v>2</v>
      </c>
      <c r="C2582" t="s">
        <v>894</v>
      </c>
      <c r="D2582" t="s">
        <v>6737</v>
      </c>
      <c r="E2582" t="s">
        <v>6738</v>
      </c>
      <c r="F2582" t="s">
        <v>6739</v>
      </c>
      <c r="G2582" t="s">
        <v>4457</v>
      </c>
    </row>
    <row r="2583" spans="1:8" x14ac:dyDescent="0.25">
      <c r="A2583">
        <v>4971</v>
      </c>
      <c r="B2583">
        <v>2</v>
      </c>
      <c r="C2583" t="s">
        <v>894</v>
      </c>
      <c r="D2583" t="s">
        <v>6740</v>
      </c>
      <c r="E2583" t="s">
        <v>6741</v>
      </c>
      <c r="F2583" t="s">
        <v>6739</v>
      </c>
      <c r="G2583" t="s">
        <v>1309</v>
      </c>
      <c r="H2583">
        <v>3</v>
      </c>
    </row>
    <row r="2584" spans="1:8" x14ac:dyDescent="0.25">
      <c r="A2584">
        <v>4972</v>
      </c>
      <c r="B2584">
        <v>2</v>
      </c>
      <c r="C2584" t="s">
        <v>894</v>
      </c>
      <c r="D2584" t="s">
        <v>6742</v>
      </c>
      <c r="E2584" t="s">
        <v>6743</v>
      </c>
      <c r="F2584" t="s">
        <v>6744</v>
      </c>
    </row>
    <row r="2585" spans="1:8" x14ac:dyDescent="0.25">
      <c r="A2585">
        <v>4973</v>
      </c>
      <c r="B2585">
        <v>181</v>
      </c>
      <c r="C2585" t="s">
        <v>894</v>
      </c>
      <c r="D2585" t="s">
        <v>6745</v>
      </c>
      <c r="E2585" t="s">
        <v>6746</v>
      </c>
      <c r="F2585" t="s">
        <v>1276</v>
      </c>
      <c r="G2585" t="s">
        <v>4442</v>
      </c>
    </row>
    <row r="2586" spans="1:8" x14ac:dyDescent="0.25">
      <c r="A2586">
        <v>4974</v>
      </c>
      <c r="B2586">
        <v>181</v>
      </c>
      <c r="C2586" t="s">
        <v>894</v>
      </c>
      <c r="D2586" t="s">
        <v>6747</v>
      </c>
      <c r="E2586" t="s">
        <v>2231</v>
      </c>
      <c r="F2586" t="s">
        <v>1276</v>
      </c>
      <c r="G2586" t="s">
        <v>4447</v>
      </c>
    </row>
    <row r="2587" spans="1:8" x14ac:dyDescent="0.25">
      <c r="A2587">
        <v>4975</v>
      </c>
      <c r="B2587">
        <v>181</v>
      </c>
      <c r="C2587" t="s">
        <v>894</v>
      </c>
      <c r="D2587" t="s">
        <v>6748</v>
      </c>
      <c r="E2587" t="s">
        <v>6749</v>
      </c>
      <c r="F2587" t="s">
        <v>1276</v>
      </c>
      <c r="G2587" t="s">
        <v>4447</v>
      </c>
    </row>
    <row r="2588" spans="1:8" x14ac:dyDescent="0.25">
      <c r="A2588">
        <v>4976</v>
      </c>
      <c r="B2588">
        <v>181</v>
      </c>
      <c r="C2588" t="s">
        <v>894</v>
      </c>
      <c r="D2588" t="s">
        <v>6750</v>
      </c>
      <c r="E2588" t="s">
        <v>6751</v>
      </c>
      <c r="F2588" t="s">
        <v>1276</v>
      </c>
      <c r="G2588" t="s">
        <v>4447</v>
      </c>
    </row>
    <row r="2589" spans="1:8" x14ac:dyDescent="0.25">
      <c r="A2589">
        <v>4977</v>
      </c>
      <c r="B2589">
        <v>181</v>
      </c>
      <c r="C2589" t="s">
        <v>894</v>
      </c>
      <c r="D2589" t="s">
        <v>6752</v>
      </c>
      <c r="E2589" t="s">
        <v>6753</v>
      </c>
      <c r="F2589" t="s">
        <v>1276</v>
      </c>
      <c r="G2589" t="s">
        <v>4444</v>
      </c>
    </row>
    <row r="2590" spans="1:8" x14ac:dyDescent="0.25">
      <c r="A2590">
        <v>4978</v>
      </c>
      <c r="B2590">
        <v>181</v>
      </c>
      <c r="C2590" t="s">
        <v>894</v>
      </c>
      <c r="D2590" t="s">
        <v>6754</v>
      </c>
      <c r="E2590" t="s">
        <v>6755</v>
      </c>
      <c r="F2590" t="s">
        <v>1276</v>
      </c>
      <c r="G2590" t="s">
        <v>4447</v>
      </c>
    </row>
    <row r="2591" spans="1:8" x14ac:dyDescent="0.25">
      <c r="A2591">
        <v>4979</v>
      </c>
      <c r="B2591">
        <v>59</v>
      </c>
      <c r="C2591" t="s">
        <v>894</v>
      </c>
      <c r="D2591" t="s">
        <v>6756</v>
      </c>
      <c r="E2591" t="s">
        <v>6757</v>
      </c>
      <c r="F2591" t="s">
        <v>6758</v>
      </c>
      <c r="G2591" t="s">
        <v>4447</v>
      </c>
    </row>
    <row r="2592" spans="1:8" x14ac:dyDescent="0.25">
      <c r="A2592">
        <v>4981</v>
      </c>
      <c r="B2592">
        <v>54</v>
      </c>
      <c r="C2592" t="s">
        <v>894</v>
      </c>
      <c r="D2592" t="s">
        <v>6759</v>
      </c>
      <c r="E2592" t="s">
        <v>6760</v>
      </c>
      <c r="F2592" t="s">
        <v>1013</v>
      </c>
      <c r="G2592" t="s">
        <v>4447</v>
      </c>
    </row>
    <row r="2593" spans="1:8" x14ac:dyDescent="0.25">
      <c r="A2593">
        <v>4982</v>
      </c>
      <c r="B2593">
        <v>54</v>
      </c>
      <c r="C2593" t="s">
        <v>894</v>
      </c>
      <c r="D2593" t="s">
        <v>6761</v>
      </c>
      <c r="E2593" t="s">
        <v>6762</v>
      </c>
      <c r="F2593" t="s">
        <v>1013</v>
      </c>
      <c r="G2593" t="s">
        <v>4442</v>
      </c>
    </row>
    <row r="2594" spans="1:8" x14ac:dyDescent="0.25">
      <c r="A2594">
        <v>4986</v>
      </c>
      <c r="B2594">
        <v>103</v>
      </c>
      <c r="C2594" t="s">
        <v>898</v>
      </c>
      <c r="D2594" t="s">
        <v>6763</v>
      </c>
      <c r="E2594" t="s">
        <v>6764</v>
      </c>
      <c r="F2594" t="s">
        <v>1151</v>
      </c>
      <c r="G2594" t="s">
        <v>4447</v>
      </c>
    </row>
    <row r="2595" spans="1:8" x14ac:dyDescent="0.25">
      <c r="A2595">
        <v>4987</v>
      </c>
      <c r="B2595">
        <v>557</v>
      </c>
      <c r="C2595" t="s">
        <v>898</v>
      </c>
      <c r="D2595" t="s">
        <v>6765</v>
      </c>
      <c r="E2595" t="s">
        <v>6766</v>
      </c>
      <c r="F2595" t="s">
        <v>6767</v>
      </c>
      <c r="G2595" t="s">
        <v>4442</v>
      </c>
    </row>
    <row r="2596" spans="1:8" x14ac:dyDescent="0.25">
      <c r="A2596">
        <v>4988</v>
      </c>
      <c r="B2596">
        <v>557</v>
      </c>
      <c r="C2596" t="s">
        <v>898</v>
      </c>
      <c r="D2596" t="s">
        <v>6768</v>
      </c>
      <c r="E2596" t="s">
        <v>6769</v>
      </c>
      <c r="F2596" t="s">
        <v>1158</v>
      </c>
      <c r="G2596" t="s">
        <v>4447</v>
      </c>
    </row>
    <row r="2597" spans="1:8" x14ac:dyDescent="0.25">
      <c r="A2597">
        <v>4989</v>
      </c>
      <c r="B2597">
        <v>557</v>
      </c>
      <c r="C2597" t="s">
        <v>898</v>
      </c>
      <c r="D2597" t="s">
        <v>6770</v>
      </c>
      <c r="E2597" t="s">
        <v>6771</v>
      </c>
      <c r="F2597" t="s">
        <v>1158</v>
      </c>
      <c r="G2597" t="s">
        <v>4447</v>
      </c>
    </row>
    <row r="2598" spans="1:8" x14ac:dyDescent="0.25">
      <c r="A2598">
        <v>4990</v>
      </c>
      <c r="B2598">
        <v>557</v>
      </c>
      <c r="C2598" t="s">
        <v>898</v>
      </c>
      <c r="D2598" t="s">
        <v>6772</v>
      </c>
      <c r="E2598" t="s">
        <v>6773</v>
      </c>
      <c r="F2598" t="s">
        <v>1158</v>
      </c>
      <c r="G2598" t="s">
        <v>4447</v>
      </c>
    </row>
    <row r="2599" spans="1:8" x14ac:dyDescent="0.25">
      <c r="A2599">
        <v>4991</v>
      </c>
      <c r="B2599">
        <v>557</v>
      </c>
      <c r="C2599" t="s">
        <v>898</v>
      </c>
      <c r="D2599" t="s">
        <v>6774</v>
      </c>
      <c r="E2599" t="s">
        <v>6775</v>
      </c>
      <c r="F2599" t="s">
        <v>1158</v>
      </c>
      <c r="G2599" t="s">
        <v>4447</v>
      </c>
    </row>
    <row r="2600" spans="1:8" x14ac:dyDescent="0.25">
      <c r="A2600">
        <v>4992</v>
      </c>
      <c r="B2600">
        <v>557</v>
      </c>
      <c r="C2600" t="s">
        <v>898</v>
      </c>
      <c r="D2600" t="s">
        <v>6776</v>
      </c>
      <c r="E2600" t="s">
        <v>6777</v>
      </c>
      <c r="F2600" t="s">
        <v>6767</v>
      </c>
      <c r="G2600" t="s">
        <v>4447</v>
      </c>
    </row>
    <row r="2601" spans="1:8" x14ac:dyDescent="0.25">
      <c r="A2601">
        <v>4993</v>
      </c>
      <c r="B2601">
        <v>61</v>
      </c>
      <c r="C2601" t="s">
        <v>894</v>
      </c>
      <c r="D2601" t="s">
        <v>6778</v>
      </c>
      <c r="E2601" t="s">
        <v>6779</v>
      </c>
      <c r="F2601" t="s">
        <v>1063</v>
      </c>
      <c r="G2601" t="s">
        <v>4447</v>
      </c>
    </row>
    <row r="2602" spans="1:8" x14ac:dyDescent="0.25">
      <c r="A2602">
        <v>4994</v>
      </c>
      <c r="B2602">
        <v>54</v>
      </c>
      <c r="C2602" t="s">
        <v>894</v>
      </c>
      <c r="D2602" t="s">
        <v>6780</v>
      </c>
      <c r="E2602" t="s">
        <v>6781</v>
      </c>
      <c r="F2602" t="s">
        <v>1013</v>
      </c>
    </row>
    <row r="2603" spans="1:8" x14ac:dyDescent="0.25">
      <c r="A2603">
        <v>4995</v>
      </c>
      <c r="B2603">
        <v>38</v>
      </c>
      <c r="C2603" t="s">
        <v>894</v>
      </c>
      <c r="D2603" t="s">
        <v>6782</v>
      </c>
      <c r="E2603" t="s">
        <v>6783</v>
      </c>
      <c r="F2603" t="s">
        <v>980</v>
      </c>
      <c r="G2603" t="s">
        <v>4447</v>
      </c>
    </row>
    <row r="2604" spans="1:8" x14ac:dyDescent="0.25">
      <c r="A2604">
        <v>4996</v>
      </c>
      <c r="B2604">
        <v>24</v>
      </c>
      <c r="C2604" t="s">
        <v>894</v>
      </c>
      <c r="D2604" t="s">
        <v>6784</v>
      </c>
      <c r="E2604" t="s">
        <v>6785</v>
      </c>
      <c r="F2604" t="s">
        <v>954</v>
      </c>
      <c r="G2604" t="s">
        <v>4447</v>
      </c>
    </row>
    <row r="2605" spans="1:8" x14ac:dyDescent="0.25">
      <c r="A2605">
        <v>4997</v>
      </c>
      <c r="B2605">
        <v>553</v>
      </c>
      <c r="C2605" t="s">
        <v>894</v>
      </c>
      <c r="D2605" t="s">
        <v>1074</v>
      </c>
      <c r="E2605" t="s">
        <v>6786</v>
      </c>
      <c r="F2605" t="s">
        <v>6787</v>
      </c>
      <c r="G2605" t="s">
        <v>4444</v>
      </c>
      <c r="H2605">
        <v>6200</v>
      </c>
    </row>
    <row r="2606" spans="1:8" x14ac:dyDescent="0.25">
      <c r="A2606">
        <v>4998</v>
      </c>
      <c r="B2606">
        <v>553</v>
      </c>
      <c r="C2606" t="s">
        <v>894</v>
      </c>
      <c r="D2606" t="s">
        <v>6788</v>
      </c>
      <c r="E2606" t="s">
        <v>6789</v>
      </c>
      <c r="F2606" t="s">
        <v>6787</v>
      </c>
      <c r="G2606" t="s">
        <v>4447</v>
      </c>
    </row>
    <row r="2607" spans="1:8" x14ac:dyDescent="0.25">
      <c r="A2607">
        <v>4999</v>
      </c>
      <c r="B2607">
        <v>52</v>
      </c>
      <c r="C2607" t="s">
        <v>894</v>
      </c>
      <c r="D2607" t="s">
        <v>6790</v>
      </c>
      <c r="E2607" t="s">
        <v>6791</v>
      </c>
      <c r="F2607" t="s">
        <v>995</v>
      </c>
      <c r="G2607" t="s">
        <v>4447</v>
      </c>
    </row>
    <row r="2608" spans="1:8" x14ac:dyDescent="0.25">
      <c r="A2608">
        <v>5000</v>
      </c>
      <c r="B2608">
        <v>52</v>
      </c>
      <c r="C2608" t="s">
        <v>894</v>
      </c>
      <c r="D2608" t="s">
        <v>1356</v>
      </c>
      <c r="E2608" t="s">
        <v>6792</v>
      </c>
      <c r="F2608" t="s">
        <v>995</v>
      </c>
      <c r="G2608" t="s">
        <v>4442</v>
      </c>
    </row>
    <row r="2609" spans="1:7" x14ac:dyDescent="0.25">
      <c r="A2609">
        <v>5001</v>
      </c>
      <c r="B2609">
        <v>102</v>
      </c>
      <c r="C2609" t="s">
        <v>898</v>
      </c>
      <c r="D2609" t="s">
        <v>6765</v>
      </c>
      <c r="E2609" t="s">
        <v>6793</v>
      </c>
      <c r="F2609" t="s">
        <v>1142</v>
      </c>
      <c r="G2609" t="s">
        <v>4442</v>
      </c>
    </row>
    <row r="2610" spans="1:7" x14ac:dyDescent="0.25">
      <c r="A2610">
        <v>5002</v>
      </c>
      <c r="B2610">
        <v>102</v>
      </c>
      <c r="C2610" t="s">
        <v>898</v>
      </c>
      <c r="D2610" t="s">
        <v>6794</v>
      </c>
      <c r="E2610" t="s">
        <v>6795</v>
      </c>
      <c r="F2610" t="s">
        <v>1142</v>
      </c>
      <c r="G2610" t="s">
        <v>4447</v>
      </c>
    </row>
    <row r="2611" spans="1:7" x14ac:dyDescent="0.25">
      <c r="A2611">
        <v>5003</v>
      </c>
      <c r="B2611">
        <v>102</v>
      </c>
      <c r="C2611" t="s">
        <v>898</v>
      </c>
      <c r="D2611" t="s">
        <v>6796</v>
      </c>
      <c r="E2611" t="s">
        <v>6797</v>
      </c>
      <c r="F2611" t="s">
        <v>1142</v>
      </c>
      <c r="G2611" t="s">
        <v>4447</v>
      </c>
    </row>
    <row r="2612" spans="1:7" x14ac:dyDescent="0.25">
      <c r="A2612">
        <v>5004</v>
      </c>
      <c r="B2612">
        <v>102</v>
      </c>
      <c r="C2612" t="s">
        <v>898</v>
      </c>
      <c r="D2612" t="s">
        <v>6798</v>
      </c>
      <c r="E2612" t="s">
        <v>6799</v>
      </c>
      <c r="F2612" t="s">
        <v>1142</v>
      </c>
      <c r="G2612" t="s">
        <v>4447</v>
      </c>
    </row>
    <row r="2613" spans="1:7" x14ac:dyDescent="0.25">
      <c r="A2613">
        <v>5005</v>
      </c>
      <c r="B2613">
        <v>102</v>
      </c>
      <c r="C2613" t="s">
        <v>898</v>
      </c>
      <c r="D2613" t="s">
        <v>6800</v>
      </c>
      <c r="E2613" t="s">
        <v>6801</v>
      </c>
      <c r="F2613" t="s">
        <v>1142</v>
      </c>
      <c r="G2613" t="s">
        <v>4444</v>
      </c>
    </row>
    <row r="2614" spans="1:7" x14ac:dyDescent="0.25">
      <c r="A2614">
        <v>5006</v>
      </c>
      <c r="B2614">
        <v>102</v>
      </c>
      <c r="C2614" t="s">
        <v>898</v>
      </c>
      <c r="D2614" t="s">
        <v>6802</v>
      </c>
      <c r="E2614" t="s">
        <v>6803</v>
      </c>
      <c r="F2614" t="s">
        <v>1142</v>
      </c>
      <c r="G2614" t="s">
        <v>4447</v>
      </c>
    </row>
    <row r="2615" spans="1:7" x14ac:dyDescent="0.25">
      <c r="A2615">
        <v>5007</v>
      </c>
      <c r="B2615">
        <v>412</v>
      </c>
      <c r="C2615" t="s">
        <v>894</v>
      </c>
      <c r="D2615" t="s">
        <v>6804</v>
      </c>
      <c r="F2615" t="s">
        <v>2015</v>
      </c>
      <c r="G2615" t="s">
        <v>4448</v>
      </c>
    </row>
    <row r="2616" spans="1:7" x14ac:dyDescent="0.25">
      <c r="A2616">
        <v>5008</v>
      </c>
      <c r="B2616">
        <v>673</v>
      </c>
      <c r="C2616" t="s">
        <v>898</v>
      </c>
      <c r="D2616" t="s">
        <v>6805</v>
      </c>
      <c r="F2616" t="s">
        <v>5083</v>
      </c>
      <c r="G2616" t="s">
        <v>4441</v>
      </c>
    </row>
    <row r="2617" spans="1:7" x14ac:dyDescent="0.25">
      <c r="A2617">
        <v>5009</v>
      </c>
      <c r="B2617">
        <v>105</v>
      </c>
      <c r="C2617" t="s">
        <v>898</v>
      </c>
      <c r="D2617" t="s">
        <v>6806</v>
      </c>
      <c r="E2617" t="s">
        <v>6807</v>
      </c>
      <c r="F2617" t="s">
        <v>6808</v>
      </c>
      <c r="G2617" t="s">
        <v>4442</v>
      </c>
    </row>
    <row r="2618" spans="1:7" x14ac:dyDescent="0.25">
      <c r="A2618">
        <v>5010</v>
      </c>
      <c r="B2618">
        <v>105</v>
      </c>
      <c r="C2618" t="s">
        <v>898</v>
      </c>
      <c r="D2618" t="s">
        <v>6809</v>
      </c>
      <c r="E2618" t="s">
        <v>6810</v>
      </c>
      <c r="F2618" t="s">
        <v>6811</v>
      </c>
      <c r="G2618" t="s">
        <v>4447</v>
      </c>
    </row>
    <row r="2619" spans="1:7" x14ac:dyDescent="0.25">
      <c r="A2619">
        <v>5011</v>
      </c>
      <c r="B2619">
        <v>105</v>
      </c>
      <c r="C2619" t="s">
        <v>898</v>
      </c>
      <c r="D2619" t="s">
        <v>6812</v>
      </c>
      <c r="E2619" t="s">
        <v>6813</v>
      </c>
      <c r="F2619" t="s">
        <v>6814</v>
      </c>
      <c r="G2619" t="s">
        <v>4447</v>
      </c>
    </row>
    <row r="2620" spans="1:7" x14ac:dyDescent="0.25">
      <c r="A2620">
        <v>5012</v>
      </c>
      <c r="B2620">
        <v>105</v>
      </c>
      <c r="C2620" t="s">
        <v>898</v>
      </c>
      <c r="D2620" t="s">
        <v>6815</v>
      </c>
      <c r="E2620" t="s">
        <v>6816</v>
      </c>
      <c r="F2620" t="s">
        <v>6817</v>
      </c>
      <c r="G2620" t="s">
        <v>4447</v>
      </c>
    </row>
    <row r="2621" spans="1:7" x14ac:dyDescent="0.25">
      <c r="A2621">
        <v>5013</v>
      </c>
      <c r="B2621">
        <v>105</v>
      </c>
      <c r="C2621" t="s">
        <v>898</v>
      </c>
      <c r="D2621" t="s">
        <v>6818</v>
      </c>
      <c r="E2621" t="s">
        <v>6819</v>
      </c>
      <c r="F2621" t="s">
        <v>6820</v>
      </c>
      <c r="G2621" t="s">
        <v>4444</v>
      </c>
    </row>
    <row r="2622" spans="1:7" x14ac:dyDescent="0.25">
      <c r="A2622">
        <v>5014</v>
      </c>
      <c r="B2622">
        <v>105</v>
      </c>
      <c r="C2622" t="s">
        <v>898</v>
      </c>
      <c r="D2622" t="s">
        <v>6821</v>
      </c>
      <c r="E2622" t="s">
        <v>6822</v>
      </c>
      <c r="F2622" t="s">
        <v>6823</v>
      </c>
      <c r="G2622" t="s">
        <v>4447</v>
      </c>
    </row>
    <row r="2623" spans="1:7" x14ac:dyDescent="0.25">
      <c r="A2623">
        <v>5015</v>
      </c>
      <c r="B2623">
        <v>673</v>
      </c>
      <c r="C2623" t="s">
        <v>898</v>
      </c>
      <c r="D2623" t="s">
        <v>6824</v>
      </c>
      <c r="F2623" t="s">
        <v>5083</v>
      </c>
    </row>
    <row r="2624" spans="1:7" x14ac:dyDescent="0.25">
      <c r="A2624">
        <v>5016</v>
      </c>
      <c r="B2624">
        <v>673</v>
      </c>
      <c r="C2624" t="s">
        <v>898</v>
      </c>
      <c r="D2624" t="s">
        <v>6825</v>
      </c>
      <c r="F2624" t="s">
        <v>5083</v>
      </c>
      <c r="G2624" t="s">
        <v>4440</v>
      </c>
    </row>
    <row r="2625" spans="1:8" x14ac:dyDescent="0.25">
      <c r="A2625">
        <v>5017</v>
      </c>
      <c r="B2625">
        <v>105</v>
      </c>
      <c r="C2625" t="s">
        <v>898</v>
      </c>
      <c r="D2625" t="s">
        <v>6826</v>
      </c>
      <c r="E2625" t="s">
        <v>6827</v>
      </c>
      <c r="F2625" t="s">
        <v>6828</v>
      </c>
      <c r="G2625" t="s">
        <v>4459</v>
      </c>
    </row>
    <row r="2626" spans="1:8" x14ac:dyDescent="0.25">
      <c r="A2626">
        <v>5018</v>
      </c>
      <c r="B2626">
        <v>140</v>
      </c>
      <c r="C2626" t="s">
        <v>894</v>
      </c>
      <c r="D2626" t="s">
        <v>966</v>
      </c>
      <c r="E2626" t="s">
        <v>6829</v>
      </c>
      <c r="F2626" t="s">
        <v>1258</v>
      </c>
      <c r="G2626" t="s">
        <v>2758</v>
      </c>
    </row>
    <row r="2627" spans="1:8" x14ac:dyDescent="0.25">
      <c r="A2627">
        <v>5020</v>
      </c>
      <c r="B2627">
        <v>39</v>
      </c>
      <c r="C2627" t="s">
        <v>894</v>
      </c>
      <c r="D2627" t="s">
        <v>6830</v>
      </c>
      <c r="E2627" t="s">
        <v>6831</v>
      </c>
      <c r="F2627" t="s">
        <v>6832</v>
      </c>
      <c r="G2627" t="s">
        <v>4447</v>
      </c>
    </row>
    <row r="2628" spans="1:8" x14ac:dyDescent="0.25">
      <c r="A2628">
        <v>5021</v>
      </c>
      <c r="B2628">
        <v>83</v>
      </c>
      <c r="C2628" t="s">
        <v>898</v>
      </c>
      <c r="D2628" t="s">
        <v>6765</v>
      </c>
      <c r="E2628" t="s">
        <v>6833</v>
      </c>
      <c r="F2628" t="s">
        <v>6834</v>
      </c>
      <c r="G2628" t="s">
        <v>4442</v>
      </c>
    </row>
    <row r="2629" spans="1:8" x14ac:dyDescent="0.25">
      <c r="A2629">
        <v>5022</v>
      </c>
      <c r="B2629">
        <v>83</v>
      </c>
      <c r="C2629" t="s">
        <v>898</v>
      </c>
      <c r="D2629" t="s">
        <v>6809</v>
      </c>
      <c r="E2629" t="s">
        <v>6835</v>
      </c>
      <c r="F2629" t="s">
        <v>6836</v>
      </c>
      <c r="G2629" t="s">
        <v>4447</v>
      </c>
    </row>
    <row r="2630" spans="1:8" x14ac:dyDescent="0.25">
      <c r="A2630">
        <v>5023</v>
      </c>
      <c r="B2630">
        <v>83</v>
      </c>
      <c r="C2630" t="s">
        <v>898</v>
      </c>
      <c r="D2630" t="s">
        <v>6812</v>
      </c>
      <c r="E2630" t="s">
        <v>6837</v>
      </c>
      <c r="F2630" t="s">
        <v>6838</v>
      </c>
      <c r="G2630" t="s">
        <v>4447</v>
      </c>
    </row>
    <row r="2631" spans="1:8" x14ac:dyDescent="0.25">
      <c r="A2631">
        <v>5024</v>
      </c>
      <c r="B2631">
        <v>83</v>
      </c>
      <c r="C2631" t="s">
        <v>898</v>
      </c>
      <c r="D2631" t="s">
        <v>6839</v>
      </c>
      <c r="E2631" t="s">
        <v>6840</v>
      </c>
      <c r="F2631" t="s">
        <v>6841</v>
      </c>
      <c r="G2631" t="s">
        <v>4447</v>
      </c>
    </row>
    <row r="2632" spans="1:8" x14ac:dyDescent="0.25">
      <c r="A2632">
        <v>5025</v>
      </c>
      <c r="B2632">
        <v>83</v>
      </c>
      <c r="C2632" t="s">
        <v>898</v>
      </c>
      <c r="D2632" t="s">
        <v>6842</v>
      </c>
      <c r="E2632" t="s">
        <v>6843</v>
      </c>
      <c r="F2632" t="s">
        <v>6844</v>
      </c>
      <c r="G2632" t="s">
        <v>4447</v>
      </c>
    </row>
    <row r="2633" spans="1:8" x14ac:dyDescent="0.25">
      <c r="A2633">
        <v>5027</v>
      </c>
      <c r="B2633">
        <v>133</v>
      </c>
      <c r="C2633" t="s">
        <v>894</v>
      </c>
      <c r="D2633" t="s">
        <v>6845</v>
      </c>
      <c r="E2633" t="s">
        <v>6846</v>
      </c>
      <c r="F2633" t="s">
        <v>1247</v>
      </c>
      <c r="G2633" t="s">
        <v>919</v>
      </c>
      <c r="H2633">
        <v>2500</v>
      </c>
    </row>
    <row r="2634" spans="1:8" x14ac:dyDescent="0.25">
      <c r="A2634">
        <v>5028</v>
      </c>
      <c r="B2634">
        <v>133</v>
      </c>
      <c r="C2634" t="s">
        <v>894</v>
      </c>
      <c r="D2634" t="s">
        <v>6059</v>
      </c>
      <c r="E2634" t="s">
        <v>6847</v>
      </c>
      <c r="F2634" t="s">
        <v>1247</v>
      </c>
      <c r="G2634" t="s">
        <v>4445</v>
      </c>
      <c r="H2634">
        <v>2000</v>
      </c>
    </row>
    <row r="2635" spans="1:8" x14ac:dyDescent="0.25">
      <c r="A2635">
        <v>5029</v>
      </c>
      <c r="B2635">
        <v>62</v>
      </c>
      <c r="C2635" t="s">
        <v>894</v>
      </c>
      <c r="D2635" t="s">
        <v>6848</v>
      </c>
      <c r="E2635" t="s">
        <v>6849</v>
      </c>
      <c r="F2635" t="s">
        <v>1057</v>
      </c>
      <c r="G2635" t="s">
        <v>4447</v>
      </c>
    </row>
    <row r="2636" spans="1:8" x14ac:dyDescent="0.25">
      <c r="A2636">
        <v>5030</v>
      </c>
      <c r="B2636">
        <v>62</v>
      </c>
      <c r="C2636" t="s">
        <v>894</v>
      </c>
      <c r="D2636" t="s">
        <v>6850</v>
      </c>
      <c r="E2636" t="s">
        <v>6851</v>
      </c>
      <c r="F2636" t="s">
        <v>1057</v>
      </c>
      <c r="G2636" t="s">
        <v>4447</v>
      </c>
    </row>
    <row r="2637" spans="1:8" x14ac:dyDescent="0.25">
      <c r="A2637">
        <v>5031</v>
      </c>
      <c r="B2637">
        <v>62</v>
      </c>
      <c r="C2637" t="s">
        <v>894</v>
      </c>
      <c r="D2637" t="s">
        <v>6852</v>
      </c>
      <c r="E2637" t="s">
        <v>6853</v>
      </c>
      <c r="F2637" t="s">
        <v>1057</v>
      </c>
      <c r="G2637" t="s">
        <v>4447</v>
      </c>
    </row>
    <row r="2638" spans="1:8" x14ac:dyDescent="0.25">
      <c r="A2638">
        <v>5032</v>
      </c>
      <c r="B2638">
        <v>62</v>
      </c>
      <c r="C2638" t="s">
        <v>894</v>
      </c>
      <c r="D2638" t="s">
        <v>6854</v>
      </c>
      <c r="E2638" t="s">
        <v>6855</v>
      </c>
      <c r="F2638" t="s">
        <v>1057</v>
      </c>
      <c r="G2638" t="s">
        <v>4444</v>
      </c>
    </row>
    <row r="2639" spans="1:8" x14ac:dyDescent="0.25">
      <c r="A2639">
        <v>5033</v>
      </c>
      <c r="B2639">
        <v>62</v>
      </c>
      <c r="C2639" t="s">
        <v>894</v>
      </c>
      <c r="D2639" t="s">
        <v>1356</v>
      </c>
      <c r="E2639" t="s">
        <v>6856</v>
      </c>
      <c r="F2639" t="s">
        <v>1057</v>
      </c>
      <c r="G2639" t="s">
        <v>4442</v>
      </c>
    </row>
    <row r="2640" spans="1:8" x14ac:dyDescent="0.25">
      <c r="A2640">
        <v>5034</v>
      </c>
      <c r="B2640">
        <v>62</v>
      </c>
      <c r="C2640" t="s">
        <v>894</v>
      </c>
      <c r="D2640" t="s">
        <v>6857</v>
      </c>
      <c r="E2640" t="s">
        <v>6858</v>
      </c>
      <c r="F2640" t="s">
        <v>1057</v>
      </c>
      <c r="G2640" t="s">
        <v>4447</v>
      </c>
    </row>
    <row r="2641" spans="1:7" x14ac:dyDescent="0.25">
      <c r="A2641">
        <v>5035</v>
      </c>
      <c r="B2641">
        <v>62</v>
      </c>
      <c r="C2641" t="s">
        <v>894</v>
      </c>
      <c r="D2641" t="s">
        <v>1064</v>
      </c>
      <c r="E2641" t="s">
        <v>6859</v>
      </c>
      <c r="F2641" t="s">
        <v>1057</v>
      </c>
      <c r="G2641" t="s">
        <v>1084</v>
      </c>
    </row>
    <row r="2642" spans="1:7" x14ac:dyDescent="0.25">
      <c r="A2642">
        <v>5036</v>
      </c>
      <c r="B2642">
        <v>62</v>
      </c>
      <c r="C2642" t="s">
        <v>894</v>
      </c>
      <c r="D2642" t="s">
        <v>6860</v>
      </c>
      <c r="E2642" t="s">
        <v>6861</v>
      </c>
      <c r="F2642" t="s">
        <v>1057</v>
      </c>
      <c r="G2642" t="s">
        <v>4455</v>
      </c>
    </row>
    <row r="2643" spans="1:7" x14ac:dyDescent="0.25">
      <c r="A2643">
        <v>5037</v>
      </c>
      <c r="B2643">
        <v>194</v>
      </c>
      <c r="C2643" t="s">
        <v>894</v>
      </c>
      <c r="D2643" t="s">
        <v>6862</v>
      </c>
      <c r="E2643" t="s">
        <v>6863</v>
      </c>
      <c r="F2643" t="s">
        <v>1562</v>
      </c>
      <c r="G2643" t="s">
        <v>4442</v>
      </c>
    </row>
    <row r="2644" spans="1:7" x14ac:dyDescent="0.25">
      <c r="A2644">
        <v>5038</v>
      </c>
      <c r="B2644">
        <v>194</v>
      </c>
      <c r="C2644" t="s">
        <v>894</v>
      </c>
      <c r="D2644" t="s">
        <v>4601</v>
      </c>
      <c r="E2644" t="s">
        <v>6864</v>
      </c>
      <c r="F2644" t="s">
        <v>1562</v>
      </c>
      <c r="G2644" t="s">
        <v>1670</v>
      </c>
    </row>
    <row r="2645" spans="1:7" x14ac:dyDescent="0.25">
      <c r="A2645">
        <v>5039</v>
      </c>
      <c r="B2645">
        <v>194</v>
      </c>
      <c r="C2645" t="s">
        <v>894</v>
      </c>
      <c r="D2645" t="s">
        <v>6865</v>
      </c>
      <c r="E2645" t="s">
        <v>6866</v>
      </c>
      <c r="F2645" t="s">
        <v>1562</v>
      </c>
      <c r="G2645" t="s">
        <v>4445</v>
      </c>
    </row>
    <row r="2646" spans="1:7" x14ac:dyDescent="0.25">
      <c r="A2646">
        <v>5040</v>
      </c>
      <c r="B2646">
        <v>194</v>
      </c>
      <c r="C2646" t="s">
        <v>894</v>
      </c>
      <c r="D2646" t="s">
        <v>6867</v>
      </c>
      <c r="F2646" t="s">
        <v>1562</v>
      </c>
      <c r="G2646" t="s">
        <v>4456</v>
      </c>
    </row>
    <row r="2647" spans="1:7" x14ac:dyDescent="0.25">
      <c r="A2647">
        <v>5041</v>
      </c>
      <c r="B2647">
        <v>810</v>
      </c>
      <c r="C2647" t="s">
        <v>898</v>
      </c>
      <c r="D2647" t="s">
        <v>2642</v>
      </c>
      <c r="E2647" t="s">
        <v>6868</v>
      </c>
      <c r="F2647" t="s">
        <v>6869</v>
      </c>
      <c r="G2647" t="s">
        <v>4445</v>
      </c>
    </row>
    <row r="2648" spans="1:7" x14ac:dyDescent="0.25">
      <c r="A2648">
        <v>5042</v>
      </c>
      <c r="B2648">
        <v>810</v>
      </c>
      <c r="C2648" t="s">
        <v>898</v>
      </c>
      <c r="D2648" t="s">
        <v>4821</v>
      </c>
      <c r="E2648" t="s">
        <v>6870</v>
      </c>
      <c r="F2648" t="s">
        <v>6869</v>
      </c>
      <c r="G2648" t="s">
        <v>4456</v>
      </c>
    </row>
    <row r="2649" spans="1:7" x14ac:dyDescent="0.25">
      <c r="A2649">
        <v>5043</v>
      </c>
      <c r="B2649">
        <v>810</v>
      </c>
      <c r="C2649" t="s">
        <v>898</v>
      </c>
      <c r="D2649" t="s">
        <v>6871</v>
      </c>
      <c r="E2649" t="s">
        <v>6872</v>
      </c>
      <c r="F2649" t="s">
        <v>6869</v>
      </c>
      <c r="G2649" t="s">
        <v>4454</v>
      </c>
    </row>
    <row r="2650" spans="1:7" x14ac:dyDescent="0.25">
      <c r="A2650">
        <v>5044</v>
      </c>
      <c r="B2650">
        <v>545</v>
      </c>
      <c r="C2650" t="s">
        <v>894</v>
      </c>
      <c r="D2650" t="s">
        <v>2404</v>
      </c>
      <c r="E2650" t="s">
        <v>6873</v>
      </c>
      <c r="F2650" t="s">
        <v>2359</v>
      </c>
      <c r="G2650" t="s">
        <v>4445</v>
      </c>
    </row>
    <row r="2651" spans="1:7" x14ac:dyDescent="0.25">
      <c r="A2651">
        <v>5045</v>
      </c>
      <c r="B2651">
        <v>545</v>
      </c>
      <c r="C2651" t="s">
        <v>894</v>
      </c>
      <c r="D2651" t="s">
        <v>1668</v>
      </c>
      <c r="E2651" t="s">
        <v>6874</v>
      </c>
      <c r="F2651" t="s">
        <v>2359</v>
      </c>
      <c r="G2651" t="s">
        <v>1670</v>
      </c>
    </row>
    <row r="2652" spans="1:7" x14ac:dyDescent="0.25">
      <c r="A2652">
        <v>5046</v>
      </c>
      <c r="B2652">
        <v>545</v>
      </c>
      <c r="C2652" t="s">
        <v>894</v>
      </c>
      <c r="D2652" t="s">
        <v>963</v>
      </c>
      <c r="E2652" t="s">
        <v>6875</v>
      </c>
      <c r="F2652" t="s">
        <v>2359</v>
      </c>
      <c r="G2652" t="s">
        <v>4447</v>
      </c>
    </row>
    <row r="2653" spans="1:7" x14ac:dyDescent="0.25">
      <c r="A2653">
        <v>5047</v>
      </c>
      <c r="B2653">
        <v>890</v>
      </c>
      <c r="C2653" t="s">
        <v>894</v>
      </c>
      <c r="D2653" t="s">
        <v>923</v>
      </c>
      <c r="F2653" t="s">
        <v>6876</v>
      </c>
      <c r="G2653" t="s">
        <v>4444</v>
      </c>
    </row>
    <row r="2654" spans="1:7" x14ac:dyDescent="0.25">
      <c r="A2654">
        <v>5048</v>
      </c>
      <c r="B2654">
        <v>890</v>
      </c>
      <c r="C2654" t="s">
        <v>894</v>
      </c>
      <c r="D2654" t="s">
        <v>917</v>
      </c>
      <c r="F2654" t="s">
        <v>6876</v>
      </c>
      <c r="G2654" t="s">
        <v>919</v>
      </c>
    </row>
    <row r="2655" spans="1:7" x14ac:dyDescent="0.25">
      <c r="A2655">
        <v>5049</v>
      </c>
      <c r="B2655">
        <v>890</v>
      </c>
      <c r="C2655" t="s">
        <v>894</v>
      </c>
      <c r="D2655" t="s">
        <v>1120</v>
      </c>
      <c r="F2655" t="s">
        <v>6876</v>
      </c>
      <c r="G2655" t="s">
        <v>4447</v>
      </c>
    </row>
    <row r="2656" spans="1:7" x14ac:dyDescent="0.25">
      <c r="A2656">
        <v>5050</v>
      </c>
      <c r="B2656">
        <v>890</v>
      </c>
      <c r="C2656" t="s">
        <v>894</v>
      </c>
      <c r="D2656" t="s">
        <v>1354</v>
      </c>
      <c r="F2656" t="s">
        <v>6876</v>
      </c>
      <c r="G2656" t="s">
        <v>4457</v>
      </c>
    </row>
    <row r="2657" spans="1:7" x14ac:dyDescent="0.25">
      <c r="A2657">
        <v>5051</v>
      </c>
      <c r="B2657">
        <v>890</v>
      </c>
      <c r="C2657" t="s">
        <v>894</v>
      </c>
      <c r="D2657" t="s">
        <v>6877</v>
      </c>
      <c r="F2657" t="s">
        <v>6876</v>
      </c>
      <c r="G2657" t="s">
        <v>4458</v>
      </c>
    </row>
    <row r="2658" spans="1:7" x14ac:dyDescent="0.25">
      <c r="A2658">
        <v>5052</v>
      </c>
      <c r="B2658">
        <v>890</v>
      </c>
      <c r="C2658" t="s">
        <v>894</v>
      </c>
      <c r="D2658" t="s">
        <v>6878</v>
      </c>
      <c r="F2658" t="s">
        <v>6876</v>
      </c>
      <c r="G2658" t="s">
        <v>4458</v>
      </c>
    </row>
    <row r="2659" spans="1:7" x14ac:dyDescent="0.25">
      <c r="A2659">
        <v>5053</v>
      </c>
      <c r="B2659">
        <v>891</v>
      </c>
      <c r="C2659" t="s">
        <v>894</v>
      </c>
      <c r="D2659" t="s">
        <v>6879</v>
      </c>
      <c r="F2659" t="s">
        <v>6880</v>
      </c>
      <c r="G2659" t="s">
        <v>4442</v>
      </c>
    </row>
    <row r="2660" spans="1:7" x14ac:dyDescent="0.25">
      <c r="A2660">
        <v>5054</v>
      </c>
      <c r="B2660">
        <v>891</v>
      </c>
      <c r="C2660" t="s">
        <v>894</v>
      </c>
      <c r="D2660" t="s">
        <v>6881</v>
      </c>
      <c r="F2660" t="s">
        <v>6880</v>
      </c>
    </row>
    <row r="2661" spans="1:7" x14ac:dyDescent="0.25">
      <c r="A2661">
        <v>5055</v>
      </c>
      <c r="B2661">
        <v>891</v>
      </c>
      <c r="C2661" t="s">
        <v>894</v>
      </c>
      <c r="D2661" t="s">
        <v>6882</v>
      </c>
      <c r="F2661" t="s">
        <v>6880</v>
      </c>
      <c r="G2661" t="s">
        <v>1262</v>
      </c>
    </row>
    <row r="2662" spans="1:7" x14ac:dyDescent="0.25">
      <c r="A2662">
        <v>5056</v>
      </c>
      <c r="B2662">
        <v>891</v>
      </c>
      <c r="C2662" t="s">
        <v>894</v>
      </c>
      <c r="D2662" t="s">
        <v>6883</v>
      </c>
      <c r="F2662" t="s">
        <v>6880</v>
      </c>
      <c r="G2662" t="s">
        <v>1262</v>
      </c>
    </row>
    <row r="2663" spans="1:7" x14ac:dyDescent="0.25">
      <c r="A2663">
        <v>5057</v>
      </c>
      <c r="B2663">
        <v>891</v>
      </c>
      <c r="C2663" t="s">
        <v>894</v>
      </c>
      <c r="D2663" t="s">
        <v>1294</v>
      </c>
      <c r="E2663" t="s">
        <v>6884</v>
      </c>
      <c r="F2663" t="s">
        <v>6880</v>
      </c>
      <c r="G2663" t="s">
        <v>4443</v>
      </c>
    </row>
    <row r="2664" spans="1:7" x14ac:dyDescent="0.25">
      <c r="A2664">
        <v>5058</v>
      </c>
      <c r="B2664">
        <v>891</v>
      </c>
      <c r="C2664" t="s">
        <v>894</v>
      </c>
      <c r="D2664" t="s">
        <v>6885</v>
      </c>
      <c r="F2664" t="s">
        <v>6880</v>
      </c>
      <c r="G2664" t="s">
        <v>4444</v>
      </c>
    </row>
    <row r="2665" spans="1:7" x14ac:dyDescent="0.25">
      <c r="A2665">
        <v>5059</v>
      </c>
      <c r="B2665">
        <v>891</v>
      </c>
      <c r="C2665" t="s">
        <v>894</v>
      </c>
      <c r="D2665" t="s">
        <v>6886</v>
      </c>
      <c r="F2665" t="s">
        <v>6880</v>
      </c>
      <c r="G2665" t="s">
        <v>919</v>
      </c>
    </row>
    <row r="2666" spans="1:7" x14ac:dyDescent="0.25">
      <c r="A2666">
        <v>5060</v>
      </c>
      <c r="B2666">
        <v>891</v>
      </c>
      <c r="C2666" t="s">
        <v>894</v>
      </c>
      <c r="D2666" t="s">
        <v>5414</v>
      </c>
      <c r="F2666" t="s">
        <v>6880</v>
      </c>
      <c r="G2666" t="s">
        <v>2758</v>
      </c>
    </row>
    <row r="2667" spans="1:7" x14ac:dyDescent="0.25">
      <c r="A2667">
        <v>5061</v>
      </c>
      <c r="B2667">
        <v>891</v>
      </c>
      <c r="C2667" t="s">
        <v>894</v>
      </c>
      <c r="D2667" t="s">
        <v>6887</v>
      </c>
      <c r="E2667" t="s">
        <v>6888</v>
      </c>
      <c r="F2667" t="s">
        <v>6880</v>
      </c>
      <c r="G2667" t="s">
        <v>4447</v>
      </c>
    </row>
    <row r="2668" spans="1:7" x14ac:dyDescent="0.25">
      <c r="A2668">
        <v>5062</v>
      </c>
      <c r="B2668">
        <v>891</v>
      </c>
      <c r="C2668" t="s">
        <v>894</v>
      </c>
      <c r="D2668" t="s">
        <v>4666</v>
      </c>
      <c r="F2668" t="s">
        <v>6880</v>
      </c>
      <c r="G2668" t="s">
        <v>4445</v>
      </c>
    </row>
    <row r="2669" spans="1:7" x14ac:dyDescent="0.25">
      <c r="A2669">
        <v>5067</v>
      </c>
      <c r="B2669">
        <v>893</v>
      </c>
      <c r="C2669" t="s">
        <v>894</v>
      </c>
      <c r="D2669" t="s">
        <v>1072</v>
      </c>
      <c r="E2669" t="s">
        <v>6889</v>
      </c>
      <c r="F2669" t="s">
        <v>6890</v>
      </c>
      <c r="G2669" t="s">
        <v>4447</v>
      </c>
    </row>
    <row r="2670" spans="1:7" x14ac:dyDescent="0.25">
      <c r="A2670">
        <v>5068</v>
      </c>
      <c r="B2670">
        <v>893</v>
      </c>
      <c r="C2670" t="s">
        <v>894</v>
      </c>
      <c r="D2670" t="s">
        <v>963</v>
      </c>
      <c r="E2670" t="s">
        <v>6891</v>
      </c>
      <c r="F2670" t="s">
        <v>6890</v>
      </c>
      <c r="G2670" t="s">
        <v>4447</v>
      </c>
    </row>
    <row r="2671" spans="1:7" x14ac:dyDescent="0.25">
      <c r="A2671">
        <v>5069</v>
      </c>
      <c r="B2671">
        <v>893</v>
      </c>
      <c r="C2671" t="s">
        <v>894</v>
      </c>
      <c r="D2671" t="s">
        <v>6892</v>
      </c>
      <c r="E2671" t="s">
        <v>6893</v>
      </c>
      <c r="F2671" t="s">
        <v>6890</v>
      </c>
      <c r="G2671" t="s">
        <v>4447</v>
      </c>
    </row>
    <row r="2672" spans="1:7" x14ac:dyDescent="0.25">
      <c r="A2672">
        <v>5070</v>
      </c>
      <c r="B2672">
        <v>893</v>
      </c>
      <c r="C2672" t="s">
        <v>894</v>
      </c>
      <c r="D2672" t="s">
        <v>917</v>
      </c>
      <c r="E2672" t="s">
        <v>6894</v>
      </c>
      <c r="F2672" t="s">
        <v>6890</v>
      </c>
      <c r="G2672" t="s">
        <v>919</v>
      </c>
    </row>
    <row r="2673" spans="1:7" x14ac:dyDescent="0.25">
      <c r="A2673">
        <v>5071</v>
      </c>
      <c r="B2673">
        <v>893</v>
      </c>
      <c r="C2673" t="s">
        <v>894</v>
      </c>
      <c r="D2673" t="s">
        <v>6895</v>
      </c>
      <c r="E2673" t="s">
        <v>6896</v>
      </c>
      <c r="F2673" t="s">
        <v>6890</v>
      </c>
      <c r="G2673" t="s">
        <v>4444</v>
      </c>
    </row>
    <row r="2674" spans="1:7" x14ac:dyDescent="0.25">
      <c r="A2674">
        <v>5072</v>
      </c>
      <c r="B2674">
        <v>893</v>
      </c>
      <c r="C2674" t="s">
        <v>894</v>
      </c>
      <c r="D2674" t="s">
        <v>1241</v>
      </c>
      <c r="E2674" t="s">
        <v>6897</v>
      </c>
      <c r="F2674" t="s">
        <v>6890</v>
      </c>
      <c r="G2674" t="s">
        <v>4442</v>
      </c>
    </row>
    <row r="2675" spans="1:7" x14ac:dyDescent="0.25">
      <c r="A2675">
        <v>5073</v>
      </c>
      <c r="B2675">
        <v>679</v>
      </c>
      <c r="C2675" t="s">
        <v>894</v>
      </c>
      <c r="D2675" t="s">
        <v>4601</v>
      </c>
      <c r="E2675" t="s">
        <v>6898</v>
      </c>
      <c r="F2675" t="s">
        <v>6899</v>
      </c>
      <c r="G2675" t="s">
        <v>1670</v>
      </c>
    </row>
    <row r="2676" spans="1:7" x14ac:dyDescent="0.25">
      <c r="A2676">
        <v>5074</v>
      </c>
      <c r="B2676">
        <v>894</v>
      </c>
      <c r="C2676" t="s">
        <v>898</v>
      </c>
      <c r="D2676" t="s">
        <v>6900</v>
      </c>
      <c r="F2676" t="s">
        <v>6901</v>
      </c>
      <c r="G2676" t="s">
        <v>4440</v>
      </c>
    </row>
    <row r="2677" spans="1:7" x14ac:dyDescent="0.25">
      <c r="A2677">
        <v>5075</v>
      </c>
      <c r="B2677">
        <v>894</v>
      </c>
      <c r="C2677" t="s">
        <v>898</v>
      </c>
      <c r="D2677" t="s">
        <v>1479</v>
      </c>
      <c r="F2677" t="s">
        <v>6902</v>
      </c>
      <c r="G2677" t="s">
        <v>2758</v>
      </c>
    </row>
    <row r="2678" spans="1:7" x14ac:dyDescent="0.25">
      <c r="A2678">
        <v>5076</v>
      </c>
      <c r="B2678">
        <v>894</v>
      </c>
      <c r="C2678" t="s">
        <v>898</v>
      </c>
      <c r="D2678" t="s">
        <v>1378</v>
      </c>
      <c r="F2678" t="s">
        <v>6902</v>
      </c>
      <c r="G2678" t="s">
        <v>4442</v>
      </c>
    </row>
    <row r="2679" spans="1:7" x14ac:dyDescent="0.25">
      <c r="A2679">
        <v>5077</v>
      </c>
      <c r="B2679">
        <v>894</v>
      </c>
      <c r="C2679" t="s">
        <v>898</v>
      </c>
      <c r="D2679" t="s">
        <v>1230</v>
      </c>
      <c r="F2679" t="s">
        <v>6902</v>
      </c>
      <c r="G2679" t="s">
        <v>4447</v>
      </c>
    </row>
    <row r="2680" spans="1:7" x14ac:dyDescent="0.25">
      <c r="A2680">
        <v>5078</v>
      </c>
      <c r="B2680">
        <v>894</v>
      </c>
      <c r="C2680" t="s">
        <v>898</v>
      </c>
      <c r="D2680" t="s">
        <v>2710</v>
      </c>
      <c r="F2680" t="s">
        <v>6902</v>
      </c>
      <c r="G2680" t="s">
        <v>4444</v>
      </c>
    </row>
    <row r="2681" spans="1:7" x14ac:dyDescent="0.25">
      <c r="A2681">
        <v>5079</v>
      </c>
      <c r="B2681">
        <v>894</v>
      </c>
      <c r="C2681" t="s">
        <v>898</v>
      </c>
      <c r="D2681" t="s">
        <v>2425</v>
      </c>
      <c r="F2681" t="s">
        <v>6902</v>
      </c>
      <c r="G2681" t="s">
        <v>919</v>
      </c>
    </row>
    <row r="2682" spans="1:7" x14ac:dyDescent="0.25">
      <c r="A2682">
        <v>5080</v>
      </c>
      <c r="B2682">
        <v>894</v>
      </c>
      <c r="C2682" t="s">
        <v>898</v>
      </c>
      <c r="D2682" t="s">
        <v>5054</v>
      </c>
      <c r="E2682" t="s">
        <v>6903</v>
      </c>
      <c r="F2682" t="s">
        <v>6904</v>
      </c>
      <c r="G2682" t="s">
        <v>4441</v>
      </c>
    </row>
    <row r="2683" spans="1:7" x14ac:dyDescent="0.25">
      <c r="A2683">
        <v>5081</v>
      </c>
      <c r="B2683">
        <v>894</v>
      </c>
      <c r="C2683" t="s">
        <v>898</v>
      </c>
      <c r="D2683" t="s">
        <v>6905</v>
      </c>
      <c r="F2683" t="s">
        <v>6906</v>
      </c>
      <c r="G2683" t="s">
        <v>4440</v>
      </c>
    </row>
    <row r="2684" spans="1:7" x14ac:dyDescent="0.25">
      <c r="A2684">
        <v>5083</v>
      </c>
      <c r="B2684">
        <v>731</v>
      </c>
      <c r="C2684" t="s">
        <v>1188</v>
      </c>
      <c r="D2684" t="s">
        <v>6907</v>
      </c>
      <c r="F2684" t="s">
        <v>5336</v>
      </c>
      <c r="G2684" t="s">
        <v>4442</v>
      </c>
    </row>
    <row r="2685" spans="1:7" x14ac:dyDescent="0.25">
      <c r="A2685">
        <v>5084</v>
      </c>
      <c r="B2685">
        <v>731</v>
      </c>
      <c r="C2685" t="s">
        <v>1188</v>
      </c>
      <c r="D2685" t="s">
        <v>6908</v>
      </c>
      <c r="F2685" t="s">
        <v>5336</v>
      </c>
      <c r="G2685" t="s">
        <v>4442</v>
      </c>
    </row>
    <row r="2686" spans="1:7" x14ac:dyDescent="0.25">
      <c r="A2686">
        <v>5085</v>
      </c>
      <c r="B2686">
        <v>731</v>
      </c>
      <c r="C2686" t="s">
        <v>1188</v>
      </c>
      <c r="D2686" t="s">
        <v>6909</v>
      </c>
      <c r="F2686" t="s">
        <v>5336</v>
      </c>
      <c r="G2686" t="s">
        <v>4443</v>
      </c>
    </row>
    <row r="2687" spans="1:7" x14ac:dyDescent="0.25">
      <c r="A2687">
        <v>5086</v>
      </c>
      <c r="B2687">
        <v>46</v>
      </c>
      <c r="C2687" t="s">
        <v>894</v>
      </c>
      <c r="D2687" t="s">
        <v>6910</v>
      </c>
      <c r="F2687" t="s">
        <v>6911</v>
      </c>
    </row>
    <row r="2688" spans="1:7" x14ac:dyDescent="0.25">
      <c r="A2688">
        <v>5088</v>
      </c>
      <c r="B2688">
        <v>686</v>
      </c>
      <c r="C2688" t="s">
        <v>894</v>
      </c>
      <c r="D2688" t="s">
        <v>6912</v>
      </c>
      <c r="E2688" t="s">
        <v>6913</v>
      </c>
      <c r="F2688" t="s">
        <v>5155</v>
      </c>
      <c r="G2688" t="s">
        <v>919</v>
      </c>
    </row>
    <row r="2689" spans="1:7" x14ac:dyDescent="0.25">
      <c r="A2689">
        <v>5089</v>
      </c>
      <c r="B2689">
        <v>339</v>
      </c>
      <c r="C2689" t="s">
        <v>894</v>
      </c>
      <c r="D2689" t="s">
        <v>6914</v>
      </c>
      <c r="E2689" t="s">
        <v>6915</v>
      </c>
      <c r="F2689" t="s">
        <v>1569</v>
      </c>
      <c r="G2689" t="s">
        <v>4445</v>
      </c>
    </row>
    <row r="2690" spans="1:7" x14ac:dyDescent="0.25">
      <c r="A2690">
        <v>5090</v>
      </c>
      <c r="B2690">
        <v>895</v>
      </c>
      <c r="C2690" t="s">
        <v>894</v>
      </c>
      <c r="D2690" t="s">
        <v>2430</v>
      </c>
      <c r="E2690" t="s">
        <v>6916</v>
      </c>
      <c r="F2690" t="s">
        <v>6917</v>
      </c>
    </row>
    <row r="2691" spans="1:7" x14ac:dyDescent="0.25">
      <c r="A2691">
        <v>5091</v>
      </c>
      <c r="B2691">
        <v>866</v>
      </c>
      <c r="C2691" t="s">
        <v>898</v>
      </c>
      <c r="D2691" t="s">
        <v>6918</v>
      </c>
      <c r="E2691" t="s">
        <v>6919</v>
      </c>
      <c r="F2691" t="s">
        <v>6920</v>
      </c>
      <c r="G2691" t="s">
        <v>919</v>
      </c>
    </row>
    <row r="2692" spans="1:7" x14ac:dyDescent="0.25">
      <c r="A2692">
        <v>5092</v>
      </c>
      <c r="B2692">
        <v>866</v>
      </c>
      <c r="C2692" t="s">
        <v>898</v>
      </c>
      <c r="D2692" t="s">
        <v>6921</v>
      </c>
      <c r="E2692" t="s">
        <v>6922</v>
      </c>
      <c r="F2692" t="s">
        <v>6920</v>
      </c>
      <c r="G2692" t="s">
        <v>1457</v>
      </c>
    </row>
    <row r="2693" spans="1:7" x14ac:dyDescent="0.25">
      <c r="A2693">
        <v>5093</v>
      </c>
      <c r="B2693">
        <v>866</v>
      </c>
      <c r="C2693" t="s">
        <v>898</v>
      </c>
      <c r="D2693" t="s">
        <v>6923</v>
      </c>
      <c r="E2693" t="s">
        <v>6924</v>
      </c>
      <c r="F2693" t="s">
        <v>6920</v>
      </c>
      <c r="G2693" t="s">
        <v>4440</v>
      </c>
    </row>
    <row r="2694" spans="1:7" x14ac:dyDescent="0.25">
      <c r="A2694">
        <v>5094</v>
      </c>
      <c r="B2694">
        <v>40</v>
      </c>
      <c r="C2694" t="s">
        <v>894</v>
      </c>
      <c r="D2694" t="s">
        <v>1505</v>
      </c>
      <c r="E2694" t="s">
        <v>6925</v>
      </c>
      <c r="F2694" t="s">
        <v>6926</v>
      </c>
      <c r="G2694" t="s">
        <v>4442</v>
      </c>
    </row>
    <row r="2695" spans="1:7" x14ac:dyDescent="0.25">
      <c r="A2695">
        <v>5095</v>
      </c>
      <c r="B2695">
        <v>40</v>
      </c>
      <c r="C2695" t="s">
        <v>894</v>
      </c>
      <c r="D2695" t="s">
        <v>6927</v>
      </c>
      <c r="E2695" t="s">
        <v>6928</v>
      </c>
      <c r="F2695" t="s">
        <v>6929</v>
      </c>
      <c r="G2695" t="s">
        <v>919</v>
      </c>
    </row>
    <row r="2696" spans="1:7" x14ac:dyDescent="0.25">
      <c r="A2696">
        <v>5096</v>
      </c>
      <c r="B2696">
        <v>40</v>
      </c>
      <c r="C2696" t="s">
        <v>894</v>
      </c>
      <c r="D2696" t="s">
        <v>6930</v>
      </c>
      <c r="E2696" t="s">
        <v>6931</v>
      </c>
      <c r="F2696" t="s">
        <v>6932</v>
      </c>
      <c r="G2696" t="s">
        <v>4447</v>
      </c>
    </row>
    <row r="2697" spans="1:7" x14ac:dyDescent="0.25">
      <c r="A2697">
        <v>5097</v>
      </c>
      <c r="B2697">
        <v>40</v>
      </c>
      <c r="C2697" t="s">
        <v>894</v>
      </c>
      <c r="D2697" t="s">
        <v>6933</v>
      </c>
      <c r="E2697" t="s">
        <v>6934</v>
      </c>
      <c r="F2697" t="s">
        <v>6935</v>
      </c>
      <c r="G2697" t="s">
        <v>4455</v>
      </c>
    </row>
    <row r="2698" spans="1:7" x14ac:dyDescent="0.25">
      <c r="A2698">
        <v>5098</v>
      </c>
      <c r="B2698">
        <v>764</v>
      </c>
      <c r="C2698" t="s">
        <v>1188</v>
      </c>
      <c r="D2698" t="s">
        <v>5182</v>
      </c>
      <c r="F2698" t="s">
        <v>5546</v>
      </c>
      <c r="G2698" t="s">
        <v>4442</v>
      </c>
    </row>
    <row r="2699" spans="1:7" x14ac:dyDescent="0.25">
      <c r="A2699">
        <v>5099</v>
      </c>
      <c r="B2699">
        <v>764</v>
      </c>
      <c r="C2699" t="s">
        <v>1188</v>
      </c>
      <c r="D2699" t="s">
        <v>6936</v>
      </c>
      <c r="F2699" t="s">
        <v>5546</v>
      </c>
    </row>
    <row r="2700" spans="1:7" x14ac:dyDescent="0.25">
      <c r="A2700">
        <v>5100</v>
      </c>
      <c r="B2700">
        <v>764</v>
      </c>
      <c r="C2700" t="s">
        <v>1188</v>
      </c>
      <c r="D2700" t="s">
        <v>6937</v>
      </c>
      <c r="F2700" t="s">
        <v>5546</v>
      </c>
      <c r="G2700" t="s">
        <v>4447</v>
      </c>
    </row>
    <row r="2701" spans="1:7" x14ac:dyDescent="0.25">
      <c r="A2701">
        <v>5101</v>
      </c>
      <c r="B2701">
        <v>764</v>
      </c>
      <c r="C2701" t="s">
        <v>1188</v>
      </c>
      <c r="D2701" t="s">
        <v>6938</v>
      </c>
      <c r="F2701" t="s">
        <v>5546</v>
      </c>
      <c r="G2701" t="s">
        <v>919</v>
      </c>
    </row>
    <row r="2702" spans="1:7" x14ac:dyDescent="0.25">
      <c r="A2702">
        <v>5102</v>
      </c>
      <c r="B2702">
        <v>764</v>
      </c>
      <c r="C2702" t="s">
        <v>1188</v>
      </c>
      <c r="D2702" t="s">
        <v>5303</v>
      </c>
      <c r="F2702" t="s">
        <v>5546</v>
      </c>
      <c r="G2702" t="s">
        <v>2758</v>
      </c>
    </row>
    <row r="2703" spans="1:7" x14ac:dyDescent="0.25">
      <c r="A2703">
        <v>5103</v>
      </c>
      <c r="B2703">
        <v>764</v>
      </c>
      <c r="C2703" t="s">
        <v>1188</v>
      </c>
      <c r="D2703" t="s">
        <v>5697</v>
      </c>
      <c r="F2703" t="s">
        <v>5546</v>
      </c>
      <c r="G2703" t="s">
        <v>4445</v>
      </c>
    </row>
    <row r="2704" spans="1:7" x14ac:dyDescent="0.25">
      <c r="A2704">
        <v>5104</v>
      </c>
      <c r="B2704">
        <v>764</v>
      </c>
      <c r="C2704" t="s">
        <v>1188</v>
      </c>
      <c r="D2704" t="s">
        <v>6939</v>
      </c>
      <c r="F2704" t="s">
        <v>5546</v>
      </c>
      <c r="G2704" t="s">
        <v>4443</v>
      </c>
    </row>
    <row r="2705" spans="1:7" x14ac:dyDescent="0.25">
      <c r="A2705">
        <v>5105</v>
      </c>
      <c r="B2705">
        <v>764</v>
      </c>
      <c r="C2705" t="s">
        <v>1188</v>
      </c>
      <c r="D2705" t="s">
        <v>6940</v>
      </c>
      <c r="F2705" t="s">
        <v>5546</v>
      </c>
    </row>
    <row r="2706" spans="1:7" x14ac:dyDescent="0.25">
      <c r="A2706">
        <v>5106</v>
      </c>
      <c r="B2706">
        <v>789</v>
      </c>
      <c r="C2706" t="s">
        <v>894</v>
      </c>
      <c r="D2706" t="s">
        <v>6941</v>
      </c>
      <c r="F2706" t="s">
        <v>6942</v>
      </c>
      <c r="G2706" t="s">
        <v>4442</v>
      </c>
    </row>
    <row r="2707" spans="1:7" x14ac:dyDescent="0.25">
      <c r="A2707">
        <v>5107</v>
      </c>
      <c r="B2707">
        <v>789</v>
      </c>
      <c r="C2707" t="s">
        <v>894</v>
      </c>
      <c r="D2707" t="s">
        <v>6943</v>
      </c>
      <c r="F2707" t="s">
        <v>6942</v>
      </c>
    </row>
    <row r="2708" spans="1:7" x14ac:dyDescent="0.25">
      <c r="A2708">
        <v>5108</v>
      </c>
      <c r="B2708">
        <v>789</v>
      </c>
      <c r="C2708" t="s">
        <v>894</v>
      </c>
      <c r="D2708" t="s">
        <v>1252</v>
      </c>
      <c r="F2708" t="s">
        <v>6942</v>
      </c>
      <c r="G2708" t="s">
        <v>4442</v>
      </c>
    </row>
    <row r="2709" spans="1:7" x14ac:dyDescent="0.25">
      <c r="A2709">
        <v>5109</v>
      </c>
      <c r="B2709">
        <v>789</v>
      </c>
      <c r="C2709" t="s">
        <v>894</v>
      </c>
      <c r="D2709" t="s">
        <v>6944</v>
      </c>
      <c r="F2709" t="s">
        <v>6942</v>
      </c>
      <c r="G2709" t="s">
        <v>4443</v>
      </c>
    </row>
    <row r="2710" spans="1:7" x14ac:dyDescent="0.25">
      <c r="A2710">
        <v>5110</v>
      </c>
      <c r="B2710">
        <v>789</v>
      </c>
      <c r="C2710" t="s">
        <v>894</v>
      </c>
      <c r="D2710" t="s">
        <v>1089</v>
      </c>
      <c r="F2710" t="s">
        <v>6942</v>
      </c>
      <c r="G2710" t="s">
        <v>4447</v>
      </c>
    </row>
    <row r="2711" spans="1:7" x14ac:dyDescent="0.25">
      <c r="A2711">
        <v>5111</v>
      </c>
      <c r="B2711">
        <v>789</v>
      </c>
      <c r="C2711" t="s">
        <v>894</v>
      </c>
      <c r="D2711" t="s">
        <v>936</v>
      </c>
      <c r="F2711" t="s">
        <v>6942</v>
      </c>
      <c r="G2711" t="s">
        <v>4447</v>
      </c>
    </row>
    <row r="2712" spans="1:7" x14ac:dyDescent="0.25">
      <c r="A2712">
        <v>5112</v>
      </c>
      <c r="B2712">
        <v>789</v>
      </c>
      <c r="C2712" t="s">
        <v>894</v>
      </c>
      <c r="D2712" t="s">
        <v>6945</v>
      </c>
      <c r="F2712" t="s">
        <v>6942</v>
      </c>
      <c r="G2712" t="s">
        <v>4458</v>
      </c>
    </row>
    <row r="2713" spans="1:7" x14ac:dyDescent="0.25">
      <c r="A2713">
        <v>5113</v>
      </c>
      <c r="B2713">
        <v>789</v>
      </c>
      <c r="C2713" t="s">
        <v>894</v>
      </c>
      <c r="D2713" t="s">
        <v>6946</v>
      </c>
      <c r="F2713" t="s">
        <v>6942</v>
      </c>
      <c r="G2713" t="s">
        <v>4457</v>
      </c>
    </row>
    <row r="2714" spans="1:7" x14ac:dyDescent="0.25">
      <c r="A2714">
        <v>5114</v>
      </c>
      <c r="B2714">
        <v>534</v>
      </c>
      <c r="C2714" t="s">
        <v>894</v>
      </c>
      <c r="D2714" t="s">
        <v>895</v>
      </c>
      <c r="E2714" t="s">
        <v>6947</v>
      </c>
      <c r="F2714" t="s">
        <v>6948</v>
      </c>
      <c r="G2714" t="s">
        <v>4448</v>
      </c>
    </row>
    <row r="2715" spans="1:7" x14ac:dyDescent="0.25">
      <c r="A2715">
        <v>5115</v>
      </c>
      <c r="B2715">
        <v>84</v>
      </c>
      <c r="C2715" t="s">
        <v>894</v>
      </c>
      <c r="D2715" t="s">
        <v>1991</v>
      </c>
      <c r="E2715" t="s">
        <v>6949</v>
      </c>
      <c r="F2715" t="s">
        <v>6950</v>
      </c>
      <c r="G2715" t="s">
        <v>4455</v>
      </c>
    </row>
    <row r="2716" spans="1:7" x14ac:dyDescent="0.25">
      <c r="A2716">
        <v>5116</v>
      </c>
      <c r="B2716">
        <v>71</v>
      </c>
      <c r="C2716" t="s">
        <v>894</v>
      </c>
      <c r="D2716" t="s">
        <v>6951</v>
      </c>
      <c r="E2716" t="s">
        <v>6952</v>
      </c>
      <c r="F2716" t="s">
        <v>1069</v>
      </c>
      <c r="G2716" t="s">
        <v>4447</v>
      </c>
    </row>
    <row r="2717" spans="1:7" x14ac:dyDescent="0.25">
      <c r="A2717">
        <v>5117</v>
      </c>
      <c r="B2717">
        <v>72</v>
      </c>
      <c r="C2717" t="s">
        <v>894</v>
      </c>
      <c r="D2717" t="s">
        <v>6953</v>
      </c>
      <c r="E2717" t="s">
        <v>6954</v>
      </c>
      <c r="F2717" t="s">
        <v>6955</v>
      </c>
      <c r="G2717" t="s">
        <v>4442</v>
      </c>
    </row>
    <row r="2718" spans="1:7" x14ac:dyDescent="0.25">
      <c r="A2718">
        <v>5118</v>
      </c>
      <c r="B2718">
        <v>72</v>
      </c>
      <c r="C2718" t="s">
        <v>894</v>
      </c>
      <c r="D2718" t="s">
        <v>6956</v>
      </c>
      <c r="F2718" t="s">
        <v>6955</v>
      </c>
      <c r="G2718" t="s">
        <v>4456</v>
      </c>
    </row>
    <row r="2719" spans="1:7" x14ac:dyDescent="0.25">
      <c r="A2719">
        <v>5119</v>
      </c>
      <c r="B2719">
        <v>72</v>
      </c>
      <c r="C2719" t="s">
        <v>894</v>
      </c>
      <c r="D2719" t="s">
        <v>966</v>
      </c>
      <c r="E2719" t="s">
        <v>1085</v>
      </c>
      <c r="F2719" t="s">
        <v>6955</v>
      </c>
      <c r="G2719" t="s">
        <v>2758</v>
      </c>
    </row>
    <row r="2720" spans="1:7" x14ac:dyDescent="0.25">
      <c r="A2720">
        <v>5120</v>
      </c>
      <c r="B2720">
        <v>72</v>
      </c>
      <c r="C2720" t="s">
        <v>894</v>
      </c>
      <c r="D2720" t="s">
        <v>2120</v>
      </c>
      <c r="E2720" t="s">
        <v>1085</v>
      </c>
      <c r="F2720" t="s">
        <v>6955</v>
      </c>
      <c r="G2720" t="s">
        <v>4442</v>
      </c>
    </row>
    <row r="2721" spans="1:7" x14ac:dyDescent="0.25">
      <c r="A2721">
        <v>5121</v>
      </c>
      <c r="B2721">
        <v>72</v>
      </c>
      <c r="C2721" t="s">
        <v>894</v>
      </c>
      <c r="D2721" t="s">
        <v>6957</v>
      </c>
      <c r="E2721" t="s">
        <v>1085</v>
      </c>
      <c r="F2721" t="s">
        <v>6955</v>
      </c>
      <c r="G2721" t="s">
        <v>4442</v>
      </c>
    </row>
    <row r="2722" spans="1:7" x14ac:dyDescent="0.25">
      <c r="A2722">
        <v>5122</v>
      </c>
      <c r="B2722">
        <v>72</v>
      </c>
      <c r="C2722" t="s">
        <v>894</v>
      </c>
      <c r="D2722" t="s">
        <v>6958</v>
      </c>
      <c r="F2722" t="s">
        <v>6955</v>
      </c>
    </row>
    <row r="2723" spans="1:7" x14ac:dyDescent="0.25">
      <c r="A2723">
        <v>5123</v>
      </c>
      <c r="B2723">
        <v>72</v>
      </c>
      <c r="C2723" t="s">
        <v>894</v>
      </c>
      <c r="D2723" t="s">
        <v>1072</v>
      </c>
      <c r="E2723" t="s">
        <v>1085</v>
      </c>
      <c r="F2723" t="s">
        <v>6955</v>
      </c>
      <c r="G2723" t="s">
        <v>4447</v>
      </c>
    </row>
    <row r="2724" spans="1:7" x14ac:dyDescent="0.25">
      <c r="A2724">
        <v>5124</v>
      </c>
      <c r="B2724">
        <v>72</v>
      </c>
      <c r="C2724" t="s">
        <v>894</v>
      </c>
      <c r="D2724" t="s">
        <v>6959</v>
      </c>
      <c r="E2724" t="s">
        <v>6960</v>
      </c>
      <c r="F2724" t="s">
        <v>6955</v>
      </c>
      <c r="G2724" t="s">
        <v>4447</v>
      </c>
    </row>
    <row r="2725" spans="1:7" x14ac:dyDescent="0.25">
      <c r="A2725">
        <v>5125</v>
      </c>
      <c r="B2725">
        <v>72</v>
      </c>
      <c r="C2725" t="s">
        <v>894</v>
      </c>
      <c r="D2725" t="s">
        <v>6961</v>
      </c>
      <c r="F2725" t="s">
        <v>6955</v>
      </c>
      <c r="G2725" t="s">
        <v>919</v>
      </c>
    </row>
    <row r="2726" spans="1:7" x14ac:dyDescent="0.25">
      <c r="A2726">
        <v>5126</v>
      </c>
      <c r="B2726">
        <v>72</v>
      </c>
      <c r="C2726" t="s">
        <v>894</v>
      </c>
      <c r="D2726" t="s">
        <v>1307</v>
      </c>
      <c r="E2726" t="s">
        <v>1085</v>
      </c>
      <c r="F2726" t="s">
        <v>6955</v>
      </c>
      <c r="G2726" t="s">
        <v>1309</v>
      </c>
    </row>
    <row r="2727" spans="1:7" x14ac:dyDescent="0.25">
      <c r="A2727">
        <v>5127</v>
      </c>
      <c r="B2727">
        <v>72</v>
      </c>
      <c r="C2727" t="s">
        <v>894</v>
      </c>
      <c r="D2727" t="s">
        <v>2239</v>
      </c>
      <c r="E2727" t="s">
        <v>1085</v>
      </c>
      <c r="F2727" t="s">
        <v>6955</v>
      </c>
      <c r="G2727" t="s">
        <v>4445</v>
      </c>
    </row>
    <row r="2728" spans="1:7" x14ac:dyDescent="0.25">
      <c r="A2728">
        <v>5128</v>
      </c>
      <c r="B2728">
        <v>72</v>
      </c>
      <c r="C2728" t="s">
        <v>894</v>
      </c>
      <c r="D2728" t="s">
        <v>6962</v>
      </c>
      <c r="E2728" t="s">
        <v>1085</v>
      </c>
      <c r="F2728" t="s">
        <v>6955</v>
      </c>
      <c r="G2728" t="s">
        <v>4445</v>
      </c>
    </row>
    <row r="2729" spans="1:7" x14ac:dyDescent="0.25">
      <c r="A2729">
        <v>5129</v>
      </c>
      <c r="B2729">
        <v>72</v>
      </c>
      <c r="C2729" t="s">
        <v>894</v>
      </c>
      <c r="D2729" t="s">
        <v>6963</v>
      </c>
      <c r="F2729" t="s">
        <v>6955</v>
      </c>
      <c r="G2729" t="s">
        <v>4445</v>
      </c>
    </row>
    <row r="2730" spans="1:7" x14ac:dyDescent="0.25">
      <c r="A2730">
        <v>5130</v>
      </c>
      <c r="B2730">
        <v>72</v>
      </c>
      <c r="C2730" t="s">
        <v>894</v>
      </c>
      <c r="D2730" t="s">
        <v>2026</v>
      </c>
      <c r="E2730" t="s">
        <v>6964</v>
      </c>
      <c r="F2730" t="s">
        <v>6955</v>
      </c>
    </row>
    <row r="2731" spans="1:7" x14ac:dyDescent="0.25">
      <c r="A2731">
        <v>5131</v>
      </c>
      <c r="B2731">
        <v>662</v>
      </c>
      <c r="C2731" t="s">
        <v>898</v>
      </c>
      <c r="D2731" t="s">
        <v>6965</v>
      </c>
      <c r="F2731" t="s">
        <v>4944</v>
      </c>
      <c r="G2731" t="s">
        <v>4447</v>
      </c>
    </row>
    <row r="2732" spans="1:7" x14ac:dyDescent="0.25">
      <c r="A2732">
        <v>5132</v>
      </c>
      <c r="B2732">
        <v>42</v>
      </c>
      <c r="C2732" t="s">
        <v>894</v>
      </c>
      <c r="D2732" t="s">
        <v>6951</v>
      </c>
      <c r="E2732" t="s">
        <v>6966</v>
      </c>
      <c r="F2732" t="s">
        <v>1136</v>
      </c>
      <c r="G2732" t="s">
        <v>4447</v>
      </c>
    </row>
    <row r="2733" spans="1:7" x14ac:dyDescent="0.25">
      <c r="A2733">
        <v>5133</v>
      </c>
      <c r="B2733">
        <v>820</v>
      </c>
      <c r="C2733" t="s">
        <v>898</v>
      </c>
      <c r="D2733" t="s">
        <v>6967</v>
      </c>
      <c r="F2733" t="s">
        <v>6968</v>
      </c>
      <c r="G2733" t="s">
        <v>4445</v>
      </c>
    </row>
    <row r="2734" spans="1:7" x14ac:dyDescent="0.25">
      <c r="A2734">
        <v>5134</v>
      </c>
      <c r="B2734">
        <v>820</v>
      </c>
      <c r="C2734" t="s">
        <v>898</v>
      </c>
      <c r="D2734" t="s">
        <v>6969</v>
      </c>
      <c r="F2734" t="s">
        <v>6970</v>
      </c>
    </row>
    <row r="2735" spans="1:7" x14ac:dyDescent="0.25">
      <c r="A2735">
        <v>5135</v>
      </c>
      <c r="B2735">
        <v>235</v>
      </c>
      <c r="C2735" t="s">
        <v>894</v>
      </c>
      <c r="D2735" t="s">
        <v>6971</v>
      </c>
      <c r="F2735" t="s">
        <v>5712</v>
      </c>
      <c r="G2735" t="s">
        <v>4443</v>
      </c>
    </row>
    <row r="2736" spans="1:7" x14ac:dyDescent="0.25">
      <c r="A2736">
        <v>5136</v>
      </c>
      <c r="B2736">
        <v>28</v>
      </c>
      <c r="C2736" t="s">
        <v>894</v>
      </c>
      <c r="D2736" t="s">
        <v>6972</v>
      </c>
      <c r="E2736" t="s">
        <v>6973</v>
      </c>
      <c r="F2736" t="s">
        <v>6974</v>
      </c>
      <c r="G2736" t="s">
        <v>4447</v>
      </c>
    </row>
    <row r="2737" spans="1:8" x14ac:dyDescent="0.25">
      <c r="A2737">
        <v>5137</v>
      </c>
      <c r="B2737">
        <v>28</v>
      </c>
      <c r="C2737" t="s">
        <v>894</v>
      </c>
      <c r="D2737" t="s">
        <v>6975</v>
      </c>
      <c r="E2737" t="s">
        <v>6976</v>
      </c>
      <c r="F2737" t="s">
        <v>6977</v>
      </c>
      <c r="G2737" t="s">
        <v>2758</v>
      </c>
      <c r="H2737">
        <v>500</v>
      </c>
    </row>
    <row r="2738" spans="1:8" x14ac:dyDescent="0.25">
      <c r="A2738">
        <v>5138</v>
      </c>
      <c r="B2738">
        <v>28</v>
      </c>
      <c r="C2738" t="s">
        <v>894</v>
      </c>
      <c r="D2738" t="s">
        <v>6978</v>
      </c>
      <c r="E2738" t="s">
        <v>6979</v>
      </c>
      <c r="F2738" t="s">
        <v>6980</v>
      </c>
      <c r="G2738" t="s">
        <v>919</v>
      </c>
      <c r="H2738">
        <v>1</v>
      </c>
    </row>
    <row r="2739" spans="1:8" x14ac:dyDescent="0.25">
      <c r="A2739">
        <v>5139</v>
      </c>
      <c r="B2739">
        <v>647</v>
      </c>
      <c r="C2739" t="s">
        <v>898</v>
      </c>
      <c r="D2739" t="s">
        <v>6981</v>
      </c>
      <c r="F2739" t="s">
        <v>6982</v>
      </c>
      <c r="G2739" t="s">
        <v>4449</v>
      </c>
    </row>
    <row r="2740" spans="1:8" x14ac:dyDescent="0.25">
      <c r="A2740">
        <v>5140</v>
      </c>
      <c r="B2740">
        <v>650</v>
      </c>
      <c r="C2740" t="s">
        <v>898</v>
      </c>
      <c r="D2740" t="s">
        <v>6983</v>
      </c>
      <c r="F2740" t="s">
        <v>4774</v>
      </c>
      <c r="G2740" t="s">
        <v>4447</v>
      </c>
    </row>
    <row r="2741" spans="1:8" x14ac:dyDescent="0.25">
      <c r="A2741">
        <v>5141</v>
      </c>
      <c r="B2741">
        <v>650</v>
      </c>
      <c r="C2741" t="s">
        <v>898</v>
      </c>
      <c r="D2741" t="s">
        <v>6984</v>
      </c>
      <c r="F2741" t="s">
        <v>4774</v>
      </c>
      <c r="G2741" t="s">
        <v>2755</v>
      </c>
    </row>
    <row r="2742" spans="1:8" x14ac:dyDescent="0.25">
      <c r="A2742">
        <v>5142</v>
      </c>
      <c r="B2742">
        <v>111</v>
      </c>
      <c r="C2742" t="s">
        <v>898</v>
      </c>
      <c r="D2742" t="s">
        <v>6985</v>
      </c>
      <c r="F2742" t="s">
        <v>6986</v>
      </c>
      <c r="G2742" t="s">
        <v>4445</v>
      </c>
    </row>
    <row r="2743" spans="1:8" x14ac:dyDescent="0.25">
      <c r="A2743">
        <v>5143</v>
      </c>
      <c r="B2743">
        <v>111</v>
      </c>
      <c r="C2743" t="s">
        <v>898</v>
      </c>
      <c r="D2743" t="s">
        <v>6987</v>
      </c>
      <c r="F2743" t="s">
        <v>6988</v>
      </c>
      <c r="G2743" t="s">
        <v>4447</v>
      </c>
    </row>
    <row r="2744" spans="1:8" x14ac:dyDescent="0.25">
      <c r="A2744">
        <v>5144</v>
      </c>
      <c r="B2744">
        <v>783</v>
      </c>
      <c r="C2744" t="s">
        <v>898</v>
      </c>
      <c r="D2744" t="s">
        <v>6989</v>
      </c>
      <c r="F2744" t="s">
        <v>2484</v>
      </c>
      <c r="G2744" t="s">
        <v>4440</v>
      </c>
    </row>
    <row r="2745" spans="1:8" x14ac:dyDescent="0.25">
      <c r="A2745">
        <v>5145</v>
      </c>
      <c r="B2745">
        <v>783</v>
      </c>
      <c r="C2745" t="s">
        <v>898</v>
      </c>
      <c r="D2745" t="s">
        <v>1137</v>
      </c>
      <c r="F2745" t="s">
        <v>6128</v>
      </c>
      <c r="G2745" t="s">
        <v>4444</v>
      </c>
    </row>
    <row r="2746" spans="1:8" x14ac:dyDescent="0.25">
      <c r="A2746">
        <v>5146</v>
      </c>
      <c r="B2746">
        <v>556</v>
      </c>
      <c r="C2746" t="s">
        <v>898</v>
      </c>
      <c r="D2746" t="s">
        <v>6990</v>
      </c>
      <c r="E2746" t="s">
        <v>6991</v>
      </c>
      <c r="F2746" t="s">
        <v>2424</v>
      </c>
      <c r="G2746" t="s">
        <v>4447</v>
      </c>
    </row>
    <row r="2747" spans="1:8" x14ac:dyDescent="0.25">
      <c r="A2747">
        <v>5147</v>
      </c>
      <c r="B2747">
        <v>64</v>
      </c>
      <c r="C2747" t="s">
        <v>894</v>
      </c>
      <c r="D2747" t="s">
        <v>6992</v>
      </c>
      <c r="F2747" t="s">
        <v>6993</v>
      </c>
      <c r="G2747" t="s">
        <v>4453</v>
      </c>
    </row>
    <row r="2748" spans="1:8" x14ac:dyDescent="0.25">
      <c r="A2748">
        <v>5148</v>
      </c>
      <c r="B2748">
        <v>556</v>
      </c>
      <c r="C2748" t="s">
        <v>898</v>
      </c>
      <c r="D2748" t="s">
        <v>6994</v>
      </c>
      <c r="E2748" t="s">
        <v>6995</v>
      </c>
      <c r="F2748" t="s">
        <v>2424</v>
      </c>
      <c r="G2748" t="s">
        <v>4442</v>
      </c>
    </row>
    <row r="2749" spans="1:8" x14ac:dyDescent="0.25">
      <c r="A2749">
        <v>5149</v>
      </c>
      <c r="B2749">
        <v>69</v>
      </c>
      <c r="C2749" t="s">
        <v>894</v>
      </c>
      <c r="D2749" t="s">
        <v>6996</v>
      </c>
      <c r="F2749" t="s">
        <v>6997</v>
      </c>
      <c r="G2749" t="s">
        <v>4447</v>
      </c>
    </row>
    <row r="2750" spans="1:8" x14ac:dyDescent="0.25">
      <c r="A2750">
        <v>5150</v>
      </c>
      <c r="B2750">
        <v>627</v>
      </c>
      <c r="C2750" t="s">
        <v>894</v>
      </c>
      <c r="D2750" t="s">
        <v>6998</v>
      </c>
      <c r="F2750" t="s">
        <v>6999</v>
      </c>
      <c r="G2750" t="s">
        <v>4447</v>
      </c>
    </row>
    <row r="2751" spans="1:8" x14ac:dyDescent="0.25">
      <c r="A2751">
        <v>5152</v>
      </c>
      <c r="B2751">
        <v>896</v>
      </c>
      <c r="C2751" t="s">
        <v>898</v>
      </c>
      <c r="D2751" t="s">
        <v>1479</v>
      </c>
      <c r="F2751" t="s">
        <v>7000</v>
      </c>
      <c r="G2751" t="s">
        <v>2758</v>
      </c>
    </row>
    <row r="2752" spans="1:8" x14ac:dyDescent="0.25">
      <c r="A2752">
        <v>5153</v>
      </c>
      <c r="B2752">
        <v>896</v>
      </c>
      <c r="C2752" t="s">
        <v>898</v>
      </c>
      <c r="D2752" t="s">
        <v>4882</v>
      </c>
      <c r="E2752" t="s">
        <v>7001</v>
      </c>
      <c r="F2752" t="s">
        <v>7000</v>
      </c>
      <c r="G2752" t="s">
        <v>4442</v>
      </c>
    </row>
    <row r="2753" spans="1:7" x14ac:dyDescent="0.25">
      <c r="A2753">
        <v>5154</v>
      </c>
      <c r="B2753">
        <v>896</v>
      </c>
      <c r="C2753" t="s">
        <v>898</v>
      </c>
      <c r="D2753" t="s">
        <v>1224</v>
      </c>
      <c r="E2753" t="s">
        <v>7002</v>
      </c>
      <c r="F2753" t="s">
        <v>7000</v>
      </c>
      <c r="G2753" t="s">
        <v>919</v>
      </c>
    </row>
    <row r="2754" spans="1:7" x14ac:dyDescent="0.25">
      <c r="A2754">
        <v>5155</v>
      </c>
      <c r="B2754">
        <v>896</v>
      </c>
      <c r="C2754" t="s">
        <v>898</v>
      </c>
      <c r="D2754" t="s">
        <v>1221</v>
      </c>
      <c r="F2754" t="s">
        <v>7000</v>
      </c>
      <c r="G2754" t="s">
        <v>4444</v>
      </c>
    </row>
    <row r="2755" spans="1:7" x14ac:dyDescent="0.25">
      <c r="A2755">
        <v>5156</v>
      </c>
      <c r="B2755">
        <v>896</v>
      </c>
      <c r="C2755" t="s">
        <v>898</v>
      </c>
      <c r="D2755" t="s">
        <v>7003</v>
      </c>
      <c r="F2755" t="s">
        <v>7000</v>
      </c>
      <c r="G2755" t="s">
        <v>4447</v>
      </c>
    </row>
    <row r="2756" spans="1:7" x14ac:dyDescent="0.25">
      <c r="A2756">
        <v>5157</v>
      </c>
      <c r="B2756">
        <v>896</v>
      </c>
      <c r="C2756" t="s">
        <v>898</v>
      </c>
      <c r="D2756" t="s">
        <v>7004</v>
      </c>
      <c r="F2756" t="s">
        <v>7000</v>
      </c>
    </row>
    <row r="2757" spans="1:7" x14ac:dyDescent="0.25">
      <c r="A2757">
        <v>5158</v>
      </c>
      <c r="B2757">
        <v>896</v>
      </c>
      <c r="C2757" t="s">
        <v>898</v>
      </c>
      <c r="D2757" t="s">
        <v>2757</v>
      </c>
      <c r="F2757" t="s">
        <v>7000</v>
      </c>
    </row>
    <row r="2758" spans="1:7" x14ac:dyDescent="0.25">
      <c r="A2758">
        <v>5159</v>
      </c>
      <c r="B2758">
        <v>896</v>
      </c>
      <c r="C2758" t="s">
        <v>898</v>
      </c>
      <c r="D2758" t="s">
        <v>7005</v>
      </c>
      <c r="F2758" t="s">
        <v>7000</v>
      </c>
      <c r="G2758" t="s">
        <v>4450</v>
      </c>
    </row>
    <row r="2759" spans="1:7" x14ac:dyDescent="0.25">
      <c r="A2759">
        <v>5160</v>
      </c>
      <c r="B2759">
        <v>896</v>
      </c>
      <c r="C2759" t="s">
        <v>898</v>
      </c>
      <c r="D2759" t="s">
        <v>2078</v>
      </c>
      <c r="F2759" t="s">
        <v>7000</v>
      </c>
      <c r="G2759" t="s">
        <v>4445</v>
      </c>
    </row>
    <row r="2760" spans="1:7" x14ac:dyDescent="0.25">
      <c r="A2760">
        <v>5161</v>
      </c>
      <c r="B2760">
        <v>545</v>
      </c>
      <c r="C2760" t="s">
        <v>894</v>
      </c>
      <c r="D2760" t="s">
        <v>7006</v>
      </c>
      <c r="E2760" t="s">
        <v>7007</v>
      </c>
      <c r="F2760" t="s">
        <v>2359</v>
      </c>
      <c r="G2760" t="s">
        <v>4445</v>
      </c>
    </row>
    <row r="2761" spans="1:7" x14ac:dyDescent="0.25">
      <c r="A2761">
        <v>5162</v>
      </c>
      <c r="B2761">
        <v>897</v>
      </c>
      <c r="C2761" t="s">
        <v>898</v>
      </c>
      <c r="D2761" t="s">
        <v>7008</v>
      </c>
      <c r="F2761" t="s">
        <v>7009</v>
      </c>
      <c r="G2761" t="s">
        <v>4441</v>
      </c>
    </row>
    <row r="2762" spans="1:7" x14ac:dyDescent="0.25">
      <c r="A2762">
        <v>5163</v>
      </c>
      <c r="B2762">
        <v>897</v>
      </c>
      <c r="C2762" t="s">
        <v>898</v>
      </c>
      <c r="D2762" t="s">
        <v>7010</v>
      </c>
      <c r="F2762" t="s">
        <v>7009</v>
      </c>
      <c r="G2762" t="s">
        <v>4452</v>
      </c>
    </row>
    <row r="2763" spans="1:7" x14ac:dyDescent="0.25">
      <c r="A2763">
        <v>5164</v>
      </c>
      <c r="B2763">
        <v>897</v>
      </c>
      <c r="C2763" t="s">
        <v>898</v>
      </c>
      <c r="D2763" t="s">
        <v>4971</v>
      </c>
      <c r="F2763" t="s">
        <v>7009</v>
      </c>
      <c r="G2763" t="s">
        <v>4440</v>
      </c>
    </row>
    <row r="2764" spans="1:7" x14ac:dyDescent="0.25">
      <c r="A2764">
        <v>5165</v>
      </c>
      <c r="B2764">
        <v>897</v>
      </c>
      <c r="C2764" t="s">
        <v>898</v>
      </c>
      <c r="D2764" t="s">
        <v>7011</v>
      </c>
      <c r="F2764" t="s">
        <v>7009</v>
      </c>
      <c r="G2764" t="s">
        <v>4440</v>
      </c>
    </row>
    <row r="2765" spans="1:7" x14ac:dyDescent="0.25">
      <c r="A2765">
        <v>5166</v>
      </c>
      <c r="B2765">
        <v>897</v>
      </c>
      <c r="C2765" t="s">
        <v>898</v>
      </c>
      <c r="D2765" t="s">
        <v>7012</v>
      </c>
      <c r="F2765" t="s">
        <v>7009</v>
      </c>
      <c r="G2765" t="s">
        <v>4440</v>
      </c>
    </row>
    <row r="2766" spans="1:7" x14ac:dyDescent="0.25">
      <c r="A2766">
        <v>5167</v>
      </c>
      <c r="B2766">
        <v>897</v>
      </c>
      <c r="C2766" t="s">
        <v>898</v>
      </c>
      <c r="D2766" t="s">
        <v>7013</v>
      </c>
      <c r="F2766" t="s">
        <v>7009</v>
      </c>
      <c r="G2766" t="s">
        <v>2758</v>
      </c>
    </row>
    <row r="2767" spans="1:7" x14ac:dyDescent="0.25">
      <c r="A2767">
        <v>5168</v>
      </c>
      <c r="B2767">
        <v>897</v>
      </c>
      <c r="C2767" t="s">
        <v>898</v>
      </c>
      <c r="D2767" t="s">
        <v>1378</v>
      </c>
      <c r="F2767" t="s">
        <v>7009</v>
      </c>
      <c r="G2767" t="s">
        <v>4442</v>
      </c>
    </row>
    <row r="2768" spans="1:7" x14ac:dyDescent="0.25">
      <c r="A2768">
        <v>5169</v>
      </c>
      <c r="B2768">
        <v>897</v>
      </c>
      <c r="C2768" t="s">
        <v>898</v>
      </c>
      <c r="D2768" t="s">
        <v>6435</v>
      </c>
      <c r="F2768" t="s">
        <v>7009</v>
      </c>
      <c r="G2768" t="s">
        <v>4442</v>
      </c>
    </row>
    <row r="2769" spans="1:8" x14ac:dyDescent="0.25">
      <c r="A2769">
        <v>5170</v>
      </c>
      <c r="B2769">
        <v>897</v>
      </c>
      <c r="C2769" t="s">
        <v>898</v>
      </c>
      <c r="D2769" t="s">
        <v>1973</v>
      </c>
      <c r="F2769" t="s">
        <v>7009</v>
      </c>
      <c r="G2769" t="s">
        <v>919</v>
      </c>
    </row>
    <row r="2770" spans="1:8" x14ac:dyDescent="0.25">
      <c r="A2770">
        <v>5171</v>
      </c>
      <c r="B2770">
        <v>897</v>
      </c>
      <c r="C2770" t="s">
        <v>898</v>
      </c>
      <c r="D2770" t="s">
        <v>4748</v>
      </c>
      <c r="F2770" t="s">
        <v>7009</v>
      </c>
      <c r="G2770" t="s">
        <v>1670</v>
      </c>
    </row>
    <row r="2771" spans="1:8" x14ac:dyDescent="0.25">
      <c r="A2771">
        <v>5172</v>
      </c>
      <c r="B2771">
        <v>897</v>
      </c>
      <c r="C2771" t="s">
        <v>898</v>
      </c>
      <c r="D2771" t="s">
        <v>7014</v>
      </c>
      <c r="F2771" t="s">
        <v>7009</v>
      </c>
      <c r="G2771" t="s">
        <v>4447</v>
      </c>
    </row>
    <row r="2772" spans="1:8" x14ac:dyDescent="0.25">
      <c r="A2772">
        <v>5173</v>
      </c>
      <c r="B2772">
        <v>487</v>
      </c>
      <c r="C2772" t="s">
        <v>898</v>
      </c>
      <c r="D2772" t="s">
        <v>7015</v>
      </c>
      <c r="F2772" t="s">
        <v>2066</v>
      </c>
      <c r="G2772" t="s">
        <v>4448</v>
      </c>
    </row>
    <row r="2773" spans="1:8" x14ac:dyDescent="0.25">
      <c r="A2773">
        <v>5174</v>
      </c>
      <c r="B2773">
        <v>670</v>
      </c>
      <c r="C2773" t="s">
        <v>898</v>
      </c>
      <c r="D2773" t="s">
        <v>7016</v>
      </c>
      <c r="F2773" t="s">
        <v>5059</v>
      </c>
      <c r="G2773" t="s">
        <v>1670</v>
      </c>
    </row>
    <row r="2774" spans="1:8" x14ac:dyDescent="0.25">
      <c r="A2774">
        <v>5181</v>
      </c>
      <c r="B2774">
        <v>105</v>
      </c>
      <c r="C2774" t="s">
        <v>898</v>
      </c>
      <c r="D2774" t="s">
        <v>7017</v>
      </c>
      <c r="E2774" t="s">
        <v>7018</v>
      </c>
      <c r="F2774" t="s">
        <v>7019</v>
      </c>
      <c r="G2774" t="s">
        <v>4445</v>
      </c>
      <c r="H2774">
        <v>400</v>
      </c>
    </row>
    <row r="2775" spans="1:8" x14ac:dyDescent="0.25">
      <c r="A2775">
        <v>5182</v>
      </c>
      <c r="B2775">
        <v>25</v>
      </c>
      <c r="C2775" t="s">
        <v>894</v>
      </c>
      <c r="D2775" t="s">
        <v>1523</v>
      </c>
      <c r="E2775" t="s">
        <v>5948</v>
      </c>
      <c r="F2775" t="s">
        <v>2131</v>
      </c>
    </row>
    <row r="2776" spans="1:8" x14ac:dyDescent="0.25">
      <c r="A2776">
        <v>5183</v>
      </c>
      <c r="B2776">
        <v>899</v>
      </c>
      <c r="C2776" t="s">
        <v>894</v>
      </c>
      <c r="D2776" t="s">
        <v>966</v>
      </c>
      <c r="E2776" t="s">
        <v>7020</v>
      </c>
      <c r="F2776" t="s">
        <v>7021</v>
      </c>
      <c r="G2776" t="s">
        <v>2758</v>
      </c>
    </row>
    <row r="2777" spans="1:8" x14ac:dyDescent="0.25">
      <c r="A2777">
        <v>5184</v>
      </c>
      <c r="B2777">
        <v>899</v>
      </c>
      <c r="C2777" t="s">
        <v>894</v>
      </c>
      <c r="D2777" t="s">
        <v>7022</v>
      </c>
      <c r="E2777" t="s">
        <v>7023</v>
      </c>
      <c r="F2777" t="s">
        <v>7021</v>
      </c>
      <c r="G2777" t="s">
        <v>4448</v>
      </c>
    </row>
    <row r="2778" spans="1:8" x14ac:dyDescent="0.25">
      <c r="A2778">
        <v>5185</v>
      </c>
      <c r="B2778">
        <v>899</v>
      </c>
      <c r="C2778" t="s">
        <v>894</v>
      </c>
      <c r="D2778" t="s">
        <v>7024</v>
      </c>
      <c r="E2778" t="s">
        <v>7025</v>
      </c>
      <c r="F2778" t="s">
        <v>7021</v>
      </c>
      <c r="G2778" t="s">
        <v>4455</v>
      </c>
    </row>
    <row r="2779" spans="1:8" x14ac:dyDescent="0.25">
      <c r="A2779">
        <v>5186</v>
      </c>
      <c r="B2779">
        <v>899</v>
      </c>
      <c r="C2779" t="s">
        <v>894</v>
      </c>
      <c r="D2779" t="s">
        <v>7026</v>
      </c>
      <c r="E2779" t="s">
        <v>7027</v>
      </c>
      <c r="F2779" t="s">
        <v>7021</v>
      </c>
      <c r="G2779" t="s">
        <v>4455</v>
      </c>
    </row>
    <row r="2780" spans="1:8" x14ac:dyDescent="0.25">
      <c r="A2780">
        <v>5187</v>
      </c>
      <c r="B2780">
        <v>899</v>
      </c>
      <c r="C2780" t="s">
        <v>894</v>
      </c>
      <c r="D2780" t="s">
        <v>5816</v>
      </c>
      <c r="E2780" t="s">
        <v>7028</v>
      </c>
      <c r="F2780" t="s">
        <v>7021</v>
      </c>
      <c r="G2780" t="s">
        <v>4445</v>
      </c>
    </row>
    <row r="2781" spans="1:8" x14ac:dyDescent="0.25">
      <c r="A2781">
        <v>5188</v>
      </c>
      <c r="B2781">
        <v>899</v>
      </c>
      <c r="C2781" t="s">
        <v>894</v>
      </c>
      <c r="D2781" t="s">
        <v>7029</v>
      </c>
      <c r="E2781" t="s">
        <v>7030</v>
      </c>
      <c r="F2781" t="s">
        <v>7021</v>
      </c>
      <c r="G2781" t="s">
        <v>1125</v>
      </c>
    </row>
    <row r="2782" spans="1:8" x14ac:dyDescent="0.25">
      <c r="A2782">
        <v>5189</v>
      </c>
      <c r="B2782">
        <v>899</v>
      </c>
      <c r="C2782" t="s">
        <v>894</v>
      </c>
      <c r="D2782" t="s">
        <v>6078</v>
      </c>
      <c r="E2782" t="s">
        <v>7031</v>
      </c>
      <c r="F2782" t="s">
        <v>7021</v>
      </c>
      <c r="G2782" t="s">
        <v>1309</v>
      </c>
    </row>
    <row r="2783" spans="1:8" x14ac:dyDescent="0.25">
      <c r="A2783">
        <v>5190</v>
      </c>
      <c r="B2783">
        <v>899</v>
      </c>
      <c r="C2783" t="s">
        <v>894</v>
      </c>
      <c r="D2783" t="s">
        <v>7032</v>
      </c>
      <c r="E2783" t="s">
        <v>7033</v>
      </c>
      <c r="F2783" t="s">
        <v>7021</v>
      </c>
      <c r="G2783" t="s">
        <v>4448</v>
      </c>
    </row>
    <row r="2784" spans="1:8" x14ac:dyDescent="0.25">
      <c r="A2784">
        <v>5191</v>
      </c>
      <c r="B2784">
        <v>826</v>
      </c>
      <c r="C2784" t="s">
        <v>894</v>
      </c>
      <c r="D2784" t="s">
        <v>6756</v>
      </c>
      <c r="E2784" t="s">
        <v>6106</v>
      </c>
      <c r="F2784" t="s">
        <v>6107</v>
      </c>
      <c r="G2784" t="s">
        <v>4447</v>
      </c>
    </row>
    <row r="2785" spans="1:7" x14ac:dyDescent="0.25">
      <c r="A2785">
        <v>5192</v>
      </c>
      <c r="B2785">
        <v>138</v>
      </c>
      <c r="C2785" t="s">
        <v>894</v>
      </c>
      <c r="D2785" t="s">
        <v>7034</v>
      </c>
      <c r="E2785" t="s">
        <v>7035</v>
      </c>
      <c r="F2785" t="s">
        <v>7036</v>
      </c>
      <c r="G2785" t="s">
        <v>4455</v>
      </c>
    </row>
    <row r="2786" spans="1:7" x14ac:dyDescent="0.25">
      <c r="A2786">
        <v>5193</v>
      </c>
      <c r="B2786">
        <v>900</v>
      </c>
      <c r="C2786" t="s">
        <v>898</v>
      </c>
      <c r="D2786" t="s">
        <v>5917</v>
      </c>
      <c r="F2786" t="s">
        <v>7037</v>
      </c>
      <c r="G2786" t="s">
        <v>2758</v>
      </c>
    </row>
    <row r="2787" spans="1:7" x14ac:dyDescent="0.25">
      <c r="A2787">
        <v>5194</v>
      </c>
      <c r="B2787">
        <v>900</v>
      </c>
      <c r="C2787" t="s">
        <v>898</v>
      </c>
      <c r="D2787" t="s">
        <v>4971</v>
      </c>
      <c r="F2787" t="s">
        <v>7038</v>
      </c>
      <c r="G2787" t="s">
        <v>4440</v>
      </c>
    </row>
    <row r="2788" spans="1:7" x14ac:dyDescent="0.25">
      <c r="A2788">
        <v>5195</v>
      </c>
      <c r="B2788">
        <v>406</v>
      </c>
      <c r="C2788" t="s">
        <v>898</v>
      </c>
      <c r="D2788" t="s">
        <v>2664</v>
      </c>
      <c r="F2788" t="s">
        <v>1975</v>
      </c>
      <c r="G2788" t="s">
        <v>2758</v>
      </c>
    </row>
    <row r="2789" spans="1:7" x14ac:dyDescent="0.25">
      <c r="A2789">
        <v>5196</v>
      </c>
      <c r="B2789">
        <v>885</v>
      </c>
      <c r="C2789" t="s">
        <v>894</v>
      </c>
      <c r="D2789" t="s">
        <v>7039</v>
      </c>
      <c r="F2789" t="s">
        <v>6694</v>
      </c>
      <c r="G2789" t="s">
        <v>1309</v>
      </c>
    </row>
    <row r="2790" spans="1:7" x14ac:dyDescent="0.25">
      <c r="A2790">
        <v>5197</v>
      </c>
      <c r="B2790">
        <v>885</v>
      </c>
      <c r="C2790" t="s">
        <v>894</v>
      </c>
      <c r="D2790" t="s">
        <v>7040</v>
      </c>
      <c r="F2790" t="s">
        <v>6694</v>
      </c>
      <c r="G2790" t="s">
        <v>4445</v>
      </c>
    </row>
    <row r="2791" spans="1:7" x14ac:dyDescent="0.25">
      <c r="A2791">
        <v>5198</v>
      </c>
      <c r="B2791">
        <v>885</v>
      </c>
      <c r="C2791" t="s">
        <v>894</v>
      </c>
      <c r="D2791" t="s">
        <v>6399</v>
      </c>
      <c r="F2791" t="s">
        <v>6694</v>
      </c>
      <c r="G2791" t="s">
        <v>4445</v>
      </c>
    </row>
    <row r="2792" spans="1:7" x14ac:dyDescent="0.25">
      <c r="A2792">
        <v>5199</v>
      </c>
      <c r="B2792">
        <v>885</v>
      </c>
      <c r="C2792" t="s">
        <v>894</v>
      </c>
      <c r="D2792" t="s">
        <v>7041</v>
      </c>
      <c r="F2792" t="s">
        <v>6694</v>
      </c>
      <c r="G2792" t="s">
        <v>4455</v>
      </c>
    </row>
    <row r="2793" spans="1:7" x14ac:dyDescent="0.25">
      <c r="A2793">
        <v>5203</v>
      </c>
      <c r="B2793">
        <v>901</v>
      </c>
      <c r="C2793" t="s">
        <v>898</v>
      </c>
      <c r="D2793" t="s">
        <v>7042</v>
      </c>
      <c r="F2793" t="s">
        <v>7043</v>
      </c>
      <c r="G2793" t="s">
        <v>919</v>
      </c>
    </row>
    <row r="2794" spans="1:7" x14ac:dyDescent="0.25">
      <c r="A2794">
        <v>5204</v>
      </c>
      <c r="B2794">
        <v>902</v>
      </c>
      <c r="C2794" t="s">
        <v>894</v>
      </c>
      <c r="D2794" t="s">
        <v>1994</v>
      </c>
      <c r="E2794" t="s">
        <v>7044</v>
      </c>
      <c r="F2794" t="s">
        <v>7045</v>
      </c>
      <c r="G2794" t="s">
        <v>2758</v>
      </c>
    </row>
    <row r="2795" spans="1:7" x14ac:dyDescent="0.25">
      <c r="A2795">
        <v>5205</v>
      </c>
      <c r="B2795">
        <v>902</v>
      </c>
      <c r="C2795" t="s">
        <v>894</v>
      </c>
      <c r="D2795" t="s">
        <v>2581</v>
      </c>
      <c r="E2795" t="s">
        <v>7046</v>
      </c>
      <c r="F2795" t="s">
        <v>7045</v>
      </c>
      <c r="G2795" t="s">
        <v>4442</v>
      </c>
    </row>
    <row r="2796" spans="1:7" x14ac:dyDescent="0.25">
      <c r="A2796">
        <v>5206</v>
      </c>
      <c r="B2796">
        <v>902</v>
      </c>
      <c r="C2796" t="s">
        <v>894</v>
      </c>
      <c r="D2796" t="s">
        <v>1072</v>
      </c>
      <c r="E2796" t="s">
        <v>7046</v>
      </c>
      <c r="F2796" t="s">
        <v>7045</v>
      </c>
      <c r="G2796" t="s">
        <v>4447</v>
      </c>
    </row>
    <row r="2797" spans="1:7" x14ac:dyDescent="0.25">
      <c r="A2797">
        <v>5207</v>
      </c>
      <c r="B2797">
        <v>902</v>
      </c>
      <c r="C2797" t="s">
        <v>894</v>
      </c>
      <c r="D2797" t="s">
        <v>2112</v>
      </c>
      <c r="E2797" t="s">
        <v>7047</v>
      </c>
      <c r="F2797" t="s">
        <v>7045</v>
      </c>
      <c r="G2797" t="s">
        <v>4447</v>
      </c>
    </row>
    <row r="2798" spans="1:7" x14ac:dyDescent="0.25">
      <c r="A2798">
        <v>5208</v>
      </c>
      <c r="B2798">
        <v>902</v>
      </c>
      <c r="C2798" t="s">
        <v>894</v>
      </c>
      <c r="D2798" t="s">
        <v>7048</v>
      </c>
      <c r="E2798" t="s">
        <v>7049</v>
      </c>
      <c r="F2798" t="s">
        <v>7045</v>
      </c>
      <c r="G2798" t="s">
        <v>4447</v>
      </c>
    </row>
    <row r="2799" spans="1:7" x14ac:dyDescent="0.25">
      <c r="A2799">
        <v>5209</v>
      </c>
      <c r="B2799">
        <v>902</v>
      </c>
      <c r="C2799" t="s">
        <v>894</v>
      </c>
      <c r="D2799" t="s">
        <v>2030</v>
      </c>
      <c r="E2799" t="s">
        <v>7050</v>
      </c>
      <c r="F2799" t="s">
        <v>7045</v>
      </c>
      <c r="G2799" t="s">
        <v>4447</v>
      </c>
    </row>
    <row r="2800" spans="1:7" x14ac:dyDescent="0.25">
      <c r="A2800">
        <v>5210</v>
      </c>
      <c r="B2800">
        <v>902</v>
      </c>
      <c r="C2800" t="s">
        <v>894</v>
      </c>
      <c r="D2800" t="s">
        <v>2404</v>
      </c>
      <c r="E2800" t="s">
        <v>7051</v>
      </c>
      <c r="F2800" t="s">
        <v>7045</v>
      </c>
      <c r="G2800" t="s">
        <v>4445</v>
      </c>
    </row>
    <row r="2801" spans="1:7" x14ac:dyDescent="0.25">
      <c r="A2801">
        <v>5211</v>
      </c>
      <c r="B2801">
        <v>902</v>
      </c>
      <c r="C2801" t="s">
        <v>894</v>
      </c>
      <c r="D2801" t="s">
        <v>6962</v>
      </c>
      <c r="E2801" t="s">
        <v>7052</v>
      </c>
      <c r="F2801" t="s">
        <v>7045</v>
      </c>
      <c r="G2801" t="s">
        <v>4445</v>
      </c>
    </row>
    <row r="2802" spans="1:7" x14ac:dyDescent="0.25">
      <c r="A2802">
        <v>5212</v>
      </c>
      <c r="B2802">
        <v>839</v>
      </c>
      <c r="C2802" t="s">
        <v>894</v>
      </c>
      <c r="D2802" t="s">
        <v>6144</v>
      </c>
      <c r="E2802" t="s">
        <v>6264</v>
      </c>
      <c r="F2802" t="s">
        <v>6265</v>
      </c>
      <c r="G2802" t="s">
        <v>4445</v>
      </c>
    </row>
    <row r="2803" spans="1:7" x14ac:dyDescent="0.25">
      <c r="A2803">
        <v>5213</v>
      </c>
      <c r="B2803">
        <v>839</v>
      </c>
      <c r="C2803" t="s">
        <v>894</v>
      </c>
      <c r="D2803" t="s">
        <v>7053</v>
      </c>
      <c r="E2803" t="s">
        <v>6264</v>
      </c>
      <c r="F2803" t="s">
        <v>6265</v>
      </c>
      <c r="G2803" t="s">
        <v>4448</v>
      </c>
    </row>
    <row r="2804" spans="1:7" x14ac:dyDescent="0.25">
      <c r="A2804">
        <v>5214</v>
      </c>
      <c r="B2804">
        <v>839</v>
      </c>
      <c r="C2804" t="s">
        <v>894</v>
      </c>
      <c r="D2804" t="s">
        <v>1045</v>
      </c>
      <c r="E2804" t="s">
        <v>6264</v>
      </c>
      <c r="F2804" t="s">
        <v>6265</v>
      </c>
      <c r="G2804" t="s">
        <v>4447</v>
      </c>
    </row>
    <row r="2805" spans="1:7" x14ac:dyDescent="0.25">
      <c r="A2805">
        <v>5215</v>
      </c>
      <c r="B2805">
        <v>106</v>
      </c>
      <c r="C2805" t="s">
        <v>898</v>
      </c>
      <c r="D2805" t="s">
        <v>7054</v>
      </c>
      <c r="E2805" t="s">
        <v>7055</v>
      </c>
      <c r="F2805" t="s">
        <v>7056</v>
      </c>
      <c r="G2805" t="s">
        <v>4447</v>
      </c>
    </row>
    <row r="2806" spans="1:7" x14ac:dyDescent="0.25">
      <c r="A2806">
        <v>5216</v>
      </c>
      <c r="B2806">
        <v>106</v>
      </c>
      <c r="C2806" t="s">
        <v>898</v>
      </c>
      <c r="D2806" t="s">
        <v>7057</v>
      </c>
      <c r="E2806" t="s">
        <v>7058</v>
      </c>
      <c r="F2806" t="s">
        <v>2741</v>
      </c>
      <c r="G2806" t="s">
        <v>4447</v>
      </c>
    </row>
    <row r="2807" spans="1:7" x14ac:dyDescent="0.25">
      <c r="A2807">
        <v>5217</v>
      </c>
      <c r="B2807">
        <v>106</v>
      </c>
      <c r="C2807" t="s">
        <v>898</v>
      </c>
      <c r="D2807" t="s">
        <v>7059</v>
      </c>
      <c r="E2807" t="s">
        <v>7060</v>
      </c>
      <c r="F2807" t="s">
        <v>7061</v>
      </c>
      <c r="G2807" t="s">
        <v>4447</v>
      </c>
    </row>
    <row r="2808" spans="1:7" x14ac:dyDescent="0.25">
      <c r="A2808">
        <v>5218</v>
      </c>
      <c r="B2808">
        <v>106</v>
      </c>
      <c r="C2808" t="s">
        <v>898</v>
      </c>
      <c r="D2808" t="s">
        <v>7062</v>
      </c>
      <c r="E2808" t="s">
        <v>7063</v>
      </c>
      <c r="F2808" t="s">
        <v>7061</v>
      </c>
      <c r="G2808" t="s">
        <v>4447</v>
      </c>
    </row>
    <row r="2809" spans="1:7" x14ac:dyDescent="0.25">
      <c r="A2809">
        <v>5219</v>
      </c>
      <c r="B2809">
        <v>106</v>
      </c>
      <c r="C2809" t="s">
        <v>898</v>
      </c>
      <c r="D2809" t="s">
        <v>7064</v>
      </c>
      <c r="E2809" t="s">
        <v>7065</v>
      </c>
      <c r="F2809" t="s">
        <v>7066</v>
      </c>
    </row>
    <row r="2810" spans="1:7" x14ac:dyDescent="0.25">
      <c r="A2810">
        <v>5220</v>
      </c>
      <c r="B2810">
        <v>106</v>
      </c>
      <c r="C2810" t="s">
        <v>898</v>
      </c>
      <c r="D2810" t="s">
        <v>7067</v>
      </c>
      <c r="E2810" t="s">
        <v>7068</v>
      </c>
      <c r="F2810" t="s">
        <v>7069</v>
      </c>
      <c r="G2810" t="s">
        <v>4446</v>
      </c>
    </row>
    <row r="2811" spans="1:7" x14ac:dyDescent="0.25">
      <c r="A2811">
        <v>5221</v>
      </c>
      <c r="B2811">
        <v>106</v>
      </c>
      <c r="C2811" t="s">
        <v>898</v>
      </c>
      <c r="D2811" t="s">
        <v>7070</v>
      </c>
      <c r="E2811" t="s">
        <v>7071</v>
      </c>
      <c r="F2811" t="s">
        <v>7072</v>
      </c>
      <c r="G2811" t="s">
        <v>4446</v>
      </c>
    </row>
    <row r="2812" spans="1:7" x14ac:dyDescent="0.25">
      <c r="A2812">
        <v>5222</v>
      </c>
      <c r="B2812">
        <v>106</v>
      </c>
      <c r="C2812" t="s">
        <v>898</v>
      </c>
      <c r="D2812" t="s">
        <v>7073</v>
      </c>
      <c r="E2812" t="s">
        <v>7074</v>
      </c>
      <c r="F2812" t="s">
        <v>7075</v>
      </c>
      <c r="G2812" t="s">
        <v>4446</v>
      </c>
    </row>
    <row r="2813" spans="1:7" x14ac:dyDescent="0.25">
      <c r="A2813">
        <v>5223</v>
      </c>
      <c r="B2813">
        <v>10</v>
      </c>
      <c r="C2813" t="s">
        <v>894</v>
      </c>
      <c r="D2813" t="s">
        <v>7076</v>
      </c>
      <c r="E2813" t="s">
        <v>7077</v>
      </c>
      <c r="F2813" t="s">
        <v>7078</v>
      </c>
      <c r="G2813" t="s">
        <v>4447</v>
      </c>
    </row>
    <row r="2814" spans="1:7" x14ac:dyDescent="0.25">
      <c r="A2814">
        <v>5224</v>
      </c>
      <c r="B2814">
        <v>106</v>
      </c>
      <c r="C2814" t="s">
        <v>898</v>
      </c>
      <c r="D2814" t="s">
        <v>7079</v>
      </c>
      <c r="E2814" t="s">
        <v>7080</v>
      </c>
      <c r="F2814" t="s">
        <v>7081</v>
      </c>
      <c r="G2814" t="s">
        <v>4447</v>
      </c>
    </row>
    <row r="2815" spans="1:7" x14ac:dyDescent="0.25">
      <c r="A2815">
        <v>5225</v>
      </c>
      <c r="B2815">
        <v>31</v>
      </c>
      <c r="C2815" t="s">
        <v>898</v>
      </c>
      <c r="D2815" t="s">
        <v>7082</v>
      </c>
      <c r="E2815" t="s">
        <v>7083</v>
      </c>
      <c r="F2815" t="s">
        <v>974</v>
      </c>
      <c r="G2815" t="s">
        <v>4447</v>
      </c>
    </row>
    <row r="2816" spans="1:7" x14ac:dyDescent="0.25">
      <c r="A2816">
        <v>5226</v>
      </c>
      <c r="B2816">
        <v>8</v>
      </c>
      <c r="C2816" t="s">
        <v>894</v>
      </c>
      <c r="D2816" t="s">
        <v>7084</v>
      </c>
      <c r="E2816" t="s">
        <v>7085</v>
      </c>
      <c r="F2816" t="s">
        <v>7086</v>
      </c>
      <c r="G2816" t="s">
        <v>4447</v>
      </c>
    </row>
    <row r="2817" spans="1:8" x14ac:dyDescent="0.25">
      <c r="A2817">
        <v>5227</v>
      </c>
      <c r="B2817">
        <v>8</v>
      </c>
      <c r="C2817" t="s">
        <v>894</v>
      </c>
      <c r="D2817" t="s">
        <v>7087</v>
      </c>
      <c r="E2817" t="s">
        <v>7088</v>
      </c>
      <c r="F2817" t="s">
        <v>7089</v>
      </c>
      <c r="G2817" t="s">
        <v>4447</v>
      </c>
    </row>
    <row r="2818" spans="1:8" x14ac:dyDescent="0.25">
      <c r="A2818">
        <v>5228</v>
      </c>
      <c r="B2818">
        <v>8</v>
      </c>
      <c r="C2818" t="s">
        <v>894</v>
      </c>
      <c r="D2818" t="s">
        <v>7090</v>
      </c>
      <c r="E2818" t="s">
        <v>7091</v>
      </c>
      <c r="F2818" t="s">
        <v>7092</v>
      </c>
      <c r="G2818" t="s">
        <v>4444</v>
      </c>
      <c r="H2818">
        <v>1</v>
      </c>
    </row>
    <row r="2819" spans="1:8" x14ac:dyDescent="0.25">
      <c r="A2819">
        <v>5229</v>
      </c>
      <c r="B2819">
        <v>8</v>
      </c>
      <c r="C2819" t="s">
        <v>894</v>
      </c>
      <c r="D2819" t="s">
        <v>7093</v>
      </c>
      <c r="E2819" t="s">
        <v>7094</v>
      </c>
      <c r="F2819" t="s">
        <v>7095</v>
      </c>
      <c r="G2819" t="s">
        <v>4442</v>
      </c>
    </row>
    <row r="2820" spans="1:8" x14ac:dyDescent="0.25">
      <c r="A2820">
        <v>5230</v>
      </c>
      <c r="B2820">
        <v>903</v>
      </c>
      <c r="C2820" t="s">
        <v>894</v>
      </c>
      <c r="D2820" t="s">
        <v>7096</v>
      </c>
      <c r="E2820" t="s">
        <v>7097</v>
      </c>
      <c r="F2820" t="s">
        <v>7098</v>
      </c>
      <c r="G2820" t="s">
        <v>2758</v>
      </c>
    </row>
    <row r="2821" spans="1:8" x14ac:dyDescent="0.25">
      <c r="A2821">
        <v>5231</v>
      </c>
      <c r="B2821">
        <v>903</v>
      </c>
      <c r="C2821" t="s">
        <v>894</v>
      </c>
      <c r="D2821" t="s">
        <v>7099</v>
      </c>
      <c r="E2821" t="s">
        <v>7100</v>
      </c>
      <c r="F2821" t="s">
        <v>7098</v>
      </c>
      <c r="G2821" t="s">
        <v>4442</v>
      </c>
    </row>
    <row r="2822" spans="1:8" x14ac:dyDescent="0.25">
      <c r="A2822">
        <v>5232</v>
      </c>
      <c r="B2822">
        <v>903</v>
      </c>
      <c r="C2822" t="s">
        <v>894</v>
      </c>
      <c r="D2822" t="s">
        <v>923</v>
      </c>
      <c r="E2822" t="s">
        <v>7101</v>
      </c>
      <c r="F2822" t="s">
        <v>7098</v>
      </c>
      <c r="G2822" t="s">
        <v>4444</v>
      </c>
    </row>
    <row r="2823" spans="1:8" x14ac:dyDescent="0.25">
      <c r="A2823">
        <v>5233</v>
      </c>
      <c r="B2823">
        <v>903</v>
      </c>
      <c r="C2823" t="s">
        <v>894</v>
      </c>
      <c r="D2823" t="s">
        <v>1469</v>
      </c>
      <c r="E2823" t="s">
        <v>7102</v>
      </c>
      <c r="F2823" t="s">
        <v>7098</v>
      </c>
      <c r="G2823" t="s">
        <v>4447</v>
      </c>
    </row>
    <row r="2824" spans="1:8" x14ac:dyDescent="0.25">
      <c r="A2824">
        <v>5234</v>
      </c>
      <c r="B2824">
        <v>903</v>
      </c>
      <c r="C2824" t="s">
        <v>894</v>
      </c>
      <c r="D2824" t="s">
        <v>917</v>
      </c>
      <c r="E2824" t="s">
        <v>7103</v>
      </c>
      <c r="F2824" t="s">
        <v>7098</v>
      </c>
      <c r="G2824" t="s">
        <v>919</v>
      </c>
    </row>
    <row r="2825" spans="1:8" x14ac:dyDescent="0.25">
      <c r="A2825">
        <v>5235</v>
      </c>
      <c r="B2825">
        <v>903</v>
      </c>
      <c r="C2825" t="s">
        <v>894</v>
      </c>
      <c r="D2825" t="s">
        <v>7104</v>
      </c>
      <c r="E2825" t="s">
        <v>7105</v>
      </c>
      <c r="F2825" t="s">
        <v>7098</v>
      </c>
      <c r="G2825" t="s">
        <v>1670</v>
      </c>
    </row>
    <row r="2826" spans="1:8" x14ac:dyDescent="0.25">
      <c r="A2826">
        <v>5236</v>
      </c>
      <c r="B2826">
        <v>903</v>
      </c>
      <c r="C2826" t="s">
        <v>894</v>
      </c>
      <c r="D2826" t="s">
        <v>6059</v>
      </c>
      <c r="E2826" t="s">
        <v>7106</v>
      </c>
      <c r="F2826" t="s">
        <v>7098</v>
      </c>
      <c r="G2826" t="s">
        <v>4445</v>
      </c>
    </row>
    <row r="2827" spans="1:8" x14ac:dyDescent="0.25">
      <c r="A2827">
        <v>5237</v>
      </c>
      <c r="B2827">
        <v>903</v>
      </c>
      <c r="C2827" t="s">
        <v>894</v>
      </c>
      <c r="D2827" t="s">
        <v>6144</v>
      </c>
      <c r="E2827" t="s">
        <v>7107</v>
      </c>
      <c r="F2827" t="s">
        <v>7098</v>
      </c>
      <c r="G2827" t="s">
        <v>4445</v>
      </c>
    </row>
    <row r="2828" spans="1:8" x14ac:dyDescent="0.25">
      <c r="A2828">
        <v>5238</v>
      </c>
      <c r="B2828">
        <v>63</v>
      </c>
      <c r="C2828" t="s">
        <v>894</v>
      </c>
      <c r="D2828" t="s">
        <v>7108</v>
      </c>
      <c r="E2828" t="s">
        <v>7109</v>
      </c>
      <c r="F2828" t="s">
        <v>1743</v>
      </c>
    </row>
    <row r="2829" spans="1:8" x14ac:dyDescent="0.25">
      <c r="A2829">
        <v>5239</v>
      </c>
      <c r="B2829">
        <v>904</v>
      </c>
      <c r="C2829" t="s">
        <v>894</v>
      </c>
      <c r="D2829" t="s">
        <v>5708</v>
      </c>
      <c r="E2829" t="s">
        <v>7110</v>
      </c>
      <c r="F2829" t="s">
        <v>7111</v>
      </c>
      <c r="G2829" t="s">
        <v>1670</v>
      </c>
    </row>
    <row r="2830" spans="1:8" x14ac:dyDescent="0.25">
      <c r="A2830">
        <v>5240</v>
      </c>
      <c r="B2830">
        <v>31</v>
      </c>
      <c r="C2830" t="s">
        <v>898</v>
      </c>
      <c r="D2830" t="s">
        <v>7112</v>
      </c>
      <c r="E2830" t="s">
        <v>7113</v>
      </c>
      <c r="F2830" t="s">
        <v>974</v>
      </c>
    </row>
    <row r="2831" spans="1:8" x14ac:dyDescent="0.25">
      <c r="A2831">
        <v>5242</v>
      </c>
      <c r="B2831">
        <v>12</v>
      </c>
      <c r="C2831" t="s">
        <v>894</v>
      </c>
      <c r="D2831" t="s">
        <v>5979</v>
      </c>
      <c r="E2831" t="s">
        <v>7114</v>
      </c>
      <c r="F2831" t="s">
        <v>921</v>
      </c>
      <c r="G2831" t="s">
        <v>919</v>
      </c>
    </row>
    <row r="2832" spans="1:8" x14ac:dyDescent="0.25">
      <c r="A2832">
        <v>5247</v>
      </c>
      <c r="B2832">
        <v>8</v>
      </c>
      <c r="C2832" t="s">
        <v>894</v>
      </c>
      <c r="D2832" t="s">
        <v>7115</v>
      </c>
      <c r="E2832" t="s">
        <v>7116</v>
      </c>
      <c r="F2832" t="s">
        <v>7117</v>
      </c>
    </row>
    <row r="2833" spans="1:7" x14ac:dyDescent="0.25">
      <c r="A2833">
        <v>5248</v>
      </c>
      <c r="B2833">
        <v>906</v>
      </c>
      <c r="C2833" t="s">
        <v>898</v>
      </c>
      <c r="D2833" t="s">
        <v>7118</v>
      </c>
      <c r="E2833" t="s">
        <v>7119</v>
      </c>
      <c r="F2833" t="s">
        <v>7120</v>
      </c>
    </row>
    <row r="2834" spans="1:7" x14ac:dyDescent="0.25">
      <c r="A2834">
        <v>5249</v>
      </c>
      <c r="B2834">
        <v>907</v>
      </c>
      <c r="C2834" t="s">
        <v>898</v>
      </c>
      <c r="D2834" t="s">
        <v>1137</v>
      </c>
      <c r="E2834" t="s">
        <v>7121</v>
      </c>
      <c r="F2834" t="s">
        <v>7122</v>
      </c>
      <c r="G2834" t="s">
        <v>4444</v>
      </c>
    </row>
    <row r="2835" spans="1:7" x14ac:dyDescent="0.25">
      <c r="A2835">
        <v>5250</v>
      </c>
      <c r="B2835">
        <v>907</v>
      </c>
      <c r="C2835" t="s">
        <v>898</v>
      </c>
      <c r="D2835" t="s">
        <v>2664</v>
      </c>
      <c r="E2835" t="s">
        <v>7123</v>
      </c>
      <c r="F2835" t="s">
        <v>7122</v>
      </c>
      <c r="G2835" t="s">
        <v>2758</v>
      </c>
    </row>
    <row r="2836" spans="1:7" x14ac:dyDescent="0.25">
      <c r="A2836">
        <v>5251</v>
      </c>
      <c r="B2836">
        <v>907</v>
      </c>
      <c r="C2836" t="s">
        <v>898</v>
      </c>
      <c r="D2836" t="s">
        <v>7124</v>
      </c>
      <c r="E2836" t="s">
        <v>7125</v>
      </c>
      <c r="F2836" t="s">
        <v>7122</v>
      </c>
      <c r="G2836" t="s">
        <v>4442</v>
      </c>
    </row>
    <row r="2837" spans="1:7" x14ac:dyDescent="0.25">
      <c r="A2837">
        <v>5252</v>
      </c>
      <c r="B2837">
        <v>907</v>
      </c>
      <c r="C2837" t="s">
        <v>898</v>
      </c>
      <c r="D2837" t="s">
        <v>4752</v>
      </c>
      <c r="E2837" t="s">
        <v>7126</v>
      </c>
      <c r="F2837" t="s">
        <v>7122</v>
      </c>
      <c r="G2837" t="s">
        <v>4447</v>
      </c>
    </row>
    <row r="2838" spans="1:7" x14ac:dyDescent="0.25">
      <c r="A2838">
        <v>5253</v>
      </c>
      <c r="B2838">
        <v>907</v>
      </c>
      <c r="C2838" t="s">
        <v>898</v>
      </c>
      <c r="D2838" t="s">
        <v>7127</v>
      </c>
      <c r="E2838" t="s">
        <v>7128</v>
      </c>
      <c r="F2838" t="s">
        <v>7122</v>
      </c>
      <c r="G2838" t="s">
        <v>4447</v>
      </c>
    </row>
    <row r="2839" spans="1:7" x14ac:dyDescent="0.25">
      <c r="A2839">
        <v>5254</v>
      </c>
      <c r="B2839">
        <v>907</v>
      </c>
      <c r="C2839" t="s">
        <v>898</v>
      </c>
      <c r="D2839" t="s">
        <v>4746</v>
      </c>
      <c r="E2839" t="s">
        <v>7129</v>
      </c>
      <c r="F2839" t="s">
        <v>7122</v>
      </c>
      <c r="G2839" t="s">
        <v>1262</v>
      </c>
    </row>
    <row r="2840" spans="1:7" x14ac:dyDescent="0.25">
      <c r="A2840">
        <v>5255</v>
      </c>
      <c r="B2840">
        <v>907</v>
      </c>
      <c r="C2840" t="s">
        <v>898</v>
      </c>
      <c r="D2840" t="s">
        <v>7130</v>
      </c>
      <c r="E2840" t="s">
        <v>7131</v>
      </c>
      <c r="F2840" t="s">
        <v>7122</v>
      </c>
      <c r="G2840" t="s">
        <v>4454</v>
      </c>
    </row>
    <row r="2841" spans="1:7" x14ac:dyDescent="0.25">
      <c r="A2841">
        <v>5256</v>
      </c>
      <c r="B2841">
        <v>907</v>
      </c>
      <c r="C2841" t="s">
        <v>898</v>
      </c>
      <c r="D2841" t="s">
        <v>7132</v>
      </c>
      <c r="E2841" t="s">
        <v>7133</v>
      </c>
      <c r="F2841" t="s">
        <v>7122</v>
      </c>
      <c r="G2841" t="s">
        <v>4454</v>
      </c>
    </row>
    <row r="2842" spans="1:7" x14ac:dyDescent="0.25">
      <c r="A2842">
        <v>5257</v>
      </c>
      <c r="B2842">
        <v>907</v>
      </c>
      <c r="C2842" t="s">
        <v>898</v>
      </c>
      <c r="D2842" t="s">
        <v>7134</v>
      </c>
      <c r="E2842" t="s">
        <v>7135</v>
      </c>
      <c r="F2842" t="s">
        <v>7122</v>
      </c>
      <c r="G2842" t="s">
        <v>4441</v>
      </c>
    </row>
    <row r="2843" spans="1:7" x14ac:dyDescent="0.25">
      <c r="A2843">
        <v>5258</v>
      </c>
      <c r="B2843">
        <v>907</v>
      </c>
      <c r="C2843" t="s">
        <v>898</v>
      </c>
      <c r="D2843" t="s">
        <v>7136</v>
      </c>
      <c r="E2843" t="s">
        <v>7137</v>
      </c>
      <c r="F2843" t="s">
        <v>7122</v>
      </c>
      <c r="G2843" t="s">
        <v>4440</v>
      </c>
    </row>
    <row r="2844" spans="1:7" x14ac:dyDescent="0.25">
      <c r="A2844">
        <v>5259</v>
      </c>
      <c r="B2844">
        <v>907</v>
      </c>
      <c r="C2844" t="s">
        <v>898</v>
      </c>
      <c r="D2844" t="s">
        <v>7138</v>
      </c>
      <c r="E2844" t="s">
        <v>7139</v>
      </c>
      <c r="F2844" t="s">
        <v>7122</v>
      </c>
      <c r="G2844" t="s">
        <v>4453</v>
      </c>
    </row>
    <row r="2845" spans="1:7" x14ac:dyDescent="0.25">
      <c r="A2845">
        <v>5260</v>
      </c>
      <c r="B2845">
        <v>907</v>
      </c>
      <c r="C2845" t="s">
        <v>898</v>
      </c>
      <c r="D2845" t="s">
        <v>7140</v>
      </c>
      <c r="E2845" t="s">
        <v>7141</v>
      </c>
      <c r="F2845" t="s">
        <v>7122</v>
      </c>
    </row>
    <row r="2846" spans="1:7" x14ac:dyDescent="0.25">
      <c r="A2846">
        <v>5261</v>
      </c>
      <c r="B2846">
        <v>907</v>
      </c>
      <c r="C2846" t="s">
        <v>898</v>
      </c>
      <c r="D2846" t="s">
        <v>6097</v>
      </c>
      <c r="E2846" t="s">
        <v>7142</v>
      </c>
      <c r="F2846" t="s">
        <v>7122</v>
      </c>
      <c r="G2846" t="s">
        <v>4445</v>
      </c>
    </row>
    <row r="2847" spans="1:7" x14ac:dyDescent="0.25">
      <c r="A2847">
        <v>5262</v>
      </c>
      <c r="B2847">
        <v>907</v>
      </c>
      <c r="C2847" t="s">
        <v>898</v>
      </c>
      <c r="D2847" t="s">
        <v>7143</v>
      </c>
      <c r="E2847" t="s">
        <v>7144</v>
      </c>
      <c r="F2847" t="s">
        <v>7122</v>
      </c>
    </row>
    <row r="2848" spans="1:7" x14ac:dyDescent="0.25">
      <c r="A2848">
        <v>5263</v>
      </c>
      <c r="B2848">
        <v>908</v>
      </c>
      <c r="C2848" t="s">
        <v>898</v>
      </c>
      <c r="D2848" t="s">
        <v>2664</v>
      </c>
      <c r="E2848" t="s">
        <v>7145</v>
      </c>
      <c r="F2848" t="s">
        <v>7146</v>
      </c>
      <c r="G2848" t="s">
        <v>2758</v>
      </c>
    </row>
    <row r="2849" spans="1:7" x14ac:dyDescent="0.25">
      <c r="A2849">
        <v>5264</v>
      </c>
      <c r="B2849">
        <v>908</v>
      </c>
      <c r="C2849" t="s">
        <v>898</v>
      </c>
      <c r="D2849" t="s">
        <v>7147</v>
      </c>
      <c r="E2849" t="s">
        <v>7148</v>
      </c>
      <c r="F2849" t="s">
        <v>7146</v>
      </c>
      <c r="G2849" t="s">
        <v>4440</v>
      </c>
    </row>
    <row r="2850" spans="1:7" x14ac:dyDescent="0.25">
      <c r="A2850">
        <v>5265</v>
      </c>
      <c r="B2850">
        <v>908</v>
      </c>
      <c r="C2850" t="s">
        <v>898</v>
      </c>
      <c r="D2850" t="s">
        <v>7011</v>
      </c>
      <c r="E2850" t="s">
        <v>7149</v>
      </c>
      <c r="F2850" t="s">
        <v>7146</v>
      </c>
      <c r="G2850" t="s">
        <v>4440</v>
      </c>
    </row>
    <row r="2851" spans="1:7" x14ac:dyDescent="0.25">
      <c r="A2851">
        <v>5266</v>
      </c>
      <c r="B2851">
        <v>908</v>
      </c>
      <c r="C2851" t="s">
        <v>898</v>
      </c>
      <c r="D2851" t="s">
        <v>7150</v>
      </c>
      <c r="E2851" t="s">
        <v>7151</v>
      </c>
      <c r="F2851" t="s">
        <v>7146</v>
      </c>
      <c r="G2851" t="s">
        <v>4441</v>
      </c>
    </row>
    <row r="2852" spans="1:7" x14ac:dyDescent="0.25">
      <c r="A2852">
        <v>5267</v>
      </c>
      <c r="B2852">
        <v>908</v>
      </c>
      <c r="C2852" t="s">
        <v>898</v>
      </c>
      <c r="D2852" t="s">
        <v>7152</v>
      </c>
      <c r="E2852" t="s">
        <v>7153</v>
      </c>
      <c r="F2852" t="s">
        <v>7146</v>
      </c>
      <c r="G2852" t="s">
        <v>4452</v>
      </c>
    </row>
    <row r="2853" spans="1:7" x14ac:dyDescent="0.25">
      <c r="A2853">
        <v>5268</v>
      </c>
      <c r="B2853">
        <v>908</v>
      </c>
      <c r="C2853" t="s">
        <v>898</v>
      </c>
      <c r="D2853" t="s">
        <v>7154</v>
      </c>
      <c r="E2853" t="s">
        <v>7155</v>
      </c>
      <c r="F2853" t="s">
        <v>7146</v>
      </c>
    </row>
    <row r="2854" spans="1:7" x14ac:dyDescent="0.25">
      <c r="A2854">
        <v>5269</v>
      </c>
      <c r="B2854">
        <v>909</v>
      </c>
      <c r="C2854" t="s">
        <v>898</v>
      </c>
      <c r="D2854" t="s">
        <v>7156</v>
      </c>
      <c r="E2854" t="s">
        <v>7157</v>
      </c>
      <c r="F2854" t="s">
        <v>7158</v>
      </c>
      <c r="G2854" t="s">
        <v>4441</v>
      </c>
    </row>
    <row r="2855" spans="1:7" x14ac:dyDescent="0.25">
      <c r="A2855">
        <v>5270</v>
      </c>
      <c r="B2855">
        <v>909</v>
      </c>
      <c r="C2855" t="s">
        <v>898</v>
      </c>
      <c r="D2855" t="s">
        <v>7159</v>
      </c>
      <c r="E2855" t="s">
        <v>7160</v>
      </c>
      <c r="F2855" t="s">
        <v>7158</v>
      </c>
      <c r="G2855" t="s">
        <v>4451</v>
      </c>
    </row>
    <row r="2856" spans="1:7" x14ac:dyDescent="0.25">
      <c r="A2856">
        <v>5271</v>
      </c>
      <c r="B2856">
        <v>909</v>
      </c>
      <c r="C2856" t="s">
        <v>898</v>
      </c>
      <c r="D2856" t="s">
        <v>7161</v>
      </c>
      <c r="E2856" t="s">
        <v>7162</v>
      </c>
      <c r="F2856" t="s">
        <v>7158</v>
      </c>
      <c r="G2856" t="s">
        <v>4440</v>
      </c>
    </row>
    <row r="2857" spans="1:7" x14ac:dyDescent="0.25">
      <c r="A2857">
        <v>5272</v>
      </c>
      <c r="B2857">
        <v>909</v>
      </c>
      <c r="C2857" t="s">
        <v>898</v>
      </c>
      <c r="D2857" t="s">
        <v>2664</v>
      </c>
      <c r="E2857" t="s">
        <v>7163</v>
      </c>
      <c r="F2857" t="s">
        <v>7158</v>
      </c>
      <c r="G2857" t="s">
        <v>2758</v>
      </c>
    </row>
    <row r="2858" spans="1:7" x14ac:dyDescent="0.25">
      <c r="A2858">
        <v>5273</v>
      </c>
      <c r="B2858">
        <v>909</v>
      </c>
      <c r="C2858" t="s">
        <v>898</v>
      </c>
      <c r="D2858" t="s">
        <v>7164</v>
      </c>
      <c r="E2858" t="s">
        <v>7165</v>
      </c>
      <c r="F2858" t="s">
        <v>7158</v>
      </c>
      <c r="G2858" t="s">
        <v>1125</v>
      </c>
    </row>
    <row r="2859" spans="1:7" x14ac:dyDescent="0.25">
      <c r="A2859">
        <v>5274</v>
      </c>
      <c r="B2859">
        <v>909</v>
      </c>
      <c r="C2859" t="s">
        <v>898</v>
      </c>
      <c r="D2859" t="s">
        <v>7166</v>
      </c>
      <c r="E2859" t="s">
        <v>7167</v>
      </c>
      <c r="F2859" t="s">
        <v>7158</v>
      </c>
      <c r="G2859" t="s">
        <v>4447</v>
      </c>
    </row>
    <row r="2860" spans="1:7" x14ac:dyDescent="0.25">
      <c r="A2860">
        <v>5275</v>
      </c>
      <c r="B2860">
        <v>909</v>
      </c>
      <c r="C2860" t="s">
        <v>898</v>
      </c>
      <c r="D2860" t="s">
        <v>1224</v>
      </c>
      <c r="E2860" t="s">
        <v>7168</v>
      </c>
      <c r="F2860" t="s">
        <v>7158</v>
      </c>
      <c r="G2860" t="s">
        <v>919</v>
      </c>
    </row>
    <row r="2861" spans="1:7" x14ac:dyDescent="0.25">
      <c r="A2861">
        <v>5276</v>
      </c>
      <c r="B2861">
        <v>909</v>
      </c>
      <c r="C2861" t="s">
        <v>898</v>
      </c>
      <c r="D2861" t="s">
        <v>7169</v>
      </c>
      <c r="E2861" t="s">
        <v>7170</v>
      </c>
      <c r="F2861" t="s">
        <v>7158</v>
      </c>
      <c r="G2861" t="s">
        <v>4447</v>
      </c>
    </row>
    <row r="2862" spans="1:7" x14ac:dyDescent="0.25">
      <c r="A2862">
        <v>5277</v>
      </c>
      <c r="B2862">
        <v>910</v>
      </c>
      <c r="C2862" t="s">
        <v>898</v>
      </c>
      <c r="D2862" t="s">
        <v>7171</v>
      </c>
      <c r="E2862" t="s">
        <v>7172</v>
      </c>
      <c r="F2862" t="s">
        <v>7173</v>
      </c>
      <c r="G2862" t="s">
        <v>4441</v>
      </c>
    </row>
    <row r="2863" spans="1:7" x14ac:dyDescent="0.25">
      <c r="A2863">
        <v>5278</v>
      </c>
      <c r="B2863">
        <v>911</v>
      </c>
      <c r="C2863" t="s">
        <v>898</v>
      </c>
      <c r="D2863" t="s">
        <v>1219</v>
      </c>
      <c r="E2863" t="s">
        <v>7174</v>
      </c>
      <c r="F2863" t="s">
        <v>7175</v>
      </c>
      <c r="G2863" t="s">
        <v>919</v>
      </c>
    </row>
    <row r="2864" spans="1:7" x14ac:dyDescent="0.25">
      <c r="A2864">
        <v>5279</v>
      </c>
      <c r="B2864">
        <v>911</v>
      </c>
      <c r="C2864" t="s">
        <v>898</v>
      </c>
      <c r="D2864" t="s">
        <v>7176</v>
      </c>
      <c r="E2864" t="s">
        <v>7177</v>
      </c>
      <c r="F2864" t="s">
        <v>7175</v>
      </c>
      <c r="G2864" t="s">
        <v>2758</v>
      </c>
    </row>
    <row r="2865" spans="1:7" x14ac:dyDescent="0.25">
      <c r="A2865">
        <v>5280</v>
      </c>
      <c r="B2865">
        <v>911</v>
      </c>
      <c r="C2865" t="s">
        <v>898</v>
      </c>
      <c r="D2865" t="s">
        <v>7178</v>
      </c>
      <c r="E2865" t="s">
        <v>7179</v>
      </c>
      <c r="F2865" t="s">
        <v>7175</v>
      </c>
      <c r="G2865" t="s">
        <v>4447</v>
      </c>
    </row>
    <row r="2866" spans="1:7" x14ac:dyDescent="0.25">
      <c r="A2866">
        <v>5281</v>
      </c>
      <c r="B2866">
        <v>911</v>
      </c>
      <c r="C2866" t="s">
        <v>898</v>
      </c>
      <c r="D2866" t="s">
        <v>7180</v>
      </c>
      <c r="E2866" t="s">
        <v>7181</v>
      </c>
      <c r="F2866" t="s">
        <v>7175</v>
      </c>
      <c r="G2866" t="s">
        <v>1262</v>
      </c>
    </row>
    <row r="2867" spans="1:7" x14ac:dyDescent="0.25">
      <c r="A2867">
        <v>5282</v>
      </c>
      <c r="B2867">
        <v>911</v>
      </c>
      <c r="C2867" t="s">
        <v>898</v>
      </c>
      <c r="D2867" t="s">
        <v>7182</v>
      </c>
      <c r="E2867" t="s">
        <v>7183</v>
      </c>
      <c r="F2867" t="s">
        <v>7175</v>
      </c>
      <c r="G2867" t="s">
        <v>4441</v>
      </c>
    </row>
    <row r="2868" spans="1:7" x14ac:dyDescent="0.25">
      <c r="A2868">
        <v>5283</v>
      </c>
      <c r="B2868">
        <v>911</v>
      </c>
      <c r="C2868" t="s">
        <v>898</v>
      </c>
      <c r="D2868" t="s">
        <v>7184</v>
      </c>
      <c r="E2868" t="s">
        <v>7185</v>
      </c>
      <c r="F2868" t="s">
        <v>7175</v>
      </c>
      <c r="G2868" t="s">
        <v>4441</v>
      </c>
    </row>
    <row r="2869" spans="1:7" x14ac:dyDescent="0.25">
      <c r="A2869">
        <v>5284</v>
      </c>
      <c r="B2869">
        <v>911</v>
      </c>
      <c r="C2869" t="s">
        <v>898</v>
      </c>
      <c r="D2869" t="s">
        <v>7186</v>
      </c>
      <c r="E2869" t="s">
        <v>7187</v>
      </c>
      <c r="F2869" t="s">
        <v>7175</v>
      </c>
      <c r="G2869" t="s">
        <v>4441</v>
      </c>
    </row>
    <row r="2870" spans="1:7" x14ac:dyDescent="0.25">
      <c r="A2870">
        <v>5285</v>
      </c>
      <c r="B2870">
        <v>911</v>
      </c>
      <c r="C2870" t="s">
        <v>898</v>
      </c>
      <c r="D2870" t="s">
        <v>4822</v>
      </c>
      <c r="E2870" t="s">
        <v>7188</v>
      </c>
      <c r="F2870" t="s">
        <v>7175</v>
      </c>
      <c r="G2870" t="s">
        <v>4440</v>
      </c>
    </row>
    <row r="2871" spans="1:7" x14ac:dyDescent="0.25">
      <c r="A2871">
        <v>5286</v>
      </c>
      <c r="B2871">
        <v>911</v>
      </c>
      <c r="C2871" t="s">
        <v>898</v>
      </c>
      <c r="D2871" t="s">
        <v>5836</v>
      </c>
      <c r="E2871" t="s">
        <v>7189</v>
      </c>
      <c r="F2871" t="s">
        <v>7175</v>
      </c>
      <c r="G2871" t="s">
        <v>4440</v>
      </c>
    </row>
    <row r="2872" spans="1:7" x14ac:dyDescent="0.25">
      <c r="A2872">
        <v>5290</v>
      </c>
      <c r="B2872">
        <v>109</v>
      </c>
      <c r="C2872" t="s">
        <v>1188</v>
      </c>
      <c r="D2872" t="s">
        <v>7190</v>
      </c>
      <c r="F2872" t="s">
        <v>1198</v>
      </c>
      <c r="G2872" t="s">
        <v>4447</v>
      </c>
    </row>
    <row r="2873" spans="1:7" x14ac:dyDescent="0.25">
      <c r="A2873">
        <v>5291</v>
      </c>
      <c r="B2873">
        <v>109</v>
      </c>
      <c r="C2873" t="s">
        <v>1188</v>
      </c>
      <c r="D2873" t="s">
        <v>7191</v>
      </c>
      <c r="F2873" t="s">
        <v>1198</v>
      </c>
      <c r="G2873" t="s">
        <v>1262</v>
      </c>
    </row>
    <row r="2874" spans="1:7" x14ac:dyDescent="0.25">
      <c r="A2874">
        <v>5292</v>
      </c>
      <c r="B2874">
        <v>109</v>
      </c>
      <c r="C2874" t="s">
        <v>1188</v>
      </c>
      <c r="D2874" t="s">
        <v>7192</v>
      </c>
      <c r="F2874" t="s">
        <v>1198</v>
      </c>
      <c r="G2874" t="s">
        <v>4440</v>
      </c>
    </row>
    <row r="2875" spans="1:7" x14ac:dyDescent="0.25">
      <c r="A2875">
        <v>5293</v>
      </c>
      <c r="B2875">
        <v>109</v>
      </c>
      <c r="C2875" t="s">
        <v>1188</v>
      </c>
      <c r="D2875" t="s">
        <v>7193</v>
      </c>
      <c r="F2875" t="s">
        <v>1198</v>
      </c>
      <c r="G2875" t="s">
        <v>4441</v>
      </c>
    </row>
    <row r="2876" spans="1:7" x14ac:dyDescent="0.25">
      <c r="A2876">
        <v>5294</v>
      </c>
      <c r="B2876">
        <v>109</v>
      </c>
      <c r="C2876" t="s">
        <v>1188</v>
      </c>
      <c r="D2876" t="s">
        <v>7194</v>
      </c>
      <c r="F2876" t="s">
        <v>1198</v>
      </c>
      <c r="G2876" t="s">
        <v>4445</v>
      </c>
    </row>
    <row r="2877" spans="1:7" x14ac:dyDescent="0.25">
      <c r="A2877">
        <v>5295</v>
      </c>
      <c r="B2877">
        <v>109</v>
      </c>
      <c r="C2877" t="s">
        <v>1188</v>
      </c>
      <c r="D2877" t="s">
        <v>7195</v>
      </c>
      <c r="F2877" t="s">
        <v>1198</v>
      </c>
      <c r="G2877" t="s">
        <v>4451</v>
      </c>
    </row>
    <row r="2878" spans="1:7" x14ac:dyDescent="0.25">
      <c r="A2878">
        <v>5296</v>
      </c>
      <c r="B2878">
        <v>917</v>
      </c>
      <c r="C2878" t="s">
        <v>1188</v>
      </c>
      <c r="D2878" t="s">
        <v>5241</v>
      </c>
      <c r="F2878" t="s">
        <v>7196</v>
      </c>
      <c r="G2878" t="s">
        <v>4442</v>
      </c>
    </row>
    <row r="2879" spans="1:7" x14ac:dyDescent="0.25">
      <c r="A2879">
        <v>5297</v>
      </c>
      <c r="B2879">
        <v>917</v>
      </c>
      <c r="C2879" t="s">
        <v>1188</v>
      </c>
      <c r="D2879" t="s">
        <v>7197</v>
      </c>
      <c r="F2879" t="s">
        <v>7196</v>
      </c>
      <c r="G2879" t="s">
        <v>4447</v>
      </c>
    </row>
    <row r="2880" spans="1:7" x14ac:dyDescent="0.25">
      <c r="A2880">
        <v>5298</v>
      </c>
      <c r="B2880">
        <v>917</v>
      </c>
      <c r="C2880" t="s">
        <v>1188</v>
      </c>
      <c r="D2880" t="s">
        <v>1921</v>
      </c>
      <c r="F2880" t="s">
        <v>7196</v>
      </c>
      <c r="G2880" t="s">
        <v>919</v>
      </c>
    </row>
    <row r="2881" spans="1:7" x14ac:dyDescent="0.25">
      <c r="A2881">
        <v>5299</v>
      </c>
      <c r="B2881">
        <v>917</v>
      </c>
      <c r="C2881" t="s">
        <v>1188</v>
      </c>
      <c r="D2881" t="s">
        <v>7198</v>
      </c>
      <c r="F2881" t="s">
        <v>7196</v>
      </c>
      <c r="G2881" t="s">
        <v>1670</v>
      </c>
    </row>
    <row r="2882" spans="1:7" x14ac:dyDescent="0.25">
      <c r="A2882">
        <v>5300</v>
      </c>
      <c r="B2882">
        <v>917</v>
      </c>
      <c r="C2882" t="s">
        <v>1188</v>
      </c>
      <c r="D2882" t="s">
        <v>1189</v>
      </c>
      <c r="F2882" t="s">
        <v>7196</v>
      </c>
      <c r="G2882" t="s">
        <v>4444</v>
      </c>
    </row>
    <row r="2883" spans="1:7" x14ac:dyDescent="0.25">
      <c r="A2883">
        <v>5301</v>
      </c>
      <c r="B2883">
        <v>917</v>
      </c>
      <c r="C2883" t="s">
        <v>1188</v>
      </c>
      <c r="D2883" t="s">
        <v>1917</v>
      </c>
      <c r="F2883" t="s">
        <v>7196</v>
      </c>
      <c r="G2883" t="s">
        <v>4440</v>
      </c>
    </row>
    <row r="2884" spans="1:7" x14ac:dyDescent="0.25">
      <c r="A2884">
        <v>5302</v>
      </c>
      <c r="B2884">
        <v>917</v>
      </c>
      <c r="C2884" t="s">
        <v>1188</v>
      </c>
      <c r="D2884" t="s">
        <v>1205</v>
      </c>
      <c r="F2884" t="s">
        <v>7196</v>
      </c>
      <c r="G2884" t="s">
        <v>4441</v>
      </c>
    </row>
    <row r="2885" spans="1:7" x14ac:dyDescent="0.25">
      <c r="A2885">
        <v>5303</v>
      </c>
      <c r="B2885">
        <v>917</v>
      </c>
      <c r="C2885" t="s">
        <v>1188</v>
      </c>
      <c r="D2885" t="s">
        <v>7199</v>
      </c>
      <c r="F2885" t="s">
        <v>7196</v>
      </c>
      <c r="G2885" t="s">
        <v>4445</v>
      </c>
    </row>
    <row r="2886" spans="1:7" x14ac:dyDescent="0.25">
      <c r="A2886">
        <v>5304</v>
      </c>
      <c r="B2886">
        <v>921</v>
      </c>
      <c r="C2886" t="s">
        <v>1188</v>
      </c>
      <c r="D2886" t="s">
        <v>1917</v>
      </c>
      <c r="G2886" t="s">
        <v>4440</v>
      </c>
    </row>
    <row r="2887" spans="1:7" x14ac:dyDescent="0.25">
      <c r="A2887">
        <v>5305</v>
      </c>
      <c r="B2887">
        <v>922</v>
      </c>
      <c r="C2887" t="s">
        <v>1188</v>
      </c>
      <c r="D2887" t="s">
        <v>5241</v>
      </c>
      <c r="F2887" t="s">
        <v>7200</v>
      </c>
      <c r="G2887" t="s">
        <v>4442</v>
      </c>
    </row>
    <row r="2888" spans="1:7" x14ac:dyDescent="0.25">
      <c r="A2888">
        <v>5306</v>
      </c>
      <c r="B2888">
        <v>922</v>
      </c>
      <c r="C2888" t="s">
        <v>1188</v>
      </c>
      <c r="D2888" t="s">
        <v>7201</v>
      </c>
      <c r="F2888" t="s">
        <v>7200</v>
      </c>
      <c r="G2888" t="s">
        <v>4447</v>
      </c>
    </row>
    <row r="2889" spans="1:7" x14ac:dyDescent="0.25">
      <c r="A2889">
        <v>5307</v>
      </c>
      <c r="B2889">
        <v>922</v>
      </c>
      <c r="C2889" t="s">
        <v>1188</v>
      </c>
      <c r="D2889" t="s">
        <v>1729</v>
      </c>
      <c r="F2889" t="s">
        <v>7200</v>
      </c>
      <c r="G2889" t="s">
        <v>4447</v>
      </c>
    </row>
    <row r="2890" spans="1:7" x14ac:dyDescent="0.25">
      <c r="A2890">
        <v>5308</v>
      </c>
      <c r="B2890">
        <v>922</v>
      </c>
      <c r="C2890" t="s">
        <v>1188</v>
      </c>
      <c r="D2890" t="s">
        <v>1921</v>
      </c>
      <c r="F2890" t="s">
        <v>7200</v>
      </c>
      <c r="G2890" t="s">
        <v>919</v>
      </c>
    </row>
    <row r="2891" spans="1:7" x14ac:dyDescent="0.25">
      <c r="A2891">
        <v>5309</v>
      </c>
      <c r="B2891">
        <v>922</v>
      </c>
      <c r="C2891" t="s">
        <v>1188</v>
      </c>
      <c r="D2891" t="s">
        <v>1189</v>
      </c>
      <c r="F2891" t="s">
        <v>7200</v>
      </c>
      <c r="G2891" t="s">
        <v>4444</v>
      </c>
    </row>
    <row r="2892" spans="1:7" x14ac:dyDescent="0.25">
      <c r="A2892">
        <v>5310</v>
      </c>
      <c r="B2892">
        <v>922</v>
      </c>
      <c r="C2892" t="s">
        <v>1188</v>
      </c>
      <c r="D2892" t="s">
        <v>7202</v>
      </c>
      <c r="F2892" t="s">
        <v>7200</v>
      </c>
      <c r="G2892" t="s">
        <v>2758</v>
      </c>
    </row>
    <row r="2893" spans="1:7" x14ac:dyDescent="0.25">
      <c r="A2893">
        <v>5311</v>
      </c>
      <c r="B2893">
        <v>922</v>
      </c>
      <c r="C2893" t="s">
        <v>1188</v>
      </c>
      <c r="D2893" t="s">
        <v>1917</v>
      </c>
      <c r="F2893" t="s">
        <v>7203</v>
      </c>
      <c r="G2893" t="s">
        <v>4440</v>
      </c>
    </row>
    <row r="2894" spans="1:7" x14ac:dyDescent="0.25">
      <c r="A2894">
        <v>5312</v>
      </c>
      <c r="B2894">
        <v>923</v>
      </c>
      <c r="C2894" t="s">
        <v>1188</v>
      </c>
      <c r="D2894" t="s">
        <v>7204</v>
      </c>
      <c r="F2894" t="s">
        <v>7205</v>
      </c>
    </row>
    <row r="2895" spans="1:7" x14ac:dyDescent="0.25">
      <c r="A2895">
        <v>5313</v>
      </c>
      <c r="B2895">
        <v>923</v>
      </c>
      <c r="C2895" t="s">
        <v>1188</v>
      </c>
      <c r="D2895" t="s">
        <v>5246</v>
      </c>
      <c r="F2895" t="s">
        <v>7205</v>
      </c>
      <c r="G2895" t="s">
        <v>4442</v>
      </c>
    </row>
    <row r="2896" spans="1:7" x14ac:dyDescent="0.25">
      <c r="A2896">
        <v>5314</v>
      </c>
      <c r="B2896">
        <v>923</v>
      </c>
      <c r="C2896" t="s">
        <v>1188</v>
      </c>
      <c r="D2896" t="s">
        <v>7206</v>
      </c>
      <c r="F2896" t="s">
        <v>7205</v>
      </c>
      <c r="G2896" t="s">
        <v>4447</v>
      </c>
    </row>
    <row r="2897" spans="1:7" x14ac:dyDescent="0.25">
      <c r="A2897">
        <v>5315</v>
      </c>
      <c r="B2897">
        <v>923</v>
      </c>
      <c r="C2897" t="s">
        <v>1188</v>
      </c>
      <c r="D2897" t="s">
        <v>7207</v>
      </c>
      <c r="F2897" t="s">
        <v>7205</v>
      </c>
      <c r="G2897" t="s">
        <v>4447</v>
      </c>
    </row>
    <row r="2898" spans="1:7" x14ac:dyDescent="0.25">
      <c r="A2898">
        <v>5316</v>
      </c>
      <c r="B2898">
        <v>923</v>
      </c>
      <c r="C2898" t="s">
        <v>1188</v>
      </c>
      <c r="D2898" t="s">
        <v>5251</v>
      </c>
      <c r="F2898" t="s">
        <v>7205</v>
      </c>
    </row>
    <row r="2899" spans="1:7" x14ac:dyDescent="0.25">
      <c r="A2899">
        <v>5317</v>
      </c>
      <c r="B2899">
        <v>923</v>
      </c>
      <c r="C2899" t="s">
        <v>1188</v>
      </c>
      <c r="D2899" t="s">
        <v>1882</v>
      </c>
      <c r="F2899" t="s">
        <v>7205</v>
      </c>
      <c r="G2899" t="s">
        <v>4440</v>
      </c>
    </row>
    <row r="2900" spans="1:7" x14ac:dyDescent="0.25">
      <c r="A2900">
        <v>5324</v>
      </c>
      <c r="B2900">
        <v>926</v>
      </c>
      <c r="C2900" t="s">
        <v>1188</v>
      </c>
      <c r="D2900" t="s">
        <v>5182</v>
      </c>
      <c r="F2900" t="s">
        <v>7208</v>
      </c>
      <c r="G2900" t="s">
        <v>4442</v>
      </c>
    </row>
    <row r="2901" spans="1:7" x14ac:dyDescent="0.25">
      <c r="A2901">
        <v>5325</v>
      </c>
      <c r="B2901">
        <v>926</v>
      </c>
      <c r="C2901" t="s">
        <v>1188</v>
      </c>
      <c r="D2901" t="s">
        <v>7209</v>
      </c>
      <c r="F2901" t="s">
        <v>7208</v>
      </c>
      <c r="G2901" t="s">
        <v>4447</v>
      </c>
    </row>
    <row r="2902" spans="1:7" x14ac:dyDescent="0.25">
      <c r="A2902">
        <v>5326</v>
      </c>
      <c r="B2902">
        <v>926</v>
      </c>
      <c r="C2902" t="s">
        <v>1188</v>
      </c>
      <c r="D2902" t="s">
        <v>1921</v>
      </c>
      <c r="F2902" t="s">
        <v>7208</v>
      </c>
      <c r="G2902" t="s">
        <v>919</v>
      </c>
    </row>
    <row r="2903" spans="1:7" x14ac:dyDescent="0.25">
      <c r="A2903">
        <v>5327</v>
      </c>
      <c r="B2903">
        <v>926</v>
      </c>
      <c r="C2903" t="s">
        <v>1188</v>
      </c>
      <c r="D2903" t="s">
        <v>7198</v>
      </c>
      <c r="F2903" t="s">
        <v>7208</v>
      </c>
      <c r="G2903" t="s">
        <v>1670</v>
      </c>
    </row>
    <row r="2904" spans="1:7" x14ac:dyDescent="0.25">
      <c r="A2904">
        <v>5328</v>
      </c>
      <c r="B2904">
        <v>926</v>
      </c>
      <c r="C2904" t="s">
        <v>1188</v>
      </c>
      <c r="D2904" t="s">
        <v>1189</v>
      </c>
      <c r="F2904" t="s">
        <v>7208</v>
      </c>
      <c r="G2904" t="s">
        <v>4444</v>
      </c>
    </row>
    <row r="2905" spans="1:7" x14ac:dyDescent="0.25">
      <c r="A2905">
        <v>5329</v>
      </c>
      <c r="B2905">
        <v>926</v>
      </c>
      <c r="C2905" t="s">
        <v>1188</v>
      </c>
      <c r="D2905" t="s">
        <v>7210</v>
      </c>
      <c r="F2905" t="s">
        <v>7208</v>
      </c>
    </row>
    <row r="2906" spans="1:7" x14ac:dyDescent="0.25">
      <c r="A2906">
        <v>5330</v>
      </c>
      <c r="B2906">
        <v>926</v>
      </c>
      <c r="C2906" t="s">
        <v>1188</v>
      </c>
      <c r="D2906" t="s">
        <v>7211</v>
      </c>
      <c r="F2906" t="s">
        <v>7208</v>
      </c>
      <c r="G2906" t="s">
        <v>4451</v>
      </c>
    </row>
    <row r="2907" spans="1:7" x14ac:dyDescent="0.25">
      <c r="A2907">
        <v>5352</v>
      </c>
      <c r="B2907">
        <v>710</v>
      </c>
      <c r="C2907" t="s">
        <v>1188</v>
      </c>
      <c r="D2907" t="s">
        <v>7212</v>
      </c>
      <c r="F2907" t="s">
        <v>5262</v>
      </c>
      <c r="G2907" t="s">
        <v>919</v>
      </c>
    </row>
    <row r="2908" spans="1:7" x14ac:dyDescent="0.25">
      <c r="A2908">
        <v>5353</v>
      </c>
      <c r="B2908">
        <v>710</v>
      </c>
      <c r="C2908" t="s">
        <v>1188</v>
      </c>
      <c r="D2908" t="s">
        <v>7213</v>
      </c>
      <c r="F2908" t="s">
        <v>5262</v>
      </c>
      <c r="G2908" t="s">
        <v>4444</v>
      </c>
    </row>
    <row r="2909" spans="1:7" x14ac:dyDescent="0.25">
      <c r="A2909">
        <v>5354</v>
      </c>
      <c r="B2909">
        <v>710</v>
      </c>
      <c r="C2909" t="s">
        <v>1188</v>
      </c>
      <c r="D2909" t="s">
        <v>7214</v>
      </c>
      <c r="F2909" t="s">
        <v>5262</v>
      </c>
      <c r="G2909" t="s">
        <v>4447</v>
      </c>
    </row>
    <row r="2910" spans="1:7" x14ac:dyDescent="0.25">
      <c r="A2910">
        <v>5356</v>
      </c>
      <c r="B2910">
        <v>817</v>
      </c>
      <c r="C2910" t="s">
        <v>1188</v>
      </c>
      <c r="D2910" t="s">
        <v>7215</v>
      </c>
      <c r="F2910" t="s">
        <v>7216</v>
      </c>
      <c r="G2910" t="s">
        <v>919</v>
      </c>
    </row>
    <row r="2911" spans="1:7" x14ac:dyDescent="0.25">
      <c r="A2911">
        <v>5357</v>
      </c>
      <c r="B2911">
        <v>929</v>
      </c>
      <c r="C2911" t="s">
        <v>898</v>
      </c>
      <c r="D2911" t="s">
        <v>2664</v>
      </c>
      <c r="F2911" t="s">
        <v>7217</v>
      </c>
      <c r="G2911" t="s">
        <v>2758</v>
      </c>
    </row>
    <row r="2912" spans="1:7" x14ac:dyDescent="0.25">
      <c r="A2912">
        <v>5358</v>
      </c>
      <c r="B2912">
        <v>929</v>
      </c>
      <c r="C2912" t="s">
        <v>898</v>
      </c>
      <c r="D2912" t="s">
        <v>1820</v>
      </c>
      <c r="F2912" t="s">
        <v>7217</v>
      </c>
      <c r="G2912" t="s">
        <v>4450</v>
      </c>
    </row>
    <row r="2913" spans="1:7" x14ac:dyDescent="0.25">
      <c r="A2913">
        <v>5359</v>
      </c>
      <c r="B2913">
        <v>929</v>
      </c>
      <c r="C2913" t="s">
        <v>898</v>
      </c>
      <c r="D2913" t="s">
        <v>5054</v>
      </c>
      <c r="F2913" t="s">
        <v>7217</v>
      </c>
      <c r="G2913" t="s">
        <v>4441</v>
      </c>
    </row>
    <row r="2914" spans="1:7" x14ac:dyDescent="0.25">
      <c r="A2914">
        <v>5360</v>
      </c>
      <c r="B2914">
        <v>897</v>
      </c>
      <c r="C2914" t="s">
        <v>898</v>
      </c>
      <c r="D2914" t="s">
        <v>7218</v>
      </c>
      <c r="F2914" t="s">
        <v>7009</v>
      </c>
      <c r="G2914" t="s">
        <v>4448</v>
      </c>
    </row>
    <row r="2915" spans="1:7" x14ac:dyDescent="0.25">
      <c r="A2915">
        <v>5361</v>
      </c>
      <c r="B2915">
        <v>897</v>
      </c>
      <c r="C2915" t="s">
        <v>898</v>
      </c>
      <c r="D2915" t="s">
        <v>7219</v>
      </c>
      <c r="F2915" t="s">
        <v>7009</v>
      </c>
    </row>
    <row r="2916" spans="1:7" x14ac:dyDescent="0.25">
      <c r="A2916">
        <v>5362</v>
      </c>
      <c r="B2916">
        <v>897</v>
      </c>
      <c r="C2916" t="s">
        <v>898</v>
      </c>
      <c r="D2916" t="s">
        <v>7127</v>
      </c>
      <c r="F2916" t="s">
        <v>7009</v>
      </c>
      <c r="G2916" t="s">
        <v>4447</v>
      </c>
    </row>
    <row r="2917" spans="1:7" x14ac:dyDescent="0.25">
      <c r="A2917">
        <v>5363</v>
      </c>
      <c r="B2917">
        <v>897</v>
      </c>
      <c r="C2917" t="s">
        <v>898</v>
      </c>
      <c r="D2917" t="s">
        <v>7220</v>
      </c>
      <c r="F2917" t="s">
        <v>7009</v>
      </c>
      <c r="G2917" t="s">
        <v>4449</v>
      </c>
    </row>
    <row r="2918" spans="1:7" x14ac:dyDescent="0.25">
      <c r="A2918">
        <v>5364</v>
      </c>
      <c r="B2918">
        <v>675</v>
      </c>
      <c r="C2918" t="s">
        <v>898</v>
      </c>
      <c r="D2918" t="s">
        <v>5822</v>
      </c>
      <c r="F2918" t="s">
        <v>5091</v>
      </c>
      <c r="G2918" t="s">
        <v>4448</v>
      </c>
    </row>
    <row r="2919" spans="1:7" x14ac:dyDescent="0.25">
      <c r="A2919">
        <v>5365</v>
      </c>
      <c r="B2919">
        <v>675</v>
      </c>
      <c r="C2919" t="s">
        <v>898</v>
      </c>
      <c r="D2919" t="s">
        <v>7221</v>
      </c>
      <c r="F2919" t="s">
        <v>5091</v>
      </c>
      <c r="G2919" t="s">
        <v>4442</v>
      </c>
    </row>
    <row r="2920" spans="1:7" x14ac:dyDescent="0.25">
      <c r="A2920">
        <v>5366</v>
      </c>
      <c r="B2920">
        <v>675</v>
      </c>
      <c r="C2920" t="s">
        <v>898</v>
      </c>
      <c r="D2920" t="s">
        <v>1925</v>
      </c>
      <c r="F2920" t="s">
        <v>5091</v>
      </c>
      <c r="G2920" t="s">
        <v>4442</v>
      </c>
    </row>
    <row r="2921" spans="1:7" x14ac:dyDescent="0.25">
      <c r="A2921">
        <v>5367</v>
      </c>
      <c r="B2921">
        <v>675</v>
      </c>
      <c r="C2921" t="s">
        <v>898</v>
      </c>
      <c r="D2921" t="s">
        <v>5806</v>
      </c>
      <c r="F2921" t="s">
        <v>5091</v>
      </c>
      <c r="G2921" t="s">
        <v>4447</v>
      </c>
    </row>
    <row r="2922" spans="1:7" x14ac:dyDescent="0.25">
      <c r="A2922">
        <v>5368</v>
      </c>
      <c r="B2922">
        <v>675</v>
      </c>
      <c r="C2922" t="s">
        <v>898</v>
      </c>
      <c r="D2922" t="s">
        <v>7222</v>
      </c>
      <c r="F2922" t="s">
        <v>5095</v>
      </c>
      <c r="G2922" t="s">
        <v>2756</v>
      </c>
    </row>
    <row r="2923" spans="1:7" x14ac:dyDescent="0.25">
      <c r="A2923">
        <v>5369</v>
      </c>
      <c r="B2923">
        <v>675</v>
      </c>
      <c r="C2923" t="s">
        <v>898</v>
      </c>
      <c r="D2923" t="s">
        <v>7223</v>
      </c>
      <c r="F2923" t="s">
        <v>5099</v>
      </c>
    </row>
    <row r="2924" spans="1:7" x14ac:dyDescent="0.25">
      <c r="A2924">
        <v>5370</v>
      </c>
      <c r="B2924">
        <v>930</v>
      </c>
      <c r="C2924" t="s">
        <v>898</v>
      </c>
      <c r="D2924" t="s">
        <v>1973</v>
      </c>
      <c r="F2924" t="s">
        <v>7224</v>
      </c>
      <c r="G2924" t="s">
        <v>919</v>
      </c>
    </row>
    <row r="2925" spans="1:7" x14ac:dyDescent="0.25">
      <c r="A2925">
        <v>5387</v>
      </c>
      <c r="B2925">
        <v>24</v>
      </c>
      <c r="C2925" t="s">
        <v>894</v>
      </c>
      <c r="D2925" t="s">
        <v>7225</v>
      </c>
      <c r="E2925" t="s">
        <v>7226</v>
      </c>
      <c r="F2925" t="s">
        <v>6203</v>
      </c>
    </row>
    <row r="2926" spans="1:7" x14ac:dyDescent="0.25">
      <c r="A2926">
        <v>5388</v>
      </c>
      <c r="B2926">
        <v>103</v>
      </c>
      <c r="C2926" t="s">
        <v>898</v>
      </c>
      <c r="D2926" t="s">
        <v>7227</v>
      </c>
      <c r="E2926" t="s">
        <v>7228</v>
      </c>
      <c r="F2926" t="s">
        <v>7229</v>
      </c>
      <c r="G2926" t="s">
        <v>4446</v>
      </c>
    </row>
    <row r="2927" spans="1:7" x14ac:dyDescent="0.25">
      <c r="A2927">
        <v>5389</v>
      </c>
      <c r="B2927">
        <v>873</v>
      </c>
      <c r="C2927" t="s">
        <v>898</v>
      </c>
      <c r="D2927" t="s">
        <v>7230</v>
      </c>
      <c r="E2927" t="s">
        <v>7231</v>
      </c>
      <c r="F2927" t="s">
        <v>7232</v>
      </c>
    </row>
    <row r="2928" spans="1:7" x14ac:dyDescent="0.25">
      <c r="A2928">
        <v>5390</v>
      </c>
      <c r="B2928">
        <v>932</v>
      </c>
      <c r="C2928" t="s">
        <v>898</v>
      </c>
      <c r="D2928" t="s">
        <v>7233</v>
      </c>
      <c r="F2928" t="s">
        <v>7234</v>
      </c>
      <c r="G2928" t="s">
        <v>4441</v>
      </c>
    </row>
    <row r="2929" spans="1:8" x14ac:dyDescent="0.25">
      <c r="A2929">
        <v>5391</v>
      </c>
      <c r="B2929">
        <v>932</v>
      </c>
      <c r="C2929" t="s">
        <v>898</v>
      </c>
      <c r="D2929" t="s">
        <v>7235</v>
      </c>
      <c r="F2929" t="s">
        <v>7236</v>
      </c>
      <c r="G2929" t="s">
        <v>4445</v>
      </c>
    </row>
    <row r="2930" spans="1:8" x14ac:dyDescent="0.25">
      <c r="A2930">
        <v>5392</v>
      </c>
      <c r="B2930">
        <v>932</v>
      </c>
      <c r="C2930" t="s">
        <v>898</v>
      </c>
      <c r="D2930" t="s">
        <v>1479</v>
      </c>
      <c r="F2930" t="s">
        <v>7237</v>
      </c>
      <c r="G2930" t="s">
        <v>2758</v>
      </c>
    </row>
    <row r="2931" spans="1:8" x14ac:dyDescent="0.25">
      <c r="A2931">
        <v>5393</v>
      </c>
      <c r="B2931">
        <v>932</v>
      </c>
      <c r="C2931" t="s">
        <v>898</v>
      </c>
      <c r="D2931" t="s">
        <v>5836</v>
      </c>
      <c r="F2931" t="s">
        <v>7238</v>
      </c>
      <c r="G2931" t="s">
        <v>4440</v>
      </c>
    </row>
    <row r="2932" spans="1:8" x14ac:dyDescent="0.25">
      <c r="A2932">
        <v>5394</v>
      </c>
      <c r="B2932">
        <v>932</v>
      </c>
      <c r="C2932" t="s">
        <v>898</v>
      </c>
      <c r="D2932" t="s">
        <v>2710</v>
      </c>
      <c r="F2932" t="s">
        <v>7239</v>
      </c>
      <c r="G2932" t="s">
        <v>4444</v>
      </c>
    </row>
    <row r="2933" spans="1:8" x14ac:dyDescent="0.25">
      <c r="A2933">
        <v>5395</v>
      </c>
      <c r="B2933">
        <v>932</v>
      </c>
      <c r="C2933" t="s">
        <v>898</v>
      </c>
      <c r="D2933" t="s">
        <v>7240</v>
      </c>
      <c r="F2933" t="s">
        <v>7241</v>
      </c>
      <c r="G2933" t="s">
        <v>919</v>
      </c>
    </row>
    <row r="2934" spans="1:8" x14ac:dyDescent="0.25">
      <c r="A2934">
        <v>5396</v>
      </c>
      <c r="B2934">
        <v>932</v>
      </c>
      <c r="C2934" t="s">
        <v>898</v>
      </c>
      <c r="D2934" t="s">
        <v>1230</v>
      </c>
      <c r="F2934" t="s">
        <v>7242</v>
      </c>
      <c r="G2934" t="s">
        <v>4443</v>
      </c>
    </row>
    <row r="2935" spans="1:8" x14ac:dyDescent="0.25">
      <c r="A2935">
        <v>5397</v>
      </c>
      <c r="B2935">
        <v>932</v>
      </c>
      <c r="C2935" t="s">
        <v>898</v>
      </c>
      <c r="D2935" t="s">
        <v>7243</v>
      </c>
      <c r="F2935" t="s">
        <v>7244</v>
      </c>
      <c r="G2935" t="s">
        <v>4442</v>
      </c>
    </row>
    <row r="2936" spans="1:8" x14ac:dyDescent="0.25">
      <c r="A2936">
        <v>5398</v>
      </c>
      <c r="B2936">
        <v>932</v>
      </c>
      <c r="C2936" t="s">
        <v>898</v>
      </c>
      <c r="D2936" t="s">
        <v>7245</v>
      </c>
      <c r="F2936" t="s">
        <v>7246</v>
      </c>
      <c r="G2936" t="s">
        <v>4440</v>
      </c>
    </row>
    <row r="2937" spans="1:8" x14ac:dyDescent="0.25">
      <c r="A2937">
        <v>5399</v>
      </c>
      <c r="B2937">
        <v>932</v>
      </c>
      <c r="C2937" t="s">
        <v>898</v>
      </c>
      <c r="D2937" t="s">
        <v>5054</v>
      </c>
      <c r="F2937" t="s">
        <v>7247</v>
      </c>
      <c r="G2937" t="s">
        <v>4441</v>
      </c>
    </row>
    <row r="2938" spans="1:8" x14ac:dyDescent="0.25">
      <c r="A2938">
        <v>5400</v>
      </c>
      <c r="B2938">
        <v>932</v>
      </c>
      <c r="C2938" t="s">
        <v>898</v>
      </c>
      <c r="D2938" t="s">
        <v>7248</v>
      </c>
      <c r="F2938" t="s">
        <v>7249</v>
      </c>
    </row>
    <row r="2939" spans="1:8" x14ac:dyDescent="0.25">
      <c r="A2939">
        <v>5401</v>
      </c>
      <c r="B2939">
        <v>576</v>
      </c>
      <c r="C2939" t="s">
        <v>898</v>
      </c>
      <c r="D2939" t="s">
        <v>7250</v>
      </c>
      <c r="E2939" t="s">
        <v>7251</v>
      </c>
      <c r="F2939" t="s">
        <v>7252</v>
      </c>
      <c r="G2939" t="s">
        <v>1309</v>
      </c>
      <c r="H2939">
        <v>4</v>
      </c>
    </row>
    <row r="2940" spans="1:8" x14ac:dyDescent="0.25">
      <c r="A2940">
        <v>99500</v>
      </c>
      <c r="B2940">
        <v>28</v>
      </c>
      <c r="C2940" t="s">
        <v>894</v>
      </c>
      <c r="D2940" t="s">
        <v>7253</v>
      </c>
      <c r="E2940" t="s">
        <v>7254</v>
      </c>
      <c r="F2940" t="s">
        <v>7255</v>
      </c>
      <c r="G2940" t="s">
        <v>4453</v>
      </c>
      <c r="H2940">
        <v>5</v>
      </c>
    </row>
    <row r="2941" spans="1:8" x14ac:dyDescent="0.25">
      <c r="A2941">
        <v>99998</v>
      </c>
      <c r="B2941">
        <v>106</v>
      </c>
      <c r="C2941" t="s">
        <v>898</v>
      </c>
      <c r="D2941" t="s">
        <v>7256</v>
      </c>
      <c r="E2941" t="s">
        <v>7254</v>
      </c>
      <c r="F2941" t="s">
        <v>7257</v>
      </c>
      <c r="G2941" t="s">
        <v>4440</v>
      </c>
    </row>
    <row r="2942" spans="1:8" x14ac:dyDescent="0.25">
      <c r="A2942">
        <v>99999</v>
      </c>
      <c r="B2942">
        <v>467</v>
      </c>
      <c r="C2942" t="s">
        <v>898</v>
      </c>
      <c r="D2942" t="s">
        <v>7258</v>
      </c>
      <c r="E2942" t="s">
        <v>7259</v>
      </c>
      <c r="F2942" t="s">
        <v>7260</v>
      </c>
      <c r="G2942" t="s">
        <v>919</v>
      </c>
      <c r="H2942">
        <v>720</v>
      </c>
    </row>
  </sheetData>
  <autoFilter ref="A1:H2942" xr:uid="{3CA68774-FE9B-4D7A-B6A3-A52A2441EAF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86324-3FAE-4542-8DDD-A6FD1DBB2133}">
  <dimension ref="A1:B36"/>
  <sheetViews>
    <sheetView workbookViewId="0">
      <selection activeCell="B33" sqref="B33"/>
    </sheetView>
  </sheetViews>
  <sheetFormatPr defaultRowHeight="15" x14ac:dyDescent="0.25"/>
  <cols>
    <col min="1" max="1" width="20" customWidth="1"/>
    <col min="2" max="2" width="84.42578125" customWidth="1"/>
  </cols>
  <sheetData>
    <row r="1" spans="1:2" x14ac:dyDescent="0.25">
      <c r="A1" t="s">
        <v>4440</v>
      </c>
      <c r="B1" t="s">
        <v>4466</v>
      </c>
    </row>
    <row r="2" spans="1:2" x14ac:dyDescent="0.25">
      <c r="A2" t="s">
        <v>1262</v>
      </c>
      <c r="B2" t="s">
        <v>4467</v>
      </c>
    </row>
    <row r="3" spans="1:2" x14ac:dyDescent="0.25">
      <c r="A3" t="s">
        <v>4447</v>
      </c>
      <c r="B3" t="s">
        <v>4468</v>
      </c>
    </row>
    <row r="4" spans="1:2" x14ac:dyDescent="0.25">
      <c r="A4" t="s">
        <v>4460</v>
      </c>
      <c r="B4" t="s">
        <v>4469</v>
      </c>
    </row>
    <row r="5" spans="1:2" x14ac:dyDescent="0.25">
      <c r="A5" t="s">
        <v>4442</v>
      </c>
      <c r="B5" t="s">
        <v>4470</v>
      </c>
    </row>
    <row r="6" spans="1:2" x14ac:dyDescent="0.25">
      <c r="A6" t="s">
        <v>4464</v>
      </c>
      <c r="B6" t="s">
        <v>4471</v>
      </c>
    </row>
    <row r="7" spans="1:2" x14ac:dyDescent="0.25">
      <c r="A7" t="s">
        <v>4446</v>
      </c>
      <c r="B7" t="s">
        <v>4472</v>
      </c>
    </row>
    <row r="8" spans="1:2" x14ac:dyDescent="0.25">
      <c r="A8" t="s">
        <v>1670</v>
      </c>
      <c r="B8" t="s">
        <v>4473</v>
      </c>
    </row>
    <row r="9" spans="1:2" x14ac:dyDescent="0.25">
      <c r="A9" t="s">
        <v>4461</v>
      </c>
      <c r="B9" t="s">
        <v>4474</v>
      </c>
    </row>
    <row r="10" spans="1:2" x14ac:dyDescent="0.25">
      <c r="A10" t="s">
        <v>4451</v>
      </c>
      <c r="B10" t="s">
        <v>4475</v>
      </c>
    </row>
    <row r="11" spans="1:2" x14ac:dyDescent="0.25">
      <c r="A11" t="s">
        <v>4449</v>
      </c>
      <c r="B11" t="s">
        <v>4476</v>
      </c>
    </row>
    <row r="12" spans="1:2" x14ac:dyDescent="0.25">
      <c r="A12" t="s">
        <v>4457</v>
      </c>
      <c r="B12" t="s">
        <v>4477</v>
      </c>
    </row>
    <row r="13" spans="1:2" x14ac:dyDescent="0.25">
      <c r="A13" t="s">
        <v>4445</v>
      </c>
      <c r="B13" t="s">
        <v>4478</v>
      </c>
    </row>
    <row r="14" spans="1:2" x14ac:dyDescent="0.25">
      <c r="A14" t="s">
        <v>6092</v>
      </c>
      <c r="B14" t="s">
        <v>7261</v>
      </c>
    </row>
    <row r="15" spans="1:2" x14ac:dyDescent="0.25">
      <c r="A15" t="s">
        <v>4459</v>
      </c>
      <c r="B15" t="s">
        <v>4479</v>
      </c>
    </row>
    <row r="16" spans="1:2" x14ac:dyDescent="0.25">
      <c r="A16" t="s">
        <v>4456</v>
      </c>
      <c r="B16" t="s">
        <v>4480</v>
      </c>
    </row>
    <row r="17" spans="1:2" x14ac:dyDescent="0.25">
      <c r="A17" t="s">
        <v>4450</v>
      </c>
      <c r="B17" t="s">
        <v>4481</v>
      </c>
    </row>
    <row r="18" spans="1:2" x14ac:dyDescent="0.25">
      <c r="A18" t="s">
        <v>2758</v>
      </c>
      <c r="B18" t="s">
        <v>4482</v>
      </c>
    </row>
    <row r="19" spans="1:2" x14ac:dyDescent="0.25">
      <c r="A19" t="s">
        <v>4448</v>
      </c>
      <c r="B19" t="s">
        <v>4483</v>
      </c>
    </row>
    <row r="20" spans="1:2" x14ac:dyDescent="0.25">
      <c r="A20" t="s">
        <v>4443</v>
      </c>
      <c r="B20" t="s">
        <v>4484</v>
      </c>
    </row>
    <row r="21" spans="1:2" x14ac:dyDescent="0.25">
      <c r="A21" t="s">
        <v>1457</v>
      </c>
      <c r="B21" t="s">
        <v>4485</v>
      </c>
    </row>
    <row r="22" spans="1:2" x14ac:dyDescent="0.25">
      <c r="A22" t="s">
        <v>1125</v>
      </c>
      <c r="B22" t="s">
        <v>4486</v>
      </c>
    </row>
    <row r="23" spans="1:2" x14ac:dyDescent="0.25">
      <c r="A23" t="s">
        <v>1309</v>
      </c>
      <c r="B23" t="s">
        <v>4487</v>
      </c>
    </row>
    <row r="24" spans="1:2" x14ac:dyDescent="0.25">
      <c r="A24" t="s">
        <v>1084</v>
      </c>
      <c r="B24" t="s">
        <v>4488</v>
      </c>
    </row>
    <row r="25" spans="1:2" x14ac:dyDescent="0.25">
      <c r="A25" t="s">
        <v>4453</v>
      </c>
      <c r="B25" t="s">
        <v>4489</v>
      </c>
    </row>
    <row r="26" spans="1:2" x14ac:dyDescent="0.25">
      <c r="A26" t="s">
        <v>4458</v>
      </c>
      <c r="B26" t="s">
        <v>4490</v>
      </c>
    </row>
    <row r="27" spans="1:2" x14ac:dyDescent="0.25">
      <c r="A27" t="s">
        <v>919</v>
      </c>
      <c r="B27" t="s">
        <v>4491</v>
      </c>
    </row>
    <row r="28" spans="1:2" x14ac:dyDescent="0.25">
      <c r="A28" t="s">
        <v>4454</v>
      </c>
      <c r="B28" t="s">
        <v>4492</v>
      </c>
    </row>
    <row r="29" spans="1:2" x14ac:dyDescent="0.25">
      <c r="A29" t="s">
        <v>4455</v>
      </c>
      <c r="B29" t="s">
        <v>4493</v>
      </c>
    </row>
    <row r="30" spans="1:2" x14ac:dyDescent="0.25">
      <c r="A30" t="s">
        <v>4444</v>
      </c>
      <c r="B30" t="s">
        <v>4494</v>
      </c>
    </row>
    <row r="31" spans="1:2" x14ac:dyDescent="0.25">
      <c r="A31" t="s">
        <v>4463</v>
      </c>
      <c r="B31" t="s">
        <v>4495</v>
      </c>
    </row>
    <row r="32" spans="1:2" x14ac:dyDescent="0.25">
      <c r="A32" s="3" t="s">
        <v>2756</v>
      </c>
      <c r="B32" s="3" t="s">
        <v>4496</v>
      </c>
    </row>
    <row r="33" spans="1:2" x14ac:dyDescent="0.25">
      <c r="A33" t="s">
        <v>4462</v>
      </c>
      <c r="B33" t="s">
        <v>4497</v>
      </c>
    </row>
    <row r="34" spans="1:2" x14ac:dyDescent="0.25">
      <c r="A34" t="s">
        <v>4452</v>
      </c>
      <c r="B34" t="s">
        <v>4498</v>
      </c>
    </row>
    <row r="35" spans="1:2" x14ac:dyDescent="0.25">
      <c r="A35" t="s">
        <v>4441</v>
      </c>
      <c r="B35" t="s">
        <v>4499</v>
      </c>
    </row>
    <row r="36" spans="1:2" x14ac:dyDescent="0.25">
      <c r="A36" s="3" t="s">
        <v>2755</v>
      </c>
      <c r="B36" s="3" t="s">
        <v>4500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5B5E0-FFD2-49C6-A257-1F882D07C3B0}">
  <dimension ref="A1:F6865"/>
  <sheetViews>
    <sheetView workbookViewId="0">
      <pane ySplit="1" topLeftCell="A94" activePane="bottomLeft" state="frozen"/>
      <selection pane="bottomLeft" activeCell="D1" sqref="D1"/>
    </sheetView>
  </sheetViews>
  <sheetFormatPr defaultRowHeight="15" x14ac:dyDescent="0.25"/>
  <cols>
    <col min="4" max="4" width="50.85546875" customWidth="1"/>
    <col min="5" max="5" width="29.42578125" customWidth="1"/>
    <col min="6" max="6" width="15" customWidth="1"/>
  </cols>
  <sheetData>
    <row r="1" spans="1:6" x14ac:dyDescent="0.25">
      <c r="A1" s="2" t="s">
        <v>887</v>
      </c>
      <c r="B1" s="2" t="s">
        <v>4067</v>
      </c>
      <c r="C1" s="2" t="s">
        <v>4068</v>
      </c>
      <c r="D1" s="2" t="s">
        <v>4069</v>
      </c>
      <c r="E1" s="2" t="s">
        <v>4070</v>
      </c>
      <c r="F1" s="2" t="s">
        <v>4071</v>
      </c>
    </row>
    <row r="2" spans="1:6" x14ac:dyDescent="0.25">
      <c r="A2">
        <v>11</v>
      </c>
      <c r="B2" t="s">
        <v>4072</v>
      </c>
      <c r="C2">
        <v>6</v>
      </c>
      <c r="D2" t="s">
        <v>4073</v>
      </c>
      <c r="E2" t="s">
        <v>4074</v>
      </c>
      <c r="F2" t="s">
        <v>4075</v>
      </c>
    </row>
    <row r="3" spans="1:6" x14ac:dyDescent="0.25">
      <c r="A3">
        <v>11</v>
      </c>
      <c r="B3" t="s">
        <v>4072</v>
      </c>
      <c r="C3">
        <v>19</v>
      </c>
      <c r="D3" t="s">
        <v>4073</v>
      </c>
      <c r="E3" t="s">
        <v>4074</v>
      </c>
      <c r="F3" t="s">
        <v>4076</v>
      </c>
    </row>
    <row r="4" spans="1:6" x14ac:dyDescent="0.25">
      <c r="A4">
        <v>14</v>
      </c>
      <c r="B4" t="s">
        <v>4072</v>
      </c>
      <c r="C4">
        <v>4</v>
      </c>
      <c r="D4" t="s">
        <v>4077</v>
      </c>
      <c r="E4" t="s">
        <v>4078</v>
      </c>
      <c r="F4" t="s">
        <v>4075</v>
      </c>
    </row>
    <row r="5" spans="1:6" x14ac:dyDescent="0.25">
      <c r="A5">
        <v>14</v>
      </c>
      <c r="B5" t="s">
        <v>4072</v>
      </c>
      <c r="C5">
        <v>16</v>
      </c>
      <c r="D5" t="s">
        <v>4077</v>
      </c>
      <c r="E5" t="s">
        <v>4078</v>
      </c>
      <c r="F5" t="s">
        <v>4076</v>
      </c>
    </row>
    <row r="6" spans="1:6" x14ac:dyDescent="0.25">
      <c r="A6">
        <v>14</v>
      </c>
      <c r="B6" t="s">
        <v>4072</v>
      </c>
      <c r="C6">
        <v>44</v>
      </c>
      <c r="D6" t="s">
        <v>4077</v>
      </c>
      <c r="E6" t="s">
        <v>4078</v>
      </c>
      <c r="F6" t="s">
        <v>4079</v>
      </c>
    </row>
    <row r="7" spans="1:6" x14ac:dyDescent="0.25">
      <c r="A7">
        <v>19</v>
      </c>
      <c r="B7" t="s">
        <v>4072</v>
      </c>
      <c r="C7">
        <v>15</v>
      </c>
      <c r="D7" t="s">
        <v>4080</v>
      </c>
      <c r="E7" t="s">
        <v>4081</v>
      </c>
      <c r="F7" t="s">
        <v>4076</v>
      </c>
    </row>
    <row r="8" spans="1:6" x14ac:dyDescent="0.25">
      <c r="A8">
        <v>19</v>
      </c>
      <c r="B8" t="s">
        <v>4072</v>
      </c>
      <c r="C8">
        <v>40</v>
      </c>
      <c r="D8" t="s">
        <v>4080</v>
      </c>
      <c r="E8" t="s">
        <v>4081</v>
      </c>
      <c r="F8" t="s">
        <v>4079</v>
      </c>
    </row>
    <row r="9" spans="1:6" x14ac:dyDescent="0.25">
      <c r="A9">
        <v>22</v>
      </c>
      <c r="B9" t="s">
        <v>4072</v>
      </c>
      <c r="C9">
        <v>4</v>
      </c>
      <c r="D9" t="s">
        <v>4077</v>
      </c>
      <c r="E9" t="s">
        <v>4078</v>
      </c>
      <c r="F9" t="s">
        <v>4075</v>
      </c>
    </row>
    <row r="10" spans="1:6" x14ac:dyDescent="0.25">
      <c r="A10">
        <v>22</v>
      </c>
      <c r="B10" t="s">
        <v>4072</v>
      </c>
      <c r="C10">
        <v>16</v>
      </c>
      <c r="D10" t="s">
        <v>4077</v>
      </c>
      <c r="E10" t="s">
        <v>4078</v>
      </c>
      <c r="F10" t="s">
        <v>4076</v>
      </c>
    </row>
    <row r="11" spans="1:6" x14ac:dyDescent="0.25">
      <c r="A11">
        <v>22</v>
      </c>
      <c r="B11" t="s">
        <v>4072</v>
      </c>
      <c r="C11">
        <v>44</v>
      </c>
      <c r="D11" t="s">
        <v>4077</v>
      </c>
      <c r="E11" t="s">
        <v>4078</v>
      </c>
      <c r="F11" t="s">
        <v>4079</v>
      </c>
    </row>
    <row r="12" spans="1:6" x14ac:dyDescent="0.25">
      <c r="A12">
        <v>25</v>
      </c>
      <c r="B12" t="s">
        <v>4072</v>
      </c>
      <c r="C12">
        <v>2</v>
      </c>
      <c r="D12" t="s">
        <v>4082</v>
      </c>
      <c r="E12" t="s">
        <v>4083</v>
      </c>
      <c r="F12" t="s">
        <v>4075</v>
      </c>
    </row>
    <row r="13" spans="1:6" x14ac:dyDescent="0.25">
      <c r="A13">
        <v>25</v>
      </c>
      <c r="B13" t="s">
        <v>4072</v>
      </c>
      <c r="C13">
        <v>17</v>
      </c>
      <c r="D13" t="s">
        <v>4082</v>
      </c>
      <c r="E13" t="s">
        <v>4084</v>
      </c>
      <c r="F13" t="s">
        <v>4076</v>
      </c>
    </row>
    <row r="14" spans="1:6" x14ac:dyDescent="0.25">
      <c r="A14">
        <v>25</v>
      </c>
      <c r="B14" t="s">
        <v>4072</v>
      </c>
      <c r="C14">
        <v>42</v>
      </c>
      <c r="D14" t="s">
        <v>4082</v>
      </c>
      <c r="E14" t="s">
        <v>4083</v>
      </c>
      <c r="F14" t="s">
        <v>4079</v>
      </c>
    </row>
    <row r="15" spans="1:6" x14ac:dyDescent="0.25">
      <c r="A15">
        <v>30</v>
      </c>
      <c r="B15" t="s">
        <v>4072</v>
      </c>
      <c r="C15">
        <v>6</v>
      </c>
      <c r="D15" t="s">
        <v>4073</v>
      </c>
      <c r="E15" t="s">
        <v>4074</v>
      </c>
      <c r="F15" t="s">
        <v>4075</v>
      </c>
    </row>
    <row r="16" spans="1:6" x14ac:dyDescent="0.25">
      <c r="A16">
        <v>33</v>
      </c>
      <c r="B16" t="s">
        <v>4072</v>
      </c>
      <c r="C16">
        <v>3</v>
      </c>
      <c r="D16" t="s">
        <v>4085</v>
      </c>
      <c r="E16" t="s">
        <v>4086</v>
      </c>
      <c r="F16" t="s">
        <v>4075</v>
      </c>
    </row>
    <row r="17" spans="1:6" x14ac:dyDescent="0.25">
      <c r="A17">
        <v>33</v>
      </c>
      <c r="B17" t="s">
        <v>4072</v>
      </c>
      <c r="C17">
        <v>15</v>
      </c>
      <c r="D17" t="s">
        <v>4080</v>
      </c>
      <c r="E17" t="s">
        <v>4081</v>
      </c>
      <c r="F17" t="s">
        <v>4076</v>
      </c>
    </row>
    <row r="18" spans="1:6" x14ac:dyDescent="0.25">
      <c r="A18">
        <v>36</v>
      </c>
      <c r="B18" t="s">
        <v>4072</v>
      </c>
      <c r="C18">
        <v>4</v>
      </c>
      <c r="D18" t="s">
        <v>4077</v>
      </c>
      <c r="E18" t="s">
        <v>4078</v>
      </c>
      <c r="F18" t="s">
        <v>4075</v>
      </c>
    </row>
    <row r="19" spans="1:6" x14ac:dyDescent="0.25">
      <c r="A19">
        <v>36</v>
      </c>
      <c r="B19" t="s">
        <v>4072</v>
      </c>
      <c r="C19">
        <v>16</v>
      </c>
      <c r="D19" t="s">
        <v>4077</v>
      </c>
      <c r="E19" t="s">
        <v>4078</v>
      </c>
      <c r="F19" t="s">
        <v>4076</v>
      </c>
    </row>
    <row r="20" spans="1:6" x14ac:dyDescent="0.25">
      <c r="A20">
        <v>37</v>
      </c>
      <c r="B20" t="s">
        <v>4072</v>
      </c>
      <c r="C20">
        <v>3</v>
      </c>
      <c r="D20" t="s">
        <v>4085</v>
      </c>
      <c r="E20" t="s">
        <v>4086</v>
      </c>
      <c r="F20" t="s">
        <v>4075</v>
      </c>
    </row>
    <row r="21" spans="1:6" x14ac:dyDescent="0.25">
      <c r="A21">
        <v>37</v>
      </c>
      <c r="B21" t="s">
        <v>4072</v>
      </c>
      <c r="C21">
        <v>15</v>
      </c>
      <c r="D21" t="s">
        <v>4080</v>
      </c>
      <c r="E21" t="s">
        <v>4081</v>
      </c>
      <c r="F21" t="s">
        <v>4076</v>
      </c>
    </row>
    <row r="22" spans="1:6" x14ac:dyDescent="0.25">
      <c r="A22">
        <v>40</v>
      </c>
      <c r="B22" t="s">
        <v>4072</v>
      </c>
      <c r="C22">
        <v>4</v>
      </c>
      <c r="D22" t="s">
        <v>4077</v>
      </c>
      <c r="E22" t="s">
        <v>4078</v>
      </c>
      <c r="F22" t="s">
        <v>4075</v>
      </c>
    </row>
    <row r="23" spans="1:6" x14ac:dyDescent="0.25">
      <c r="A23">
        <v>40</v>
      </c>
      <c r="B23" t="s">
        <v>4072</v>
      </c>
      <c r="C23">
        <v>16</v>
      </c>
      <c r="D23" t="s">
        <v>4077</v>
      </c>
      <c r="E23" t="s">
        <v>4078</v>
      </c>
      <c r="F23" t="s">
        <v>4076</v>
      </c>
    </row>
    <row r="24" spans="1:6" x14ac:dyDescent="0.25">
      <c r="A24">
        <v>44</v>
      </c>
      <c r="B24" t="s">
        <v>4072</v>
      </c>
      <c r="C24">
        <v>3</v>
      </c>
      <c r="D24" t="s">
        <v>4085</v>
      </c>
      <c r="E24" t="s">
        <v>4086</v>
      </c>
      <c r="F24" t="s">
        <v>4075</v>
      </c>
    </row>
    <row r="25" spans="1:6" x14ac:dyDescent="0.25">
      <c r="A25">
        <v>45</v>
      </c>
      <c r="B25" t="s">
        <v>4072</v>
      </c>
      <c r="C25">
        <v>5</v>
      </c>
      <c r="D25" t="s">
        <v>4087</v>
      </c>
      <c r="E25" t="s">
        <v>4088</v>
      </c>
      <c r="F25" t="s">
        <v>4075</v>
      </c>
    </row>
    <row r="26" spans="1:6" x14ac:dyDescent="0.25">
      <c r="A26">
        <v>50</v>
      </c>
      <c r="B26" t="s">
        <v>4072</v>
      </c>
      <c r="C26">
        <v>6</v>
      </c>
      <c r="D26" t="s">
        <v>4073</v>
      </c>
      <c r="E26" t="s">
        <v>4074</v>
      </c>
      <c r="F26" t="s">
        <v>4075</v>
      </c>
    </row>
    <row r="27" spans="1:6" x14ac:dyDescent="0.25">
      <c r="A27">
        <v>51</v>
      </c>
      <c r="B27" t="s">
        <v>4072</v>
      </c>
      <c r="C27">
        <v>1</v>
      </c>
      <c r="D27" t="s">
        <v>2761</v>
      </c>
      <c r="E27" t="s">
        <v>4089</v>
      </c>
      <c r="F27" t="s">
        <v>4075</v>
      </c>
    </row>
    <row r="28" spans="1:6" x14ac:dyDescent="0.25">
      <c r="A28">
        <v>51</v>
      </c>
      <c r="B28" t="s">
        <v>4072</v>
      </c>
      <c r="C28">
        <v>2</v>
      </c>
      <c r="D28" t="s">
        <v>4082</v>
      </c>
      <c r="E28" t="s">
        <v>4083</v>
      </c>
      <c r="F28" t="s">
        <v>4075</v>
      </c>
    </row>
    <row r="29" spans="1:6" x14ac:dyDescent="0.25">
      <c r="A29">
        <v>53</v>
      </c>
      <c r="B29" t="s">
        <v>4072</v>
      </c>
      <c r="C29">
        <v>3</v>
      </c>
      <c r="D29" t="s">
        <v>4085</v>
      </c>
      <c r="E29" t="s">
        <v>4086</v>
      </c>
      <c r="F29" t="s">
        <v>4075</v>
      </c>
    </row>
    <row r="30" spans="1:6" x14ac:dyDescent="0.25">
      <c r="A30">
        <v>53</v>
      </c>
      <c r="B30" t="s">
        <v>4072</v>
      </c>
      <c r="C30">
        <v>15</v>
      </c>
      <c r="D30" t="s">
        <v>4080</v>
      </c>
      <c r="E30" t="s">
        <v>4081</v>
      </c>
      <c r="F30" t="s">
        <v>4076</v>
      </c>
    </row>
    <row r="31" spans="1:6" x14ac:dyDescent="0.25">
      <c r="A31">
        <v>54</v>
      </c>
      <c r="B31" t="s">
        <v>4072</v>
      </c>
      <c r="C31">
        <v>5</v>
      </c>
      <c r="D31" t="s">
        <v>4087</v>
      </c>
      <c r="E31" t="s">
        <v>4088</v>
      </c>
      <c r="F31" t="s">
        <v>4075</v>
      </c>
    </row>
    <row r="32" spans="1:6" x14ac:dyDescent="0.25">
      <c r="A32">
        <v>54</v>
      </c>
      <c r="B32" t="s">
        <v>4072</v>
      </c>
      <c r="C32">
        <v>15</v>
      </c>
      <c r="D32" t="s">
        <v>4080</v>
      </c>
      <c r="E32" t="s">
        <v>4081</v>
      </c>
      <c r="F32" t="s">
        <v>4076</v>
      </c>
    </row>
    <row r="33" spans="1:6" x14ac:dyDescent="0.25">
      <c r="A33">
        <v>55</v>
      </c>
      <c r="B33" t="s">
        <v>4072</v>
      </c>
      <c r="C33">
        <v>4</v>
      </c>
      <c r="D33" t="s">
        <v>4077</v>
      </c>
      <c r="E33" t="s">
        <v>4078</v>
      </c>
      <c r="F33" t="s">
        <v>4075</v>
      </c>
    </row>
    <row r="34" spans="1:6" x14ac:dyDescent="0.25">
      <c r="A34">
        <v>55</v>
      </c>
      <c r="B34" t="s">
        <v>4072</v>
      </c>
      <c r="C34">
        <v>16</v>
      </c>
      <c r="D34" t="s">
        <v>4077</v>
      </c>
      <c r="E34" t="s">
        <v>4078</v>
      </c>
      <c r="F34" t="s">
        <v>4076</v>
      </c>
    </row>
    <row r="35" spans="1:6" x14ac:dyDescent="0.25">
      <c r="A35">
        <v>56</v>
      </c>
      <c r="B35" t="s">
        <v>4072</v>
      </c>
      <c r="C35">
        <v>3</v>
      </c>
      <c r="D35" t="s">
        <v>4085</v>
      </c>
      <c r="E35" t="s">
        <v>4086</v>
      </c>
      <c r="F35" t="s">
        <v>4075</v>
      </c>
    </row>
    <row r="36" spans="1:6" x14ac:dyDescent="0.25">
      <c r="A36">
        <v>56</v>
      </c>
      <c r="B36" t="s">
        <v>4072</v>
      </c>
      <c r="C36">
        <v>15</v>
      </c>
      <c r="D36" t="s">
        <v>4080</v>
      </c>
      <c r="E36" t="s">
        <v>4081</v>
      </c>
      <c r="F36" t="s">
        <v>4076</v>
      </c>
    </row>
    <row r="37" spans="1:6" x14ac:dyDescent="0.25">
      <c r="A37">
        <v>56</v>
      </c>
      <c r="B37" t="s">
        <v>4072</v>
      </c>
      <c r="C37">
        <v>40</v>
      </c>
      <c r="D37" t="s">
        <v>4080</v>
      </c>
      <c r="E37" t="s">
        <v>4081</v>
      </c>
      <c r="F37" t="s">
        <v>4079</v>
      </c>
    </row>
    <row r="38" spans="1:6" x14ac:dyDescent="0.25">
      <c r="A38">
        <v>57</v>
      </c>
      <c r="B38" t="s">
        <v>4072</v>
      </c>
      <c r="C38">
        <v>4</v>
      </c>
      <c r="D38" t="s">
        <v>4077</v>
      </c>
      <c r="E38" t="s">
        <v>4078</v>
      </c>
      <c r="F38" t="s">
        <v>4075</v>
      </c>
    </row>
    <row r="39" spans="1:6" x14ac:dyDescent="0.25">
      <c r="A39">
        <v>57</v>
      </c>
      <c r="B39" t="s">
        <v>4072</v>
      </c>
      <c r="C39">
        <v>16</v>
      </c>
      <c r="D39" t="s">
        <v>4077</v>
      </c>
      <c r="E39" t="s">
        <v>4078</v>
      </c>
      <c r="F39" t="s">
        <v>4076</v>
      </c>
    </row>
    <row r="40" spans="1:6" x14ac:dyDescent="0.25">
      <c r="A40">
        <v>57</v>
      </c>
      <c r="B40" t="s">
        <v>4072</v>
      </c>
      <c r="C40">
        <v>44</v>
      </c>
      <c r="D40" t="s">
        <v>4077</v>
      </c>
      <c r="E40" t="s">
        <v>4078</v>
      </c>
      <c r="F40" t="s">
        <v>4079</v>
      </c>
    </row>
    <row r="41" spans="1:6" x14ac:dyDescent="0.25">
      <c r="A41">
        <v>58</v>
      </c>
      <c r="B41" t="s">
        <v>4072</v>
      </c>
      <c r="C41">
        <v>3</v>
      </c>
      <c r="D41" t="s">
        <v>4085</v>
      </c>
      <c r="E41" t="s">
        <v>4086</v>
      </c>
      <c r="F41" t="s">
        <v>4075</v>
      </c>
    </row>
    <row r="42" spans="1:6" x14ac:dyDescent="0.25">
      <c r="A42">
        <v>58</v>
      </c>
      <c r="B42" t="s">
        <v>4072</v>
      </c>
      <c r="C42">
        <v>15</v>
      </c>
      <c r="D42" t="s">
        <v>4080</v>
      </c>
      <c r="E42" t="s">
        <v>4081</v>
      </c>
      <c r="F42" t="s">
        <v>4076</v>
      </c>
    </row>
    <row r="43" spans="1:6" x14ac:dyDescent="0.25">
      <c r="A43">
        <v>58</v>
      </c>
      <c r="B43" t="s">
        <v>4072</v>
      </c>
      <c r="C43">
        <v>40</v>
      </c>
      <c r="D43" t="s">
        <v>4080</v>
      </c>
      <c r="E43" t="s">
        <v>4081</v>
      </c>
      <c r="F43" t="s">
        <v>4079</v>
      </c>
    </row>
    <row r="44" spans="1:6" x14ac:dyDescent="0.25">
      <c r="A44">
        <v>59</v>
      </c>
      <c r="B44" t="s">
        <v>4072</v>
      </c>
      <c r="C44">
        <v>5</v>
      </c>
      <c r="D44" t="s">
        <v>4087</v>
      </c>
      <c r="E44" t="s">
        <v>4088</v>
      </c>
      <c r="F44" t="s">
        <v>4075</v>
      </c>
    </row>
    <row r="45" spans="1:6" x14ac:dyDescent="0.25">
      <c r="A45">
        <v>59</v>
      </c>
      <c r="B45" t="s">
        <v>4072</v>
      </c>
      <c r="C45">
        <v>15</v>
      </c>
      <c r="D45" t="s">
        <v>4080</v>
      </c>
      <c r="E45" t="s">
        <v>4081</v>
      </c>
      <c r="F45" t="s">
        <v>4076</v>
      </c>
    </row>
    <row r="46" spans="1:6" x14ac:dyDescent="0.25">
      <c r="A46">
        <v>59</v>
      </c>
      <c r="B46" t="s">
        <v>4072</v>
      </c>
      <c r="C46">
        <v>40</v>
      </c>
      <c r="D46" t="s">
        <v>4080</v>
      </c>
      <c r="E46" t="s">
        <v>4081</v>
      </c>
      <c r="F46" t="s">
        <v>4079</v>
      </c>
    </row>
    <row r="47" spans="1:6" x14ac:dyDescent="0.25">
      <c r="A47">
        <v>60</v>
      </c>
      <c r="B47" t="s">
        <v>4072</v>
      </c>
      <c r="C47">
        <v>4</v>
      </c>
      <c r="D47" t="s">
        <v>4077</v>
      </c>
      <c r="E47" t="s">
        <v>4078</v>
      </c>
      <c r="F47" t="s">
        <v>4075</v>
      </c>
    </row>
    <row r="48" spans="1:6" x14ac:dyDescent="0.25">
      <c r="A48">
        <v>60</v>
      </c>
      <c r="B48" t="s">
        <v>4072</v>
      </c>
      <c r="C48">
        <v>16</v>
      </c>
      <c r="D48" t="s">
        <v>4077</v>
      </c>
      <c r="E48" t="s">
        <v>4078</v>
      </c>
      <c r="F48" t="s">
        <v>4076</v>
      </c>
    </row>
    <row r="49" spans="1:6" x14ac:dyDescent="0.25">
      <c r="A49">
        <v>60</v>
      </c>
      <c r="B49" t="s">
        <v>4072</v>
      </c>
      <c r="C49">
        <v>44</v>
      </c>
      <c r="D49" t="s">
        <v>4077</v>
      </c>
      <c r="E49" t="s">
        <v>4078</v>
      </c>
      <c r="F49" t="s">
        <v>4079</v>
      </c>
    </row>
    <row r="50" spans="1:6" x14ac:dyDescent="0.25">
      <c r="A50">
        <v>71</v>
      </c>
      <c r="B50" t="s">
        <v>4072</v>
      </c>
      <c r="C50">
        <v>6</v>
      </c>
      <c r="D50" t="s">
        <v>4073</v>
      </c>
      <c r="E50" t="s">
        <v>4074</v>
      </c>
      <c r="F50" t="s">
        <v>4075</v>
      </c>
    </row>
    <row r="51" spans="1:6" x14ac:dyDescent="0.25">
      <c r="A51">
        <v>71</v>
      </c>
      <c r="B51" t="s">
        <v>4072</v>
      </c>
      <c r="C51">
        <v>19</v>
      </c>
      <c r="D51" t="s">
        <v>4073</v>
      </c>
      <c r="E51" t="s">
        <v>4074</v>
      </c>
      <c r="F51" t="s">
        <v>4076</v>
      </c>
    </row>
    <row r="52" spans="1:6" x14ac:dyDescent="0.25">
      <c r="A52">
        <v>72</v>
      </c>
      <c r="B52" t="s">
        <v>4072</v>
      </c>
      <c r="C52">
        <v>2</v>
      </c>
      <c r="D52" t="s">
        <v>4082</v>
      </c>
      <c r="E52" t="s">
        <v>4083</v>
      </c>
      <c r="F52" t="s">
        <v>4075</v>
      </c>
    </row>
    <row r="53" spans="1:6" x14ac:dyDescent="0.25">
      <c r="A53">
        <v>72</v>
      </c>
      <c r="B53" t="s">
        <v>4072</v>
      </c>
      <c r="C53">
        <v>17</v>
      </c>
      <c r="D53" t="s">
        <v>4082</v>
      </c>
      <c r="E53" t="s">
        <v>4084</v>
      </c>
      <c r="F53" t="s">
        <v>4076</v>
      </c>
    </row>
    <row r="54" spans="1:6" x14ac:dyDescent="0.25">
      <c r="A54">
        <v>72</v>
      </c>
      <c r="B54" t="s">
        <v>4072</v>
      </c>
      <c r="C54">
        <v>42</v>
      </c>
      <c r="D54" t="s">
        <v>4082</v>
      </c>
      <c r="E54" t="s">
        <v>4083</v>
      </c>
      <c r="F54" t="s">
        <v>4079</v>
      </c>
    </row>
    <row r="55" spans="1:6" x14ac:dyDescent="0.25">
      <c r="A55">
        <v>81</v>
      </c>
      <c r="B55" t="s">
        <v>4072</v>
      </c>
      <c r="C55">
        <v>6</v>
      </c>
      <c r="D55" t="s">
        <v>4073</v>
      </c>
      <c r="E55" t="s">
        <v>4074</v>
      </c>
      <c r="F55" t="s">
        <v>4075</v>
      </c>
    </row>
    <row r="56" spans="1:6" x14ac:dyDescent="0.25">
      <c r="A56">
        <v>81</v>
      </c>
      <c r="B56" t="s">
        <v>4072</v>
      </c>
      <c r="C56">
        <v>19</v>
      </c>
      <c r="D56" t="s">
        <v>4073</v>
      </c>
      <c r="E56" t="s">
        <v>4074</v>
      </c>
      <c r="F56" t="s">
        <v>4076</v>
      </c>
    </row>
    <row r="57" spans="1:6" x14ac:dyDescent="0.25">
      <c r="A57">
        <v>84</v>
      </c>
      <c r="B57" t="s">
        <v>4072</v>
      </c>
      <c r="C57">
        <v>3</v>
      </c>
      <c r="D57" t="s">
        <v>4085</v>
      </c>
      <c r="E57" t="s">
        <v>4086</v>
      </c>
      <c r="F57" t="s">
        <v>4075</v>
      </c>
    </row>
    <row r="58" spans="1:6" x14ac:dyDescent="0.25">
      <c r="A58">
        <v>84</v>
      </c>
      <c r="B58" t="s">
        <v>4072</v>
      </c>
      <c r="C58">
        <v>15</v>
      </c>
      <c r="D58" t="s">
        <v>4080</v>
      </c>
      <c r="E58" t="s">
        <v>4081</v>
      </c>
      <c r="F58" t="s">
        <v>4076</v>
      </c>
    </row>
    <row r="59" spans="1:6" x14ac:dyDescent="0.25">
      <c r="A59">
        <v>84</v>
      </c>
      <c r="B59" t="s">
        <v>4072</v>
      </c>
      <c r="C59">
        <v>40</v>
      </c>
      <c r="D59" t="s">
        <v>4080</v>
      </c>
      <c r="E59" t="s">
        <v>4081</v>
      </c>
      <c r="F59" t="s">
        <v>4079</v>
      </c>
    </row>
    <row r="60" spans="1:6" x14ac:dyDescent="0.25">
      <c r="A60">
        <v>85</v>
      </c>
      <c r="B60" t="s">
        <v>4072</v>
      </c>
      <c r="C60">
        <v>5</v>
      </c>
      <c r="D60" t="s">
        <v>4087</v>
      </c>
      <c r="E60" t="s">
        <v>4088</v>
      </c>
      <c r="F60" t="s">
        <v>4075</v>
      </c>
    </row>
    <row r="61" spans="1:6" x14ac:dyDescent="0.25">
      <c r="A61">
        <v>85</v>
      </c>
      <c r="B61" t="s">
        <v>4072</v>
      </c>
      <c r="C61">
        <v>15</v>
      </c>
      <c r="D61" t="s">
        <v>4080</v>
      </c>
      <c r="E61" t="s">
        <v>4081</v>
      </c>
      <c r="F61" t="s">
        <v>4076</v>
      </c>
    </row>
    <row r="62" spans="1:6" x14ac:dyDescent="0.25">
      <c r="A62">
        <v>85</v>
      </c>
      <c r="B62" t="s">
        <v>4072</v>
      </c>
      <c r="C62">
        <v>40</v>
      </c>
      <c r="D62" t="s">
        <v>4080</v>
      </c>
      <c r="E62" t="s">
        <v>4081</v>
      </c>
      <c r="F62" t="s">
        <v>4079</v>
      </c>
    </row>
    <row r="63" spans="1:6" x14ac:dyDescent="0.25">
      <c r="A63">
        <v>86</v>
      </c>
      <c r="B63" t="s">
        <v>4072</v>
      </c>
      <c r="C63">
        <v>5</v>
      </c>
      <c r="D63" t="s">
        <v>4087</v>
      </c>
      <c r="E63" t="s">
        <v>4088</v>
      </c>
      <c r="F63" t="s">
        <v>4075</v>
      </c>
    </row>
    <row r="64" spans="1:6" x14ac:dyDescent="0.25">
      <c r="A64">
        <v>86</v>
      </c>
      <c r="B64" t="s">
        <v>4072</v>
      </c>
      <c r="C64">
        <v>15</v>
      </c>
      <c r="D64" t="s">
        <v>4080</v>
      </c>
      <c r="E64" t="s">
        <v>4081</v>
      </c>
      <c r="F64" t="s">
        <v>4076</v>
      </c>
    </row>
    <row r="65" spans="1:6" x14ac:dyDescent="0.25">
      <c r="A65">
        <v>86</v>
      </c>
      <c r="B65" t="s">
        <v>4072</v>
      </c>
      <c r="C65">
        <v>40</v>
      </c>
      <c r="D65" t="s">
        <v>4080</v>
      </c>
      <c r="E65" t="s">
        <v>4081</v>
      </c>
      <c r="F65" t="s">
        <v>4079</v>
      </c>
    </row>
    <row r="66" spans="1:6" x14ac:dyDescent="0.25">
      <c r="A66">
        <v>87</v>
      </c>
      <c r="B66" t="s">
        <v>4072</v>
      </c>
      <c r="C66">
        <v>6</v>
      </c>
      <c r="D66" t="s">
        <v>4073</v>
      </c>
      <c r="E66" t="s">
        <v>4074</v>
      </c>
      <c r="F66" t="s">
        <v>4075</v>
      </c>
    </row>
    <row r="67" spans="1:6" x14ac:dyDescent="0.25">
      <c r="A67">
        <v>87</v>
      </c>
      <c r="B67" t="s">
        <v>4072</v>
      </c>
      <c r="C67">
        <v>19</v>
      </c>
      <c r="D67" t="s">
        <v>4073</v>
      </c>
      <c r="E67" t="s">
        <v>4074</v>
      </c>
      <c r="F67" t="s">
        <v>4076</v>
      </c>
    </row>
    <row r="68" spans="1:6" x14ac:dyDescent="0.25">
      <c r="A68">
        <v>87</v>
      </c>
      <c r="B68" t="s">
        <v>4072</v>
      </c>
      <c r="C68">
        <v>39</v>
      </c>
      <c r="D68" t="s">
        <v>4073</v>
      </c>
      <c r="E68" t="s">
        <v>4074</v>
      </c>
      <c r="F68" t="s">
        <v>4079</v>
      </c>
    </row>
    <row r="69" spans="1:6" x14ac:dyDescent="0.25">
      <c r="A69">
        <v>90</v>
      </c>
      <c r="B69" t="s">
        <v>4072</v>
      </c>
      <c r="C69">
        <v>1</v>
      </c>
      <c r="D69" t="s">
        <v>2761</v>
      </c>
      <c r="E69" t="s">
        <v>4089</v>
      </c>
      <c r="F69" t="s">
        <v>4075</v>
      </c>
    </row>
    <row r="70" spans="1:6" x14ac:dyDescent="0.25">
      <c r="A70">
        <v>90</v>
      </c>
      <c r="B70" t="s">
        <v>4072</v>
      </c>
      <c r="C70">
        <v>38</v>
      </c>
      <c r="D70" t="s">
        <v>2761</v>
      </c>
      <c r="E70" t="s">
        <v>4089</v>
      </c>
      <c r="F70" t="s">
        <v>4076</v>
      </c>
    </row>
    <row r="71" spans="1:6" x14ac:dyDescent="0.25">
      <c r="A71">
        <v>90</v>
      </c>
      <c r="B71" t="s">
        <v>4072</v>
      </c>
      <c r="C71">
        <v>43</v>
      </c>
      <c r="D71" t="s">
        <v>2761</v>
      </c>
      <c r="E71" t="s">
        <v>4089</v>
      </c>
      <c r="F71" t="s">
        <v>4079</v>
      </c>
    </row>
    <row r="72" spans="1:6" x14ac:dyDescent="0.25">
      <c r="A72">
        <v>98</v>
      </c>
      <c r="B72" t="s">
        <v>4072</v>
      </c>
      <c r="C72">
        <v>5</v>
      </c>
      <c r="D72" t="s">
        <v>4087</v>
      </c>
      <c r="E72" t="s">
        <v>4088</v>
      </c>
      <c r="F72" t="s">
        <v>4075</v>
      </c>
    </row>
    <row r="73" spans="1:6" x14ac:dyDescent="0.25">
      <c r="A73">
        <v>98</v>
      </c>
      <c r="B73" t="s">
        <v>4072</v>
      </c>
      <c r="C73">
        <v>15</v>
      </c>
      <c r="D73" t="s">
        <v>4080</v>
      </c>
      <c r="E73" t="s">
        <v>4081</v>
      </c>
      <c r="F73" t="s">
        <v>4076</v>
      </c>
    </row>
    <row r="74" spans="1:6" x14ac:dyDescent="0.25">
      <c r="A74">
        <v>99</v>
      </c>
      <c r="B74" t="s">
        <v>4072</v>
      </c>
      <c r="C74">
        <v>3</v>
      </c>
      <c r="D74" t="s">
        <v>4085</v>
      </c>
      <c r="E74" t="s">
        <v>4086</v>
      </c>
      <c r="F74" t="s">
        <v>4075</v>
      </c>
    </row>
    <row r="75" spans="1:6" x14ac:dyDescent="0.25">
      <c r="A75">
        <v>99</v>
      </c>
      <c r="B75" t="s">
        <v>4072</v>
      </c>
      <c r="C75">
        <v>14</v>
      </c>
      <c r="D75" t="s">
        <v>4090</v>
      </c>
      <c r="E75" t="s">
        <v>4091</v>
      </c>
      <c r="F75" t="s">
        <v>4076</v>
      </c>
    </row>
    <row r="76" spans="1:6" x14ac:dyDescent="0.25">
      <c r="A76">
        <v>108</v>
      </c>
      <c r="B76" t="s">
        <v>4072</v>
      </c>
      <c r="C76">
        <v>1</v>
      </c>
      <c r="D76" t="s">
        <v>2761</v>
      </c>
      <c r="E76" t="s">
        <v>4089</v>
      </c>
      <c r="F76" t="s">
        <v>4075</v>
      </c>
    </row>
    <row r="77" spans="1:6" x14ac:dyDescent="0.25">
      <c r="A77">
        <v>108</v>
      </c>
      <c r="B77" t="s">
        <v>4072</v>
      </c>
      <c r="C77">
        <v>38</v>
      </c>
      <c r="D77" t="s">
        <v>2761</v>
      </c>
      <c r="E77" t="s">
        <v>4089</v>
      </c>
      <c r="F77" t="s">
        <v>4076</v>
      </c>
    </row>
    <row r="78" spans="1:6" x14ac:dyDescent="0.25">
      <c r="A78">
        <v>108</v>
      </c>
      <c r="B78" t="s">
        <v>4072</v>
      </c>
      <c r="C78">
        <v>43</v>
      </c>
      <c r="D78" t="s">
        <v>2761</v>
      </c>
      <c r="E78" t="s">
        <v>4089</v>
      </c>
      <c r="F78" t="s">
        <v>4079</v>
      </c>
    </row>
    <row r="79" spans="1:6" x14ac:dyDescent="0.25">
      <c r="A79">
        <v>111</v>
      </c>
      <c r="B79" t="s">
        <v>4072</v>
      </c>
      <c r="C79">
        <v>3</v>
      </c>
      <c r="D79" t="s">
        <v>4085</v>
      </c>
      <c r="E79" t="s">
        <v>4086</v>
      </c>
      <c r="F79" t="s">
        <v>4075</v>
      </c>
    </row>
    <row r="80" spans="1:6" x14ac:dyDescent="0.25">
      <c r="A80">
        <v>111</v>
      </c>
      <c r="B80" t="s">
        <v>4072</v>
      </c>
      <c r="C80">
        <v>15</v>
      </c>
      <c r="D80" t="s">
        <v>4080</v>
      </c>
      <c r="E80" t="s">
        <v>4081</v>
      </c>
      <c r="F80" t="s">
        <v>4076</v>
      </c>
    </row>
    <row r="81" spans="1:6" x14ac:dyDescent="0.25">
      <c r="A81">
        <v>111</v>
      </c>
      <c r="B81" t="s">
        <v>4072</v>
      </c>
      <c r="C81">
        <v>40</v>
      </c>
      <c r="D81" t="s">
        <v>4080</v>
      </c>
      <c r="E81" t="s">
        <v>4081</v>
      </c>
      <c r="F81" t="s">
        <v>4079</v>
      </c>
    </row>
    <row r="82" spans="1:6" x14ac:dyDescent="0.25">
      <c r="A82">
        <v>112</v>
      </c>
      <c r="B82" t="s">
        <v>4072</v>
      </c>
      <c r="C82">
        <v>5</v>
      </c>
      <c r="D82" t="s">
        <v>4087</v>
      </c>
      <c r="E82" t="s">
        <v>4088</v>
      </c>
      <c r="F82" t="s">
        <v>4075</v>
      </c>
    </row>
    <row r="83" spans="1:6" x14ac:dyDescent="0.25">
      <c r="A83">
        <v>112</v>
      </c>
      <c r="B83" t="s">
        <v>4072</v>
      </c>
      <c r="C83">
        <v>15</v>
      </c>
      <c r="D83" t="s">
        <v>4080</v>
      </c>
      <c r="E83" t="s">
        <v>4081</v>
      </c>
      <c r="F83" t="s">
        <v>4076</v>
      </c>
    </row>
    <row r="84" spans="1:6" x14ac:dyDescent="0.25">
      <c r="A84">
        <v>112</v>
      </c>
      <c r="B84" t="s">
        <v>4072</v>
      </c>
      <c r="C84">
        <v>40</v>
      </c>
      <c r="D84" t="s">
        <v>4080</v>
      </c>
      <c r="E84" t="s">
        <v>4081</v>
      </c>
      <c r="F84" t="s">
        <v>4079</v>
      </c>
    </row>
    <row r="85" spans="1:6" x14ac:dyDescent="0.25">
      <c r="A85">
        <v>113</v>
      </c>
      <c r="B85" t="s">
        <v>4072</v>
      </c>
      <c r="C85">
        <v>5</v>
      </c>
      <c r="D85" t="s">
        <v>4087</v>
      </c>
      <c r="E85" t="s">
        <v>4088</v>
      </c>
      <c r="F85" t="s">
        <v>4075</v>
      </c>
    </row>
    <row r="86" spans="1:6" x14ac:dyDescent="0.25">
      <c r="A86">
        <v>113</v>
      </c>
      <c r="B86" t="s">
        <v>4072</v>
      </c>
      <c r="C86">
        <v>15</v>
      </c>
      <c r="D86" t="s">
        <v>4080</v>
      </c>
      <c r="E86" t="s">
        <v>4081</v>
      </c>
      <c r="F86" t="s">
        <v>4076</v>
      </c>
    </row>
    <row r="87" spans="1:6" x14ac:dyDescent="0.25">
      <c r="A87">
        <v>113</v>
      </c>
      <c r="B87" t="s">
        <v>4072</v>
      </c>
      <c r="C87">
        <v>40</v>
      </c>
      <c r="D87" t="s">
        <v>4080</v>
      </c>
      <c r="E87" t="s">
        <v>4081</v>
      </c>
      <c r="F87" t="s">
        <v>4079</v>
      </c>
    </row>
    <row r="88" spans="1:6" x14ac:dyDescent="0.25">
      <c r="A88">
        <v>117</v>
      </c>
      <c r="B88" t="s">
        <v>4072</v>
      </c>
      <c r="C88">
        <v>6</v>
      </c>
      <c r="D88" t="s">
        <v>4073</v>
      </c>
      <c r="E88" t="s">
        <v>4074</v>
      </c>
      <c r="F88" t="s">
        <v>4075</v>
      </c>
    </row>
    <row r="89" spans="1:6" x14ac:dyDescent="0.25">
      <c r="A89">
        <v>117</v>
      </c>
      <c r="B89" t="s">
        <v>4072</v>
      </c>
      <c r="C89">
        <v>19</v>
      </c>
      <c r="D89" t="s">
        <v>4073</v>
      </c>
      <c r="E89" t="s">
        <v>4074</v>
      </c>
      <c r="F89" t="s">
        <v>4076</v>
      </c>
    </row>
    <row r="90" spans="1:6" x14ac:dyDescent="0.25">
      <c r="A90">
        <v>117</v>
      </c>
      <c r="B90" t="s">
        <v>4072</v>
      </c>
      <c r="C90">
        <v>39</v>
      </c>
      <c r="D90" t="s">
        <v>4073</v>
      </c>
      <c r="E90" t="s">
        <v>4074</v>
      </c>
      <c r="F90" t="s">
        <v>4079</v>
      </c>
    </row>
    <row r="91" spans="1:6" x14ac:dyDescent="0.25">
      <c r="A91">
        <v>118</v>
      </c>
      <c r="B91" t="s">
        <v>4072</v>
      </c>
      <c r="C91">
        <v>3</v>
      </c>
      <c r="D91" t="s">
        <v>4085</v>
      </c>
      <c r="E91" t="s">
        <v>4086</v>
      </c>
      <c r="F91" t="s">
        <v>4075</v>
      </c>
    </row>
    <row r="92" spans="1:6" x14ac:dyDescent="0.25">
      <c r="A92">
        <v>118</v>
      </c>
      <c r="B92" t="s">
        <v>4072</v>
      </c>
      <c r="C92">
        <v>15</v>
      </c>
      <c r="D92" t="s">
        <v>4080</v>
      </c>
      <c r="E92" t="s">
        <v>4081</v>
      </c>
      <c r="F92" t="s">
        <v>4076</v>
      </c>
    </row>
    <row r="93" spans="1:6" x14ac:dyDescent="0.25">
      <c r="A93">
        <v>121</v>
      </c>
      <c r="B93" t="s">
        <v>4072</v>
      </c>
      <c r="C93">
        <v>3</v>
      </c>
      <c r="D93" t="s">
        <v>4085</v>
      </c>
      <c r="E93" t="s">
        <v>4086</v>
      </c>
      <c r="F93" t="s">
        <v>4075</v>
      </c>
    </row>
    <row r="94" spans="1:6" x14ac:dyDescent="0.25">
      <c r="A94">
        <v>121</v>
      </c>
      <c r="B94" t="s">
        <v>4072</v>
      </c>
      <c r="C94">
        <v>15</v>
      </c>
      <c r="D94" t="s">
        <v>4080</v>
      </c>
      <c r="E94" t="s">
        <v>4081</v>
      </c>
      <c r="F94" t="s">
        <v>4076</v>
      </c>
    </row>
    <row r="95" spans="1:6" x14ac:dyDescent="0.25">
      <c r="A95">
        <v>121</v>
      </c>
      <c r="B95" t="s">
        <v>4072</v>
      </c>
      <c r="C95">
        <v>40</v>
      </c>
      <c r="D95" t="s">
        <v>4080</v>
      </c>
      <c r="E95" t="s">
        <v>4081</v>
      </c>
      <c r="F95" t="s">
        <v>4079</v>
      </c>
    </row>
    <row r="96" spans="1:6" x14ac:dyDescent="0.25">
      <c r="A96">
        <v>147</v>
      </c>
      <c r="B96" t="s">
        <v>4072</v>
      </c>
      <c r="C96">
        <v>1</v>
      </c>
      <c r="D96" t="s">
        <v>2761</v>
      </c>
      <c r="E96" t="s">
        <v>4089</v>
      </c>
      <c r="F96" t="s">
        <v>4075</v>
      </c>
    </row>
    <row r="97" spans="1:6" x14ac:dyDescent="0.25">
      <c r="A97">
        <v>147</v>
      </c>
      <c r="B97" t="s">
        <v>4072</v>
      </c>
      <c r="C97">
        <v>38</v>
      </c>
      <c r="D97" t="s">
        <v>2761</v>
      </c>
      <c r="E97" t="s">
        <v>4089</v>
      </c>
      <c r="F97" t="s">
        <v>4076</v>
      </c>
    </row>
    <row r="98" spans="1:6" x14ac:dyDescent="0.25">
      <c r="A98">
        <v>147</v>
      </c>
      <c r="B98" t="s">
        <v>4072</v>
      </c>
      <c r="C98">
        <v>43</v>
      </c>
      <c r="D98" t="s">
        <v>2761</v>
      </c>
      <c r="E98" t="s">
        <v>4089</v>
      </c>
      <c r="F98" t="s">
        <v>4079</v>
      </c>
    </row>
    <row r="99" spans="1:6" x14ac:dyDescent="0.25">
      <c r="A99">
        <v>148</v>
      </c>
      <c r="B99" t="s">
        <v>4072</v>
      </c>
      <c r="C99">
        <v>2</v>
      </c>
      <c r="D99" t="s">
        <v>4082</v>
      </c>
      <c r="E99" t="s">
        <v>4083</v>
      </c>
      <c r="F99" t="s">
        <v>4075</v>
      </c>
    </row>
    <row r="100" spans="1:6" x14ac:dyDescent="0.25">
      <c r="A100">
        <v>148</v>
      </c>
      <c r="B100" t="s">
        <v>4072</v>
      </c>
      <c r="C100">
        <v>17</v>
      </c>
      <c r="D100" t="s">
        <v>4082</v>
      </c>
      <c r="E100" t="s">
        <v>4084</v>
      </c>
      <c r="F100" t="s">
        <v>4076</v>
      </c>
    </row>
    <row r="101" spans="1:6" x14ac:dyDescent="0.25">
      <c r="A101">
        <v>148</v>
      </c>
      <c r="B101" t="s">
        <v>4072</v>
      </c>
      <c r="C101">
        <v>42</v>
      </c>
      <c r="D101" t="s">
        <v>4082</v>
      </c>
      <c r="E101" t="s">
        <v>4083</v>
      </c>
      <c r="F101" t="s">
        <v>4079</v>
      </c>
    </row>
    <row r="102" spans="1:6" x14ac:dyDescent="0.25">
      <c r="A102">
        <v>150</v>
      </c>
      <c r="B102" t="s">
        <v>4072</v>
      </c>
      <c r="C102">
        <v>6</v>
      </c>
      <c r="D102" t="s">
        <v>4073</v>
      </c>
      <c r="E102" t="s">
        <v>4074</v>
      </c>
      <c r="F102" t="s">
        <v>4075</v>
      </c>
    </row>
    <row r="103" spans="1:6" x14ac:dyDescent="0.25">
      <c r="A103">
        <v>150</v>
      </c>
      <c r="B103" t="s">
        <v>4072</v>
      </c>
      <c r="C103">
        <v>19</v>
      </c>
      <c r="D103" t="s">
        <v>4073</v>
      </c>
      <c r="E103" t="s">
        <v>4074</v>
      </c>
      <c r="F103" t="s">
        <v>4076</v>
      </c>
    </row>
    <row r="104" spans="1:6" x14ac:dyDescent="0.25">
      <c r="A104">
        <v>150</v>
      </c>
      <c r="B104" t="s">
        <v>4072</v>
      </c>
      <c r="C104">
        <v>39</v>
      </c>
      <c r="D104" t="s">
        <v>4073</v>
      </c>
      <c r="E104" t="s">
        <v>4074</v>
      </c>
      <c r="F104" t="s">
        <v>4079</v>
      </c>
    </row>
    <row r="105" spans="1:6" x14ac:dyDescent="0.25">
      <c r="A105">
        <v>151</v>
      </c>
      <c r="B105" t="s">
        <v>4072</v>
      </c>
      <c r="C105">
        <v>3</v>
      </c>
      <c r="D105" t="s">
        <v>4085</v>
      </c>
      <c r="E105" t="s">
        <v>4086</v>
      </c>
      <c r="F105" t="s">
        <v>4075</v>
      </c>
    </row>
    <row r="106" spans="1:6" x14ac:dyDescent="0.25">
      <c r="A106">
        <v>151</v>
      </c>
      <c r="B106" t="s">
        <v>4072</v>
      </c>
      <c r="C106">
        <v>15</v>
      </c>
      <c r="D106" t="s">
        <v>4080</v>
      </c>
      <c r="E106" t="s">
        <v>4081</v>
      </c>
      <c r="F106" t="s">
        <v>4076</v>
      </c>
    </row>
    <row r="107" spans="1:6" x14ac:dyDescent="0.25">
      <c r="A107">
        <v>151</v>
      </c>
      <c r="B107" t="s">
        <v>4072</v>
      </c>
      <c r="C107">
        <v>40</v>
      </c>
      <c r="D107" t="s">
        <v>4080</v>
      </c>
      <c r="E107" t="s">
        <v>4081</v>
      </c>
      <c r="F107" t="s">
        <v>4079</v>
      </c>
    </row>
    <row r="108" spans="1:6" x14ac:dyDescent="0.25">
      <c r="A108">
        <v>154</v>
      </c>
      <c r="B108" t="s">
        <v>4072</v>
      </c>
      <c r="C108">
        <v>5</v>
      </c>
      <c r="D108" t="s">
        <v>4087</v>
      </c>
      <c r="E108" t="s">
        <v>4088</v>
      </c>
      <c r="F108" t="s">
        <v>4075</v>
      </c>
    </row>
    <row r="109" spans="1:6" x14ac:dyDescent="0.25">
      <c r="A109">
        <v>154</v>
      </c>
      <c r="B109" t="s">
        <v>4072</v>
      </c>
      <c r="C109">
        <v>15</v>
      </c>
      <c r="D109" t="s">
        <v>4080</v>
      </c>
      <c r="E109" t="s">
        <v>4081</v>
      </c>
      <c r="F109" t="s">
        <v>4076</v>
      </c>
    </row>
    <row r="110" spans="1:6" x14ac:dyDescent="0.25">
      <c r="A110">
        <v>154</v>
      </c>
      <c r="B110" t="s">
        <v>4072</v>
      </c>
      <c r="C110">
        <v>40</v>
      </c>
      <c r="D110" t="s">
        <v>4080</v>
      </c>
      <c r="E110" t="s">
        <v>4081</v>
      </c>
      <c r="F110" t="s">
        <v>4079</v>
      </c>
    </row>
    <row r="111" spans="1:6" x14ac:dyDescent="0.25">
      <c r="A111">
        <v>157</v>
      </c>
      <c r="B111" t="s">
        <v>4072</v>
      </c>
      <c r="C111">
        <v>1</v>
      </c>
      <c r="D111" t="s">
        <v>2761</v>
      </c>
      <c r="E111" t="s">
        <v>4089</v>
      </c>
      <c r="F111" t="s">
        <v>4075</v>
      </c>
    </row>
    <row r="112" spans="1:6" x14ac:dyDescent="0.25">
      <c r="A112">
        <v>157</v>
      </c>
      <c r="B112" t="s">
        <v>4072</v>
      </c>
      <c r="C112">
        <v>38</v>
      </c>
      <c r="D112" t="s">
        <v>2761</v>
      </c>
      <c r="E112" t="s">
        <v>4089</v>
      </c>
      <c r="F112" t="s">
        <v>4076</v>
      </c>
    </row>
    <row r="113" spans="1:6" x14ac:dyDescent="0.25">
      <c r="A113">
        <v>157</v>
      </c>
      <c r="B113" t="s">
        <v>4072</v>
      </c>
      <c r="C113">
        <v>43</v>
      </c>
      <c r="D113" t="s">
        <v>2761</v>
      </c>
      <c r="E113" t="s">
        <v>4089</v>
      </c>
      <c r="F113" t="s">
        <v>4079</v>
      </c>
    </row>
    <row r="114" spans="1:6" x14ac:dyDescent="0.25">
      <c r="A114">
        <v>158</v>
      </c>
      <c r="B114" t="s">
        <v>4072</v>
      </c>
      <c r="C114">
        <v>2</v>
      </c>
      <c r="D114" t="s">
        <v>4082</v>
      </c>
      <c r="E114" t="s">
        <v>4083</v>
      </c>
      <c r="F114" t="s">
        <v>4075</v>
      </c>
    </row>
    <row r="115" spans="1:6" x14ac:dyDescent="0.25">
      <c r="A115">
        <v>158</v>
      </c>
      <c r="B115" t="s">
        <v>4072</v>
      </c>
      <c r="C115">
        <v>17</v>
      </c>
      <c r="D115" t="s">
        <v>4082</v>
      </c>
      <c r="E115" t="s">
        <v>4084</v>
      </c>
      <c r="F115" t="s">
        <v>4076</v>
      </c>
    </row>
    <row r="116" spans="1:6" x14ac:dyDescent="0.25">
      <c r="A116">
        <v>158</v>
      </c>
      <c r="B116" t="s">
        <v>4072</v>
      </c>
      <c r="C116">
        <v>42</v>
      </c>
      <c r="D116" t="s">
        <v>4082</v>
      </c>
      <c r="E116" t="s">
        <v>4083</v>
      </c>
      <c r="F116" t="s">
        <v>4079</v>
      </c>
    </row>
    <row r="117" spans="1:6" x14ac:dyDescent="0.25">
      <c r="A117">
        <v>162</v>
      </c>
      <c r="B117" t="s">
        <v>4072</v>
      </c>
      <c r="C117">
        <v>6</v>
      </c>
      <c r="D117" t="s">
        <v>4073</v>
      </c>
      <c r="E117" t="s">
        <v>4074</v>
      </c>
      <c r="F117" t="s">
        <v>4075</v>
      </c>
    </row>
    <row r="118" spans="1:6" x14ac:dyDescent="0.25">
      <c r="A118">
        <v>162</v>
      </c>
      <c r="B118" t="s">
        <v>4072</v>
      </c>
      <c r="C118">
        <v>19</v>
      </c>
      <c r="D118" t="s">
        <v>4073</v>
      </c>
      <c r="E118" t="s">
        <v>4074</v>
      </c>
      <c r="F118" t="s">
        <v>4076</v>
      </c>
    </row>
    <row r="119" spans="1:6" x14ac:dyDescent="0.25">
      <c r="A119">
        <v>162</v>
      </c>
      <c r="B119" t="s">
        <v>4072</v>
      </c>
      <c r="C119">
        <v>39</v>
      </c>
      <c r="D119" t="s">
        <v>4073</v>
      </c>
      <c r="E119" t="s">
        <v>4074</v>
      </c>
      <c r="F119" t="s">
        <v>4079</v>
      </c>
    </row>
    <row r="120" spans="1:6" x14ac:dyDescent="0.25">
      <c r="A120">
        <v>163</v>
      </c>
      <c r="B120" t="s">
        <v>4072</v>
      </c>
      <c r="C120">
        <v>1</v>
      </c>
      <c r="D120" t="s">
        <v>2761</v>
      </c>
      <c r="E120" t="s">
        <v>4089</v>
      </c>
      <c r="F120" t="s">
        <v>4075</v>
      </c>
    </row>
    <row r="121" spans="1:6" x14ac:dyDescent="0.25">
      <c r="A121">
        <v>163</v>
      </c>
      <c r="B121" t="s">
        <v>4072</v>
      </c>
      <c r="C121">
        <v>38</v>
      </c>
      <c r="D121" t="s">
        <v>2761</v>
      </c>
      <c r="E121" t="s">
        <v>4089</v>
      </c>
      <c r="F121" t="s">
        <v>4076</v>
      </c>
    </row>
    <row r="122" spans="1:6" x14ac:dyDescent="0.25">
      <c r="A122">
        <v>163</v>
      </c>
      <c r="B122" t="s">
        <v>4072</v>
      </c>
      <c r="C122">
        <v>43</v>
      </c>
      <c r="D122" t="s">
        <v>2761</v>
      </c>
      <c r="E122" t="s">
        <v>4089</v>
      </c>
      <c r="F122" t="s">
        <v>4079</v>
      </c>
    </row>
    <row r="123" spans="1:6" x14ac:dyDescent="0.25">
      <c r="A123">
        <v>165</v>
      </c>
      <c r="B123" t="s">
        <v>4072</v>
      </c>
      <c r="C123">
        <v>3</v>
      </c>
      <c r="D123" t="s">
        <v>4085</v>
      </c>
      <c r="E123" t="s">
        <v>4086</v>
      </c>
      <c r="F123" t="s">
        <v>4075</v>
      </c>
    </row>
    <row r="124" spans="1:6" x14ac:dyDescent="0.25">
      <c r="A124">
        <v>165</v>
      </c>
      <c r="B124" t="s">
        <v>4072</v>
      </c>
      <c r="C124">
        <v>15</v>
      </c>
      <c r="D124" t="s">
        <v>4080</v>
      </c>
      <c r="E124" t="s">
        <v>4081</v>
      </c>
      <c r="F124" t="s">
        <v>4076</v>
      </c>
    </row>
    <row r="125" spans="1:6" x14ac:dyDescent="0.25">
      <c r="A125">
        <v>165</v>
      </c>
      <c r="B125" t="s">
        <v>4072</v>
      </c>
      <c r="C125">
        <v>40</v>
      </c>
      <c r="D125" t="s">
        <v>4080</v>
      </c>
      <c r="E125" t="s">
        <v>4081</v>
      </c>
      <c r="F125" t="s">
        <v>4079</v>
      </c>
    </row>
    <row r="126" spans="1:6" x14ac:dyDescent="0.25">
      <c r="A126">
        <v>166</v>
      </c>
      <c r="B126" t="s">
        <v>4072</v>
      </c>
      <c r="C126">
        <v>5</v>
      </c>
      <c r="D126" t="s">
        <v>4087</v>
      </c>
      <c r="E126" t="s">
        <v>4088</v>
      </c>
      <c r="F126" t="s">
        <v>4075</v>
      </c>
    </row>
    <row r="127" spans="1:6" x14ac:dyDescent="0.25">
      <c r="A127">
        <v>166</v>
      </c>
      <c r="B127" t="s">
        <v>4072</v>
      </c>
      <c r="C127">
        <v>15</v>
      </c>
      <c r="D127" t="s">
        <v>4080</v>
      </c>
      <c r="E127" t="s">
        <v>4081</v>
      </c>
      <c r="F127" t="s">
        <v>4076</v>
      </c>
    </row>
    <row r="128" spans="1:6" x14ac:dyDescent="0.25">
      <c r="A128">
        <v>166</v>
      </c>
      <c r="B128" t="s">
        <v>4072</v>
      </c>
      <c r="C128">
        <v>40</v>
      </c>
      <c r="D128" t="s">
        <v>4080</v>
      </c>
      <c r="E128" t="s">
        <v>4081</v>
      </c>
      <c r="F128" t="s">
        <v>4079</v>
      </c>
    </row>
    <row r="129" spans="1:6" x14ac:dyDescent="0.25">
      <c r="A129">
        <v>168</v>
      </c>
      <c r="B129" t="s">
        <v>4072</v>
      </c>
      <c r="C129">
        <v>1</v>
      </c>
      <c r="D129" t="s">
        <v>2761</v>
      </c>
      <c r="E129" t="s">
        <v>4089</v>
      </c>
      <c r="F129" t="s">
        <v>4075</v>
      </c>
    </row>
    <row r="130" spans="1:6" x14ac:dyDescent="0.25">
      <c r="A130">
        <v>168</v>
      </c>
      <c r="B130" t="s">
        <v>4072</v>
      </c>
      <c r="C130">
        <v>38</v>
      </c>
      <c r="D130" t="s">
        <v>2761</v>
      </c>
      <c r="E130" t="s">
        <v>4089</v>
      </c>
      <c r="F130" t="s">
        <v>4076</v>
      </c>
    </row>
    <row r="131" spans="1:6" x14ac:dyDescent="0.25">
      <c r="A131">
        <v>170</v>
      </c>
      <c r="B131" t="s">
        <v>4072</v>
      </c>
      <c r="C131">
        <v>2</v>
      </c>
      <c r="D131" t="s">
        <v>4082</v>
      </c>
      <c r="E131" t="s">
        <v>4083</v>
      </c>
      <c r="F131" t="s">
        <v>4075</v>
      </c>
    </row>
    <row r="132" spans="1:6" x14ac:dyDescent="0.25">
      <c r="A132">
        <v>170</v>
      </c>
      <c r="B132" t="s">
        <v>4072</v>
      </c>
      <c r="C132">
        <v>17</v>
      </c>
      <c r="D132" t="s">
        <v>4082</v>
      </c>
      <c r="E132" t="s">
        <v>4084</v>
      </c>
      <c r="F132" t="s">
        <v>4076</v>
      </c>
    </row>
    <row r="133" spans="1:6" x14ac:dyDescent="0.25">
      <c r="A133">
        <v>171</v>
      </c>
      <c r="B133" t="s">
        <v>4072</v>
      </c>
      <c r="C133">
        <v>5</v>
      </c>
      <c r="D133" t="s">
        <v>4087</v>
      </c>
      <c r="E133" t="s">
        <v>4088</v>
      </c>
      <c r="F133" t="s">
        <v>4075</v>
      </c>
    </row>
    <row r="134" spans="1:6" x14ac:dyDescent="0.25">
      <c r="A134">
        <v>171</v>
      </c>
      <c r="B134" t="s">
        <v>4072</v>
      </c>
      <c r="C134">
        <v>15</v>
      </c>
      <c r="D134" t="s">
        <v>4080</v>
      </c>
      <c r="E134" t="s">
        <v>4081</v>
      </c>
      <c r="F134" t="s">
        <v>4076</v>
      </c>
    </row>
    <row r="135" spans="1:6" x14ac:dyDescent="0.25">
      <c r="A135">
        <v>173</v>
      </c>
      <c r="B135" t="s">
        <v>4072</v>
      </c>
      <c r="C135">
        <v>3</v>
      </c>
      <c r="D135" t="s">
        <v>4085</v>
      </c>
      <c r="E135" t="s">
        <v>4086</v>
      </c>
      <c r="F135" t="s">
        <v>4075</v>
      </c>
    </row>
    <row r="136" spans="1:6" x14ac:dyDescent="0.25">
      <c r="A136">
        <v>173</v>
      </c>
      <c r="B136" t="s">
        <v>4072</v>
      </c>
      <c r="C136">
        <v>15</v>
      </c>
      <c r="D136" t="s">
        <v>4080</v>
      </c>
      <c r="E136" t="s">
        <v>4081</v>
      </c>
      <c r="F136" t="s">
        <v>4076</v>
      </c>
    </row>
    <row r="137" spans="1:6" x14ac:dyDescent="0.25">
      <c r="A137">
        <v>174</v>
      </c>
      <c r="B137" t="s">
        <v>4072</v>
      </c>
      <c r="C137">
        <v>4</v>
      </c>
      <c r="D137" t="s">
        <v>4077</v>
      </c>
      <c r="E137" t="s">
        <v>4078</v>
      </c>
      <c r="F137" t="s">
        <v>4075</v>
      </c>
    </row>
    <row r="138" spans="1:6" x14ac:dyDescent="0.25">
      <c r="A138">
        <v>174</v>
      </c>
      <c r="B138" t="s">
        <v>4072</v>
      </c>
      <c r="C138">
        <v>16</v>
      </c>
      <c r="D138" t="s">
        <v>4077</v>
      </c>
      <c r="E138" t="s">
        <v>4078</v>
      </c>
      <c r="F138" t="s">
        <v>4076</v>
      </c>
    </row>
    <row r="139" spans="1:6" x14ac:dyDescent="0.25">
      <c r="A139">
        <v>183</v>
      </c>
      <c r="B139" t="s">
        <v>4072</v>
      </c>
      <c r="C139">
        <v>6</v>
      </c>
      <c r="D139" t="s">
        <v>4073</v>
      </c>
      <c r="E139" t="s">
        <v>4074</v>
      </c>
      <c r="F139" t="s">
        <v>4075</v>
      </c>
    </row>
    <row r="140" spans="1:6" x14ac:dyDescent="0.25">
      <c r="A140">
        <v>183</v>
      </c>
      <c r="B140" t="s">
        <v>4072</v>
      </c>
      <c r="C140">
        <v>19</v>
      </c>
      <c r="D140" t="s">
        <v>4073</v>
      </c>
      <c r="E140" t="s">
        <v>4074</v>
      </c>
      <c r="F140" t="s">
        <v>4076</v>
      </c>
    </row>
    <row r="141" spans="1:6" x14ac:dyDescent="0.25">
      <c r="A141">
        <v>183</v>
      </c>
      <c r="B141" t="s">
        <v>4072</v>
      </c>
      <c r="C141">
        <v>39</v>
      </c>
      <c r="D141" t="s">
        <v>4073</v>
      </c>
      <c r="E141" t="s">
        <v>4074</v>
      </c>
      <c r="F141" t="s">
        <v>4079</v>
      </c>
    </row>
    <row r="142" spans="1:6" x14ac:dyDescent="0.25">
      <c r="A142">
        <v>188</v>
      </c>
      <c r="B142" t="s">
        <v>4072</v>
      </c>
      <c r="C142">
        <v>4</v>
      </c>
      <c r="D142" t="s">
        <v>4077</v>
      </c>
      <c r="E142" t="s">
        <v>4078</v>
      </c>
      <c r="F142" t="s">
        <v>4075</v>
      </c>
    </row>
    <row r="143" spans="1:6" x14ac:dyDescent="0.25">
      <c r="A143">
        <v>188</v>
      </c>
      <c r="B143" t="s">
        <v>4072</v>
      </c>
      <c r="C143">
        <v>16</v>
      </c>
      <c r="D143" t="s">
        <v>4077</v>
      </c>
      <c r="E143" t="s">
        <v>4078</v>
      </c>
      <c r="F143" t="s">
        <v>4076</v>
      </c>
    </row>
    <row r="144" spans="1:6" x14ac:dyDescent="0.25">
      <c r="A144">
        <v>191</v>
      </c>
      <c r="B144" t="s">
        <v>4072</v>
      </c>
      <c r="C144">
        <v>3</v>
      </c>
      <c r="D144" t="s">
        <v>4085</v>
      </c>
      <c r="E144" t="s">
        <v>4086</v>
      </c>
      <c r="F144" t="s">
        <v>4075</v>
      </c>
    </row>
    <row r="145" spans="1:6" x14ac:dyDescent="0.25">
      <c r="A145">
        <v>191</v>
      </c>
      <c r="B145" t="s">
        <v>4072</v>
      </c>
      <c r="C145">
        <v>15</v>
      </c>
      <c r="D145" t="s">
        <v>4080</v>
      </c>
      <c r="E145" t="s">
        <v>4081</v>
      </c>
      <c r="F145" t="s">
        <v>4076</v>
      </c>
    </row>
    <row r="146" spans="1:6" x14ac:dyDescent="0.25">
      <c r="A146">
        <v>191</v>
      </c>
      <c r="B146" t="s">
        <v>4072</v>
      </c>
      <c r="C146">
        <v>40</v>
      </c>
      <c r="D146" t="s">
        <v>4080</v>
      </c>
      <c r="E146" t="s">
        <v>4081</v>
      </c>
      <c r="F146" t="s">
        <v>4079</v>
      </c>
    </row>
    <row r="147" spans="1:6" x14ac:dyDescent="0.25">
      <c r="A147">
        <v>192</v>
      </c>
      <c r="B147" t="s">
        <v>4072</v>
      </c>
      <c r="C147">
        <v>5</v>
      </c>
      <c r="D147" t="s">
        <v>4087</v>
      </c>
      <c r="E147" t="s">
        <v>4088</v>
      </c>
      <c r="F147" t="s">
        <v>4075</v>
      </c>
    </row>
    <row r="148" spans="1:6" x14ac:dyDescent="0.25">
      <c r="A148">
        <v>192</v>
      </c>
      <c r="B148" t="s">
        <v>4072</v>
      </c>
      <c r="C148">
        <v>15</v>
      </c>
      <c r="D148" t="s">
        <v>4080</v>
      </c>
      <c r="E148" t="s">
        <v>4081</v>
      </c>
      <c r="F148" t="s">
        <v>4076</v>
      </c>
    </row>
    <row r="149" spans="1:6" x14ac:dyDescent="0.25">
      <c r="A149">
        <v>192</v>
      </c>
      <c r="B149" t="s">
        <v>4072</v>
      </c>
      <c r="C149">
        <v>40</v>
      </c>
      <c r="D149" t="s">
        <v>4080</v>
      </c>
      <c r="E149" t="s">
        <v>4081</v>
      </c>
      <c r="F149" t="s">
        <v>4079</v>
      </c>
    </row>
    <row r="150" spans="1:6" x14ac:dyDescent="0.25">
      <c r="A150">
        <v>193</v>
      </c>
      <c r="B150" t="s">
        <v>4072</v>
      </c>
      <c r="C150">
        <v>5</v>
      </c>
      <c r="D150" t="s">
        <v>4087</v>
      </c>
      <c r="E150" t="s">
        <v>4088</v>
      </c>
      <c r="F150" t="s">
        <v>4075</v>
      </c>
    </row>
    <row r="151" spans="1:6" x14ac:dyDescent="0.25">
      <c r="A151">
        <v>193</v>
      </c>
      <c r="B151" t="s">
        <v>4072</v>
      </c>
      <c r="C151">
        <v>15</v>
      </c>
      <c r="D151" t="s">
        <v>4080</v>
      </c>
      <c r="E151" t="s">
        <v>4081</v>
      </c>
      <c r="F151" t="s">
        <v>4076</v>
      </c>
    </row>
    <row r="152" spans="1:6" x14ac:dyDescent="0.25">
      <c r="A152">
        <v>193</v>
      </c>
      <c r="B152" t="s">
        <v>4072</v>
      </c>
      <c r="C152">
        <v>40</v>
      </c>
      <c r="D152" t="s">
        <v>4080</v>
      </c>
      <c r="E152" t="s">
        <v>4081</v>
      </c>
      <c r="F152" t="s">
        <v>4079</v>
      </c>
    </row>
    <row r="153" spans="1:6" x14ac:dyDescent="0.25">
      <c r="A153">
        <v>200</v>
      </c>
      <c r="B153" t="s">
        <v>4072</v>
      </c>
      <c r="C153">
        <v>1</v>
      </c>
      <c r="D153" t="s">
        <v>2761</v>
      </c>
      <c r="E153" t="s">
        <v>4089</v>
      </c>
      <c r="F153" t="s">
        <v>4075</v>
      </c>
    </row>
    <row r="154" spans="1:6" x14ac:dyDescent="0.25">
      <c r="A154">
        <v>200</v>
      </c>
      <c r="B154" t="s">
        <v>4072</v>
      </c>
      <c r="C154">
        <v>38</v>
      </c>
      <c r="D154" t="s">
        <v>2761</v>
      </c>
      <c r="E154" t="s">
        <v>4089</v>
      </c>
      <c r="F154" t="s">
        <v>4076</v>
      </c>
    </row>
    <row r="155" spans="1:6" x14ac:dyDescent="0.25">
      <c r="A155">
        <v>201</v>
      </c>
      <c r="B155" t="s">
        <v>4072</v>
      </c>
      <c r="C155">
        <v>2</v>
      </c>
      <c r="D155" t="s">
        <v>4082</v>
      </c>
      <c r="E155" t="s">
        <v>4083</v>
      </c>
      <c r="F155" t="s">
        <v>4075</v>
      </c>
    </row>
    <row r="156" spans="1:6" x14ac:dyDescent="0.25">
      <c r="A156">
        <v>202</v>
      </c>
      <c r="B156" t="s">
        <v>4072</v>
      </c>
      <c r="C156">
        <v>2</v>
      </c>
      <c r="D156" t="s">
        <v>4082</v>
      </c>
      <c r="E156" t="s">
        <v>4083</v>
      </c>
      <c r="F156" t="s">
        <v>4075</v>
      </c>
    </row>
    <row r="157" spans="1:6" x14ac:dyDescent="0.25">
      <c r="A157">
        <v>202</v>
      </c>
      <c r="B157" t="s">
        <v>4072</v>
      </c>
      <c r="C157">
        <v>17</v>
      </c>
      <c r="D157" t="s">
        <v>4082</v>
      </c>
      <c r="E157" t="s">
        <v>4084</v>
      </c>
      <c r="F157" t="s">
        <v>4076</v>
      </c>
    </row>
    <row r="158" spans="1:6" x14ac:dyDescent="0.25">
      <c r="A158">
        <v>202</v>
      </c>
      <c r="B158" t="s">
        <v>4072</v>
      </c>
      <c r="C158">
        <v>42</v>
      </c>
      <c r="D158" t="s">
        <v>4082</v>
      </c>
      <c r="E158" t="s">
        <v>4083</v>
      </c>
      <c r="F158" t="s">
        <v>4079</v>
      </c>
    </row>
    <row r="159" spans="1:6" x14ac:dyDescent="0.25">
      <c r="A159">
        <v>203</v>
      </c>
      <c r="B159" t="s">
        <v>4072</v>
      </c>
      <c r="C159">
        <v>3</v>
      </c>
      <c r="D159" t="s">
        <v>4085</v>
      </c>
      <c r="E159" t="s">
        <v>4086</v>
      </c>
      <c r="F159" t="s">
        <v>4075</v>
      </c>
    </row>
    <row r="160" spans="1:6" x14ac:dyDescent="0.25">
      <c r="A160">
        <v>203</v>
      </c>
      <c r="B160" t="s">
        <v>4072</v>
      </c>
      <c r="C160">
        <v>15</v>
      </c>
      <c r="D160" t="s">
        <v>4080</v>
      </c>
      <c r="E160" t="s">
        <v>4081</v>
      </c>
      <c r="F160" t="s">
        <v>4076</v>
      </c>
    </row>
    <row r="161" spans="1:6" x14ac:dyDescent="0.25">
      <c r="A161">
        <v>203</v>
      </c>
      <c r="B161" t="s">
        <v>4072</v>
      </c>
      <c r="C161">
        <v>40</v>
      </c>
      <c r="D161" t="s">
        <v>4080</v>
      </c>
      <c r="E161" t="s">
        <v>4081</v>
      </c>
      <c r="F161" t="s">
        <v>4079</v>
      </c>
    </row>
    <row r="162" spans="1:6" x14ac:dyDescent="0.25">
      <c r="A162">
        <v>204</v>
      </c>
      <c r="B162" t="s">
        <v>4072</v>
      </c>
      <c r="C162">
        <v>5</v>
      </c>
      <c r="D162" t="s">
        <v>4087</v>
      </c>
      <c r="E162" t="s">
        <v>4088</v>
      </c>
      <c r="F162" t="s">
        <v>4075</v>
      </c>
    </row>
    <row r="163" spans="1:6" x14ac:dyDescent="0.25">
      <c r="A163">
        <v>204</v>
      </c>
      <c r="B163" t="s">
        <v>4072</v>
      </c>
      <c r="C163">
        <v>15</v>
      </c>
      <c r="D163" t="s">
        <v>4080</v>
      </c>
      <c r="E163" t="s">
        <v>4081</v>
      </c>
      <c r="F163" t="s">
        <v>4076</v>
      </c>
    </row>
    <row r="164" spans="1:6" x14ac:dyDescent="0.25">
      <c r="A164">
        <v>204</v>
      </c>
      <c r="B164" t="s">
        <v>4072</v>
      </c>
      <c r="C164">
        <v>40</v>
      </c>
      <c r="D164" t="s">
        <v>4080</v>
      </c>
      <c r="E164" t="s">
        <v>4081</v>
      </c>
      <c r="F164" t="s">
        <v>4079</v>
      </c>
    </row>
    <row r="165" spans="1:6" x14ac:dyDescent="0.25">
      <c r="A165">
        <v>205</v>
      </c>
      <c r="B165" t="s">
        <v>4072</v>
      </c>
      <c r="C165">
        <v>5</v>
      </c>
      <c r="D165" t="s">
        <v>4087</v>
      </c>
      <c r="E165" t="s">
        <v>4088</v>
      </c>
      <c r="F165" t="s">
        <v>4075</v>
      </c>
    </row>
    <row r="166" spans="1:6" x14ac:dyDescent="0.25">
      <c r="A166">
        <v>205</v>
      </c>
      <c r="B166" t="s">
        <v>4072</v>
      </c>
      <c r="C166">
        <v>15</v>
      </c>
      <c r="D166" t="s">
        <v>4080</v>
      </c>
      <c r="E166" t="s">
        <v>4081</v>
      </c>
      <c r="F166" t="s">
        <v>4076</v>
      </c>
    </row>
    <row r="167" spans="1:6" x14ac:dyDescent="0.25">
      <c r="A167">
        <v>205</v>
      </c>
      <c r="B167" t="s">
        <v>4072</v>
      </c>
      <c r="C167">
        <v>40</v>
      </c>
      <c r="D167" t="s">
        <v>4080</v>
      </c>
      <c r="E167" t="s">
        <v>4081</v>
      </c>
      <c r="F167" t="s">
        <v>4079</v>
      </c>
    </row>
    <row r="168" spans="1:6" x14ac:dyDescent="0.25">
      <c r="A168">
        <v>216</v>
      </c>
      <c r="B168" t="s">
        <v>4072</v>
      </c>
      <c r="C168">
        <v>5</v>
      </c>
      <c r="D168" t="s">
        <v>4087</v>
      </c>
      <c r="E168" t="s">
        <v>4088</v>
      </c>
      <c r="F168" t="s">
        <v>4075</v>
      </c>
    </row>
    <row r="169" spans="1:6" x14ac:dyDescent="0.25">
      <c r="A169">
        <v>216</v>
      </c>
      <c r="B169" t="s">
        <v>4072</v>
      </c>
      <c r="C169">
        <v>15</v>
      </c>
      <c r="D169" t="s">
        <v>4080</v>
      </c>
      <c r="E169" t="s">
        <v>4081</v>
      </c>
      <c r="F169" t="s">
        <v>4076</v>
      </c>
    </row>
    <row r="170" spans="1:6" x14ac:dyDescent="0.25">
      <c r="A170">
        <v>218</v>
      </c>
      <c r="B170" t="s">
        <v>4072</v>
      </c>
      <c r="C170">
        <v>2</v>
      </c>
      <c r="D170" t="s">
        <v>4082</v>
      </c>
      <c r="E170" t="s">
        <v>4083</v>
      </c>
      <c r="F170" t="s">
        <v>4075</v>
      </c>
    </row>
    <row r="171" spans="1:6" x14ac:dyDescent="0.25">
      <c r="A171">
        <v>218</v>
      </c>
      <c r="B171" t="s">
        <v>4072</v>
      </c>
      <c r="C171">
        <v>17</v>
      </c>
      <c r="D171" t="s">
        <v>4082</v>
      </c>
      <c r="E171" t="s">
        <v>4084</v>
      </c>
      <c r="F171" t="s">
        <v>4076</v>
      </c>
    </row>
    <row r="172" spans="1:6" x14ac:dyDescent="0.25">
      <c r="A172">
        <v>219</v>
      </c>
      <c r="B172" t="s">
        <v>4072</v>
      </c>
      <c r="C172">
        <v>5</v>
      </c>
      <c r="D172" t="s">
        <v>4087</v>
      </c>
      <c r="E172" t="s">
        <v>4088</v>
      </c>
      <c r="F172" t="s">
        <v>4075</v>
      </c>
    </row>
    <row r="173" spans="1:6" x14ac:dyDescent="0.25">
      <c r="A173">
        <v>219</v>
      </c>
      <c r="B173" t="s">
        <v>4072</v>
      </c>
      <c r="C173">
        <v>15</v>
      </c>
      <c r="D173" t="s">
        <v>4080</v>
      </c>
      <c r="E173" t="s">
        <v>4081</v>
      </c>
      <c r="F173" t="s">
        <v>4076</v>
      </c>
    </row>
    <row r="174" spans="1:6" x14ac:dyDescent="0.25">
      <c r="A174">
        <v>220</v>
      </c>
      <c r="B174" t="s">
        <v>4072</v>
      </c>
      <c r="C174">
        <v>3</v>
      </c>
      <c r="D174" t="s">
        <v>4085</v>
      </c>
      <c r="E174" t="s">
        <v>4086</v>
      </c>
      <c r="F174" t="s">
        <v>4075</v>
      </c>
    </row>
    <row r="175" spans="1:6" x14ac:dyDescent="0.25">
      <c r="A175">
        <v>220</v>
      </c>
      <c r="B175" t="s">
        <v>4072</v>
      </c>
      <c r="C175">
        <v>15</v>
      </c>
      <c r="D175" t="s">
        <v>4080</v>
      </c>
      <c r="E175" t="s">
        <v>4081</v>
      </c>
      <c r="F175" t="s">
        <v>4076</v>
      </c>
    </row>
    <row r="176" spans="1:6" x14ac:dyDescent="0.25">
      <c r="A176">
        <v>222</v>
      </c>
      <c r="B176" t="s">
        <v>4072</v>
      </c>
      <c r="C176">
        <v>1</v>
      </c>
      <c r="D176" t="s">
        <v>2761</v>
      </c>
      <c r="E176" t="s">
        <v>4089</v>
      </c>
      <c r="F176" t="s">
        <v>4075</v>
      </c>
    </row>
    <row r="177" spans="1:6" x14ac:dyDescent="0.25">
      <c r="A177">
        <v>222</v>
      </c>
      <c r="B177" t="s">
        <v>4072</v>
      </c>
      <c r="C177">
        <v>38</v>
      </c>
      <c r="D177" t="s">
        <v>2761</v>
      </c>
      <c r="E177" t="s">
        <v>4089</v>
      </c>
      <c r="F177" t="s">
        <v>4076</v>
      </c>
    </row>
    <row r="178" spans="1:6" x14ac:dyDescent="0.25">
      <c r="A178">
        <v>222</v>
      </c>
      <c r="B178" t="s">
        <v>4072</v>
      </c>
      <c r="C178">
        <v>43</v>
      </c>
      <c r="D178" t="s">
        <v>2761</v>
      </c>
      <c r="E178" t="s">
        <v>4089</v>
      </c>
      <c r="F178" t="s">
        <v>4079</v>
      </c>
    </row>
    <row r="179" spans="1:6" x14ac:dyDescent="0.25">
      <c r="A179">
        <v>225</v>
      </c>
      <c r="B179" t="s">
        <v>4072</v>
      </c>
      <c r="C179">
        <v>3</v>
      </c>
      <c r="D179" t="s">
        <v>4085</v>
      </c>
      <c r="E179" t="s">
        <v>4086</v>
      </c>
      <c r="F179" t="s">
        <v>4075</v>
      </c>
    </row>
    <row r="180" spans="1:6" x14ac:dyDescent="0.25">
      <c r="A180">
        <v>225</v>
      </c>
      <c r="B180" t="s">
        <v>4072</v>
      </c>
      <c r="C180">
        <v>15</v>
      </c>
      <c r="D180" t="s">
        <v>4080</v>
      </c>
      <c r="E180" t="s">
        <v>4081</v>
      </c>
      <c r="F180" t="s">
        <v>4076</v>
      </c>
    </row>
    <row r="181" spans="1:6" x14ac:dyDescent="0.25">
      <c r="A181">
        <v>225</v>
      </c>
      <c r="B181" t="s">
        <v>4072</v>
      </c>
      <c r="C181">
        <v>40</v>
      </c>
      <c r="D181" t="s">
        <v>4080</v>
      </c>
      <c r="E181" t="s">
        <v>4081</v>
      </c>
      <c r="F181" t="s">
        <v>4079</v>
      </c>
    </row>
    <row r="182" spans="1:6" x14ac:dyDescent="0.25">
      <c r="A182">
        <v>226</v>
      </c>
      <c r="B182" t="s">
        <v>4072</v>
      </c>
      <c r="C182">
        <v>5</v>
      </c>
      <c r="D182" t="s">
        <v>4087</v>
      </c>
      <c r="E182" t="s">
        <v>4088</v>
      </c>
      <c r="F182" t="s">
        <v>4075</v>
      </c>
    </row>
    <row r="183" spans="1:6" x14ac:dyDescent="0.25">
      <c r="A183">
        <v>226</v>
      </c>
      <c r="B183" t="s">
        <v>4072</v>
      </c>
      <c r="C183">
        <v>15</v>
      </c>
      <c r="D183" t="s">
        <v>4080</v>
      </c>
      <c r="E183" t="s">
        <v>4081</v>
      </c>
      <c r="F183" t="s">
        <v>4076</v>
      </c>
    </row>
    <row r="184" spans="1:6" x14ac:dyDescent="0.25">
      <c r="A184">
        <v>226</v>
      </c>
      <c r="B184" t="s">
        <v>4072</v>
      </c>
      <c r="C184">
        <v>40</v>
      </c>
      <c r="D184" t="s">
        <v>4080</v>
      </c>
      <c r="E184" t="s">
        <v>4081</v>
      </c>
      <c r="F184" t="s">
        <v>4079</v>
      </c>
    </row>
    <row r="185" spans="1:6" x14ac:dyDescent="0.25">
      <c r="A185">
        <v>227</v>
      </c>
      <c r="B185" t="s">
        <v>4072</v>
      </c>
      <c r="C185">
        <v>1</v>
      </c>
      <c r="D185" t="s">
        <v>2761</v>
      </c>
      <c r="E185" t="s">
        <v>4089</v>
      </c>
      <c r="F185" t="s">
        <v>4075</v>
      </c>
    </row>
    <row r="186" spans="1:6" x14ac:dyDescent="0.25">
      <c r="A186">
        <v>227</v>
      </c>
      <c r="B186" t="s">
        <v>4072</v>
      </c>
      <c r="C186">
        <v>38</v>
      </c>
      <c r="D186" t="s">
        <v>2761</v>
      </c>
      <c r="E186" t="s">
        <v>4089</v>
      </c>
      <c r="F186" t="s">
        <v>4076</v>
      </c>
    </row>
    <row r="187" spans="1:6" x14ac:dyDescent="0.25">
      <c r="A187">
        <v>227</v>
      </c>
      <c r="B187" t="s">
        <v>4072</v>
      </c>
      <c r="C187">
        <v>43</v>
      </c>
      <c r="D187" t="s">
        <v>2761</v>
      </c>
      <c r="E187" t="s">
        <v>4089</v>
      </c>
      <c r="F187" t="s">
        <v>4079</v>
      </c>
    </row>
    <row r="188" spans="1:6" x14ac:dyDescent="0.25">
      <c r="A188">
        <v>229</v>
      </c>
      <c r="B188" t="s">
        <v>4072</v>
      </c>
      <c r="C188">
        <v>1</v>
      </c>
      <c r="D188" t="s">
        <v>2761</v>
      </c>
      <c r="E188" t="s">
        <v>4089</v>
      </c>
      <c r="F188" t="s">
        <v>4075</v>
      </c>
    </row>
    <row r="189" spans="1:6" x14ac:dyDescent="0.25">
      <c r="A189">
        <v>229</v>
      </c>
      <c r="B189" t="s">
        <v>4072</v>
      </c>
      <c r="C189">
        <v>2</v>
      </c>
      <c r="D189" t="s">
        <v>4082</v>
      </c>
      <c r="E189" t="s">
        <v>4083</v>
      </c>
      <c r="F189" t="s">
        <v>4075</v>
      </c>
    </row>
    <row r="190" spans="1:6" x14ac:dyDescent="0.25">
      <c r="A190">
        <v>229</v>
      </c>
      <c r="B190" t="s">
        <v>4072</v>
      </c>
      <c r="C190">
        <v>17</v>
      </c>
      <c r="D190" t="s">
        <v>4082</v>
      </c>
      <c r="E190" t="s">
        <v>4084</v>
      </c>
      <c r="F190" t="s">
        <v>4076</v>
      </c>
    </row>
    <row r="191" spans="1:6" x14ac:dyDescent="0.25">
      <c r="A191">
        <v>229</v>
      </c>
      <c r="B191" t="s">
        <v>4072</v>
      </c>
      <c r="C191">
        <v>38</v>
      </c>
      <c r="D191" t="s">
        <v>2761</v>
      </c>
      <c r="E191" t="s">
        <v>4089</v>
      </c>
      <c r="F191" t="s">
        <v>4076</v>
      </c>
    </row>
    <row r="192" spans="1:6" x14ac:dyDescent="0.25">
      <c r="A192">
        <v>229</v>
      </c>
      <c r="B192" t="s">
        <v>4072</v>
      </c>
      <c r="C192">
        <v>42</v>
      </c>
      <c r="D192" t="s">
        <v>4082</v>
      </c>
      <c r="E192" t="s">
        <v>4083</v>
      </c>
      <c r="F192" t="s">
        <v>4079</v>
      </c>
    </row>
    <row r="193" spans="1:6" x14ac:dyDescent="0.25">
      <c r="A193">
        <v>229</v>
      </c>
      <c r="B193" t="s">
        <v>4072</v>
      </c>
      <c r="C193">
        <v>43</v>
      </c>
      <c r="D193" t="s">
        <v>2761</v>
      </c>
      <c r="E193" t="s">
        <v>4089</v>
      </c>
      <c r="F193" t="s">
        <v>4079</v>
      </c>
    </row>
    <row r="194" spans="1:6" x14ac:dyDescent="0.25">
      <c r="A194">
        <v>230</v>
      </c>
      <c r="B194" t="s">
        <v>4072</v>
      </c>
      <c r="C194">
        <v>3</v>
      </c>
      <c r="D194" t="s">
        <v>4085</v>
      </c>
      <c r="E194" t="s">
        <v>4086</v>
      </c>
      <c r="F194" t="s">
        <v>4075</v>
      </c>
    </row>
    <row r="195" spans="1:6" x14ac:dyDescent="0.25">
      <c r="A195">
        <v>230</v>
      </c>
      <c r="B195" t="s">
        <v>4072</v>
      </c>
      <c r="C195">
        <v>5</v>
      </c>
      <c r="D195" t="s">
        <v>4087</v>
      </c>
      <c r="E195" t="s">
        <v>4088</v>
      </c>
      <c r="F195" t="s">
        <v>4075</v>
      </c>
    </row>
    <row r="196" spans="1:6" x14ac:dyDescent="0.25">
      <c r="A196">
        <v>230</v>
      </c>
      <c r="B196" t="s">
        <v>4072</v>
      </c>
      <c r="C196">
        <v>15</v>
      </c>
      <c r="D196" t="s">
        <v>4080</v>
      </c>
      <c r="E196" t="s">
        <v>4081</v>
      </c>
      <c r="F196" t="s">
        <v>4076</v>
      </c>
    </row>
    <row r="197" spans="1:6" x14ac:dyDescent="0.25">
      <c r="A197">
        <v>230</v>
      </c>
      <c r="B197" t="s">
        <v>4072</v>
      </c>
      <c r="C197">
        <v>40</v>
      </c>
      <c r="D197" t="s">
        <v>4080</v>
      </c>
      <c r="E197" t="s">
        <v>4081</v>
      </c>
      <c r="F197" t="s">
        <v>4079</v>
      </c>
    </row>
    <row r="198" spans="1:6" x14ac:dyDescent="0.25">
      <c r="A198">
        <v>240</v>
      </c>
      <c r="B198" t="s">
        <v>4072</v>
      </c>
      <c r="C198">
        <v>1</v>
      </c>
      <c r="D198" t="s">
        <v>2761</v>
      </c>
      <c r="E198" t="s">
        <v>4089</v>
      </c>
      <c r="F198" t="s">
        <v>4075</v>
      </c>
    </row>
    <row r="199" spans="1:6" x14ac:dyDescent="0.25">
      <c r="A199">
        <v>240</v>
      </c>
      <c r="B199" t="s">
        <v>4072</v>
      </c>
      <c r="C199">
        <v>38</v>
      </c>
      <c r="D199" t="s">
        <v>2761</v>
      </c>
      <c r="E199" t="s">
        <v>4089</v>
      </c>
      <c r="F199" t="s">
        <v>4076</v>
      </c>
    </row>
    <row r="200" spans="1:6" x14ac:dyDescent="0.25">
      <c r="A200">
        <v>242</v>
      </c>
      <c r="B200" t="s">
        <v>4072</v>
      </c>
      <c r="C200">
        <v>2</v>
      </c>
      <c r="D200" t="s">
        <v>4082</v>
      </c>
      <c r="E200" t="s">
        <v>4083</v>
      </c>
      <c r="F200" t="s">
        <v>4075</v>
      </c>
    </row>
    <row r="201" spans="1:6" x14ac:dyDescent="0.25">
      <c r="A201">
        <v>242</v>
      </c>
      <c r="B201" t="s">
        <v>4072</v>
      </c>
      <c r="C201">
        <v>17</v>
      </c>
      <c r="D201" t="s">
        <v>4082</v>
      </c>
      <c r="E201" t="s">
        <v>4084</v>
      </c>
      <c r="F201" t="s">
        <v>4076</v>
      </c>
    </row>
    <row r="202" spans="1:6" x14ac:dyDescent="0.25">
      <c r="A202">
        <v>243</v>
      </c>
      <c r="B202" t="s">
        <v>4072</v>
      </c>
      <c r="C202">
        <v>5</v>
      </c>
      <c r="D202" t="s">
        <v>4087</v>
      </c>
      <c r="E202" t="s">
        <v>4088</v>
      </c>
      <c r="F202" t="s">
        <v>4075</v>
      </c>
    </row>
    <row r="203" spans="1:6" x14ac:dyDescent="0.25">
      <c r="A203">
        <v>243</v>
      </c>
      <c r="B203" t="s">
        <v>4072</v>
      </c>
      <c r="C203">
        <v>15</v>
      </c>
      <c r="D203" t="s">
        <v>4080</v>
      </c>
      <c r="E203" t="s">
        <v>4081</v>
      </c>
      <c r="F203" t="s">
        <v>4076</v>
      </c>
    </row>
    <row r="204" spans="1:6" x14ac:dyDescent="0.25">
      <c r="A204">
        <v>243</v>
      </c>
      <c r="B204" t="s">
        <v>4072</v>
      </c>
      <c r="C204">
        <v>40</v>
      </c>
      <c r="D204" t="s">
        <v>4080</v>
      </c>
      <c r="E204" t="s">
        <v>4081</v>
      </c>
      <c r="F204" t="s">
        <v>4079</v>
      </c>
    </row>
    <row r="205" spans="1:6" x14ac:dyDescent="0.25">
      <c r="A205">
        <v>251</v>
      </c>
      <c r="B205" t="s">
        <v>4072</v>
      </c>
      <c r="C205">
        <v>3</v>
      </c>
      <c r="D205" t="s">
        <v>4085</v>
      </c>
      <c r="E205" t="s">
        <v>4086</v>
      </c>
      <c r="F205" t="s">
        <v>4075</v>
      </c>
    </row>
    <row r="206" spans="1:6" x14ac:dyDescent="0.25">
      <c r="A206">
        <v>251</v>
      </c>
      <c r="B206" t="s">
        <v>4072</v>
      </c>
      <c r="C206">
        <v>15</v>
      </c>
      <c r="D206" t="s">
        <v>4080</v>
      </c>
      <c r="E206" t="s">
        <v>4081</v>
      </c>
      <c r="F206" t="s">
        <v>4076</v>
      </c>
    </row>
    <row r="207" spans="1:6" x14ac:dyDescent="0.25">
      <c r="A207">
        <v>251</v>
      </c>
      <c r="B207" t="s">
        <v>4072</v>
      </c>
      <c r="C207">
        <v>40</v>
      </c>
      <c r="D207" t="s">
        <v>4080</v>
      </c>
      <c r="E207" t="s">
        <v>4081</v>
      </c>
      <c r="F207" t="s">
        <v>4079</v>
      </c>
    </row>
    <row r="208" spans="1:6" x14ac:dyDescent="0.25">
      <c r="A208">
        <v>252</v>
      </c>
      <c r="B208" t="s">
        <v>4072</v>
      </c>
      <c r="C208">
        <v>5</v>
      </c>
      <c r="D208" t="s">
        <v>4087</v>
      </c>
      <c r="E208" t="s">
        <v>4088</v>
      </c>
      <c r="F208" t="s">
        <v>4075</v>
      </c>
    </row>
    <row r="209" spans="1:6" x14ac:dyDescent="0.25">
      <c r="A209">
        <v>252</v>
      </c>
      <c r="B209" t="s">
        <v>4072</v>
      </c>
      <c r="C209">
        <v>15</v>
      </c>
      <c r="D209" t="s">
        <v>4080</v>
      </c>
      <c r="E209" t="s">
        <v>4081</v>
      </c>
      <c r="F209" t="s">
        <v>4076</v>
      </c>
    </row>
    <row r="210" spans="1:6" x14ac:dyDescent="0.25">
      <c r="A210">
        <v>252</v>
      </c>
      <c r="B210" t="s">
        <v>4072</v>
      </c>
      <c r="C210">
        <v>40</v>
      </c>
      <c r="D210" t="s">
        <v>4080</v>
      </c>
      <c r="E210" t="s">
        <v>4081</v>
      </c>
      <c r="F210" t="s">
        <v>4079</v>
      </c>
    </row>
    <row r="211" spans="1:6" x14ac:dyDescent="0.25">
      <c r="A211">
        <v>253</v>
      </c>
      <c r="B211" t="s">
        <v>4072</v>
      </c>
      <c r="C211">
        <v>5</v>
      </c>
      <c r="D211" t="s">
        <v>4087</v>
      </c>
      <c r="E211" t="s">
        <v>4088</v>
      </c>
      <c r="F211" t="s">
        <v>4075</v>
      </c>
    </row>
    <row r="212" spans="1:6" x14ac:dyDescent="0.25">
      <c r="A212">
        <v>253</v>
      </c>
      <c r="B212" t="s">
        <v>4072</v>
      </c>
      <c r="C212">
        <v>15</v>
      </c>
      <c r="D212" t="s">
        <v>4080</v>
      </c>
      <c r="E212" t="s">
        <v>4081</v>
      </c>
      <c r="F212" t="s">
        <v>4076</v>
      </c>
    </row>
    <row r="213" spans="1:6" x14ac:dyDescent="0.25">
      <c r="A213">
        <v>253</v>
      </c>
      <c r="B213" t="s">
        <v>4072</v>
      </c>
      <c r="C213">
        <v>40</v>
      </c>
      <c r="D213" t="s">
        <v>4080</v>
      </c>
      <c r="E213" t="s">
        <v>4081</v>
      </c>
      <c r="F213" t="s">
        <v>4079</v>
      </c>
    </row>
    <row r="214" spans="1:6" x14ac:dyDescent="0.25">
      <c r="A214">
        <v>254</v>
      </c>
      <c r="B214" t="s">
        <v>4072</v>
      </c>
      <c r="C214">
        <v>5</v>
      </c>
      <c r="D214" t="s">
        <v>4087</v>
      </c>
      <c r="E214" t="s">
        <v>4088</v>
      </c>
      <c r="F214" t="s">
        <v>4075</v>
      </c>
    </row>
    <row r="215" spans="1:6" x14ac:dyDescent="0.25">
      <c r="A215">
        <v>254</v>
      </c>
      <c r="B215" t="s">
        <v>4072</v>
      </c>
      <c r="C215">
        <v>15</v>
      </c>
      <c r="D215" t="s">
        <v>4080</v>
      </c>
      <c r="E215" t="s">
        <v>4081</v>
      </c>
      <c r="F215" t="s">
        <v>4076</v>
      </c>
    </row>
    <row r="216" spans="1:6" x14ac:dyDescent="0.25">
      <c r="A216">
        <v>254</v>
      </c>
      <c r="B216" t="s">
        <v>4072</v>
      </c>
      <c r="C216">
        <v>40</v>
      </c>
      <c r="D216" t="s">
        <v>4080</v>
      </c>
      <c r="E216" t="s">
        <v>4081</v>
      </c>
      <c r="F216" t="s">
        <v>4079</v>
      </c>
    </row>
    <row r="217" spans="1:6" x14ac:dyDescent="0.25">
      <c r="A217">
        <v>256</v>
      </c>
      <c r="B217" t="s">
        <v>4072</v>
      </c>
      <c r="C217">
        <v>2</v>
      </c>
      <c r="D217" t="s">
        <v>4082</v>
      </c>
      <c r="E217" t="s">
        <v>4083</v>
      </c>
      <c r="F217" t="s">
        <v>4075</v>
      </c>
    </row>
    <row r="218" spans="1:6" x14ac:dyDescent="0.25">
      <c r="A218">
        <v>256</v>
      </c>
      <c r="B218" t="s">
        <v>4072</v>
      </c>
      <c r="C218">
        <v>17</v>
      </c>
      <c r="D218" t="s">
        <v>4082</v>
      </c>
      <c r="E218" t="s">
        <v>4084</v>
      </c>
      <c r="F218" t="s">
        <v>4076</v>
      </c>
    </row>
    <row r="219" spans="1:6" x14ac:dyDescent="0.25">
      <c r="A219">
        <v>258</v>
      </c>
      <c r="B219" t="s">
        <v>4072</v>
      </c>
      <c r="C219">
        <v>3</v>
      </c>
      <c r="D219" t="s">
        <v>4085</v>
      </c>
      <c r="E219" t="s">
        <v>4086</v>
      </c>
      <c r="F219" t="s">
        <v>4075</v>
      </c>
    </row>
    <row r="220" spans="1:6" x14ac:dyDescent="0.25">
      <c r="A220">
        <v>258</v>
      </c>
      <c r="B220" t="s">
        <v>4072</v>
      </c>
      <c r="C220">
        <v>15</v>
      </c>
      <c r="D220" t="s">
        <v>4080</v>
      </c>
      <c r="E220" t="s">
        <v>4081</v>
      </c>
      <c r="F220" t="s">
        <v>4076</v>
      </c>
    </row>
    <row r="221" spans="1:6" x14ac:dyDescent="0.25">
      <c r="A221">
        <v>263</v>
      </c>
      <c r="B221" t="s">
        <v>4072</v>
      </c>
      <c r="C221">
        <v>3</v>
      </c>
      <c r="D221" t="s">
        <v>4085</v>
      </c>
      <c r="E221" t="s">
        <v>4086</v>
      </c>
      <c r="F221" t="s">
        <v>4075</v>
      </c>
    </row>
    <row r="222" spans="1:6" x14ac:dyDescent="0.25">
      <c r="A222">
        <v>264</v>
      </c>
      <c r="B222" t="s">
        <v>4072</v>
      </c>
      <c r="C222">
        <v>5</v>
      </c>
      <c r="D222" t="s">
        <v>4087</v>
      </c>
      <c r="E222" t="s">
        <v>4088</v>
      </c>
      <c r="F222" t="s">
        <v>4075</v>
      </c>
    </row>
    <row r="223" spans="1:6" x14ac:dyDescent="0.25">
      <c r="A223">
        <v>268</v>
      </c>
      <c r="B223" t="s">
        <v>4072</v>
      </c>
      <c r="C223">
        <v>5</v>
      </c>
      <c r="D223" t="s">
        <v>4087</v>
      </c>
      <c r="E223" t="s">
        <v>4088</v>
      </c>
      <c r="F223" t="s">
        <v>4075</v>
      </c>
    </row>
    <row r="224" spans="1:6" x14ac:dyDescent="0.25">
      <c r="A224">
        <v>268</v>
      </c>
      <c r="B224" t="s">
        <v>4072</v>
      </c>
      <c r="C224">
        <v>15</v>
      </c>
      <c r="D224" t="s">
        <v>4080</v>
      </c>
      <c r="E224" t="s">
        <v>4081</v>
      </c>
      <c r="F224" t="s">
        <v>4076</v>
      </c>
    </row>
    <row r="225" spans="1:6" x14ac:dyDescent="0.25">
      <c r="A225">
        <v>273</v>
      </c>
      <c r="B225" t="s">
        <v>4072</v>
      </c>
      <c r="C225">
        <v>3</v>
      </c>
      <c r="D225" t="s">
        <v>4085</v>
      </c>
      <c r="E225" t="s">
        <v>4086</v>
      </c>
      <c r="F225" t="s">
        <v>4075</v>
      </c>
    </row>
    <row r="226" spans="1:6" x14ac:dyDescent="0.25">
      <c r="A226">
        <v>273</v>
      </c>
      <c r="B226" t="s">
        <v>4072</v>
      </c>
      <c r="C226">
        <v>15</v>
      </c>
      <c r="D226" t="s">
        <v>4080</v>
      </c>
      <c r="E226" t="s">
        <v>4081</v>
      </c>
      <c r="F226" t="s">
        <v>4076</v>
      </c>
    </row>
    <row r="227" spans="1:6" x14ac:dyDescent="0.25">
      <c r="A227">
        <v>274</v>
      </c>
      <c r="B227" t="s">
        <v>4072</v>
      </c>
      <c r="C227">
        <v>4</v>
      </c>
      <c r="D227" t="s">
        <v>4077</v>
      </c>
      <c r="E227" t="s">
        <v>4078</v>
      </c>
      <c r="F227" t="s">
        <v>4075</v>
      </c>
    </row>
    <row r="228" spans="1:6" x14ac:dyDescent="0.25">
      <c r="A228">
        <v>274</v>
      </c>
      <c r="B228" t="s">
        <v>4072</v>
      </c>
      <c r="C228">
        <v>16</v>
      </c>
      <c r="D228" t="s">
        <v>4077</v>
      </c>
      <c r="E228" t="s">
        <v>4078</v>
      </c>
      <c r="F228" t="s">
        <v>4076</v>
      </c>
    </row>
    <row r="229" spans="1:6" x14ac:dyDescent="0.25">
      <c r="A229">
        <v>275</v>
      </c>
      <c r="B229" t="s">
        <v>4072</v>
      </c>
      <c r="C229">
        <v>5</v>
      </c>
      <c r="D229" t="s">
        <v>4087</v>
      </c>
      <c r="E229" t="s">
        <v>4088</v>
      </c>
      <c r="F229" t="s">
        <v>4075</v>
      </c>
    </row>
    <row r="230" spans="1:6" x14ac:dyDescent="0.25">
      <c r="A230">
        <v>275</v>
      </c>
      <c r="B230" t="s">
        <v>4072</v>
      </c>
      <c r="C230">
        <v>15</v>
      </c>
      <c r="D230" t="s">
        <v>4080</v>
      </c>
      <c r="E230" t="s">
        <v>4081</v>
      </c>
      <c r="F230" t="s">
        <v>4076</v>
      </c>
    </row>
    <row r="231" spans="1:6" x14ac:dyDescent="0.25">
      <c r="A231">
        <v>280</v>
      </c>
      <c r="B231" t="s">
        <v>4072</v>
      </c>
      <c r="C231">
        <v>2</v>
      </c>
      <c r="D231" t="s">
        <v>4082</v>
      </c>
      <c r="E231" t="s">
        <v>4083</v>
      </c>
      <c r="F231" t="s">
        <v>4075</v>
      </c>
    </row>
    <row r="232" spans="1:6" x14ac:dyDescent="0.25">
      <c r="A232">
        <v>280</v>
      </c>
      <c r="B232" t="s">
        <v>4072</v>
      </c>
      <c r="C232">
        <v>17</v>
      </c>
      <c r="D232" t="s">
        <v>4082</v>
      </c>
      <c r="E232" t="s">
        <v>4084</v>
      </c>
      <c r="F232" t="s">
        <v>4076</v>
      </c>
    </row>
    <row r="233" spans="1:6" x14ac:dyDescent="0.25">
      <c r="A233">
        <v>286</v>
      </c>
      <c r="B233" t="s">
        <v>4072</v>
      </c>
      <c r="C233">
        <v>5</v>
      </c>
      <c r="D233" t="s">
        <v>4087</v>
      </c>
      <c r="E233" t="s">
        <v>4088</v>
      </c>
      <c r="F233" t="s">
        <v>4075</v>
      </c>
    </row>
    <row r="234" spans="1:6" x14ac:dyDescent="0.25">
      <c r="A234">
        <v>286</v>
      </c>
      <c r="B234" t="s">
        <v>4072</v>
      </c>
      <c r="C234">
        <v>15</v>
      </c>
      <c r="D234" t="s">
        <v>4080</v>
      </c>
      <c r="E234" t="s">
        <v>4081</v>
      </c>
      <c r="F234" t="s">
        <v>4076</v>
      </c>
    </row>
    <row r="235" spans="1:6" x14ac:dyDescent="0.25">
      <c r="A235">
        <v>286</v>
      </c>
      <c r="B235" t="s">
        <v>4072</v>
      </c>
      <c r="C235">
        <v>40</v>
      </c>
      <c r="D235" t="s">
        <v>4080</v>
      </c>
      <c r="E235" t="s">
        <v>4081</v>
      </c>
      <c r="F235" t="s">
        <v>4079</v>
      </c>
    </row>
    <row r="236" spans="1:6" x14ac:dyDescent="0.25">
      <c r="A236">
        <v>289</v>
      </c>
      <c r="B236" t="s">
        <v>4072</v>
      </c>
      <c r="C236">
        <v>2</v>
      </c>
      <c r="D236" t="s">
        <v>4082</v>
      </c>
      <c r="E236" t="s">
        <v>4083</v>
      </c>
      <c r="F236" t="s">
        <v>4075</v>
      </c>
    </row>
    <row r="237" spans="1:6" x14ac:dyDescent="0.25">
      <c r="A237">
        <v>293</v>
      </c>
      <c r="B237" t="s">
        <v>4072</v>
      </c>
      <c r="C237">
        <v>3</v>
      </c>
      <c r="D237" t="s">
        <v>4085</v>
      </c>
      <c r="E237" t="s">
        <v>4086</v>
      </c>
      <c r="F237" t="s">
        <v>4075</v>
      </c>
    </row>
    <row r="238" spans="1:6" x14ac:dyDescent="0.25">
      <c r="A238">
        <v>293</v>
      </c>
      <c r="B238" t="s">
        <v>4072</v>
      </c>
      <c r="C238">
        <v>15</v>
      </c>
      <c r="D238" t="s">
        <v>4080</v>
      </c>
      <c r="E238" t="s">
        <v>4081</v>
      </c>
      <c r="F238" t="s">
        <v>4076</v>
      </c>
    </row>
    <row r="239" spans="1:6" x14ac:dyDescent="0.25">
      <c r="A239">
        <v>293</v>
      </c>
      <c r="B239" t="s">
        <v>4072</v>
      </c>
      <c r="C239">
        <v>40</v>
      </c>
      <c r="D239" t="s">
        <v>4080</v>
      </c>
      <c r="E239" t="s">
        <v>4081</v>
      </c>
      <c r="F239" t="s">
        <v>4079</v>
      </c>
    </row>
    <row r="240" spans="1:6" x14ac:dyDescent="0.25">
      <c r="A240">
        <v>294</v>
      </c>
      <c r="B240" t="s">
        <v>4072</v>
      </c>
      <c r="C240">
        <v>3</v>
      </c>
      <c r="D240" t="s">
        <v>4085</v>
      </c>
      <c r="E240" t="s">
        <v>4086</v>
      </c>
      <c r="F240" t="s">
        <v>4075</v>
      </c>
    </row>
    <row r="241" spans="1:6" x14ac:dyDescent="0.25">
      <c r="A241">
        <v>294</v>
      </c>
      <c r="B241" t="s">
        <v>4072</v>
      </c>
      <c r="C241">
        <v>15</v>
      </c>
      <c r="D241" t="s">
        <v>4080</v>
      </c>
      <c r="E241" t="s">
        <v>4081</v>
      </c>
      <c r="F241" t="s">
        <v>4076</v>
      </c>
    </row>
    <row r="242" spans="1:6" x14ac:dyDescent="0.25">
      <c r="A242">
        <v>295</v>
      </c>
      <c r="B242" t="s">
        <v>4072</v>
      </c>
      <c r="C242">
        <v>5</v>
      </c>
      <c r="D242" t="s">
        <v>4087</v>
      </c>
      <c r="E242" t="s">
        <v>4088</v>
      </c>
      <c r="F242" t="s">
        <v>4075</v>
      </c>
    </row>
    <row r="243" spans="1:6" x14ac:dyDescent="0.25">
      <c r="A243">
        <v>295</v>
      </c>
      <c r="B243" t="s">
        <v>4072</v>
      </c>
      <c r="C243">
        <v>15</v>
      </c>
      <c r="D243" t="s">
        <v>4080</v>
      </c>
      <c r="E243" t="s">
        <v>4081</v>
      </c>
      <c r="F243" t="s">
        <v>4076</v>
      </c>
    </row>
    <row r="244" spans="1:6" x14ac:dyDescent="0.25">
      <c r="A244">
        <v>297</v>
      </c>
      <c r="B244" t="s">
        <v>4072</v>
      </c>
      <c r="C244">
        <v>4</v>
      </c>
      <c r="D244" t="s">
        <v>4077</v>
      </c>
      <c r="E244" t="s">
        <v>4078</v>
      </c>
      <c r="F244" t="s">
        <v>4075</v>
      </c>
    </row>
    <row r="245" spans="1:6" x14ac:dyDescent="0.25">
      <c r="A245">
        <v>297</v>
      </c>
      <c r="B245" t="s">
        <v>4072</v>
      </c>
      <c r="C245">
        <v>16</v>
      </c>
      <c r="D245" t="s">
        <v>4077</v>
      </c>
      <c r="E245" t="s">
        <v>4078</v>
      </c>
      <c r="F245" t="s">
        <v>4076</v>
      </c>
    </row>
    <row r="246" spans="1:6" x14ac:dyDescent="0.25">
      <c r="A246">
        <v>310</v>
      </c>
      <c r="B246" t="s">
        <v>4072</v>
      </c>
      <c r="C246">
        <v>3</v>
      </c>
      <c r="D246" t="s">
        <v>4085</v>
      </c>
      <c r="E246" t="s">
        <v>4086</v>
      </c>
      <c r="F246" t="s">
        <v>4075</v>
      </c>
    </row>
    <row r="247" spans="1:6" x14ac:dyDescent="0.25">
      <c r="A247">
        <v>310</v>
      </c>
      <c r="B247" t="s">
        <v>4072</v>
      </c>
      <c r="C247">
        <v>15</v>
      </c>
      <c r="D247" t="s">
        <v>4080</v>
      </c>
      <c r="E247" t="s">
        <v>4081</v>
      </c>
      <c r="F247" t="s">
        <v>4076</v>
      </c>
    </row>
    <row r="248" spans="1:6" x14ac:dyDescent="0.25">
      <c r="A248">
        <v>310</v>
      </c>
      <c r="B248" t="s">
        <v>4072</v>
      </c>
      <c r="C248">
        <v>40</v>
      </c>
      <c r="D248" t="s">
        <v>4080</v>
      </c>
      <c r="E248" t="s">
        <v>4081</v>
      </c>
      <c r="F248" t="s">
        <v>4079</v>
      </c>
    </row>
    <row r="249" spans="1:6" x14ac:dyDescent="0.25">
      <c r="A249">
        <v>311</v>
      </c>
      <c r="B249" t="s">
        <v>4072</v>
      </c>
      <c r="C249">
        <v>6</v>
      </c>
      <c r="D249" t="s">
        <v>4073</v>
      </c>
      <c r="E249" t="s">
        <v>4074</v>
      </c>
      <c r="F249" t="s">
        <v>4075</v>
      </c>
    </row>
    <row r="250" spans="1:6" x14ac:dyDescent="0.25">
      <c r="A250">
        <v>311</v>
      </c>
      <c r="B250" t="s">
        <v>4072</v>
      </c>
      <c r="C250">
        <v>19</v>
      </c>
      <c r="D250" t="s">
        <v>4073</v>
      </c>
      <c r="E250" t="s">
        <v>4074</v>
      </c>
      <c r="F250" t="s">
        <v>4076</v>
      </c>
    </row>
    <row r="251" spans="1:6" x14ac:dyDescent="0.25">
      <c r="A251">
        <v>311</v>
      </c>
      <c r="B251" t="s">
        <v>4072</v>
      </c>
      <c r="C251">
        <v>39</v>
      </c>
      <c r="D251" t="s">
        <v>4073</v>
      </c>
      <c r="E251" t="s">
        <v>4074</v>
      </c>
      <c r="F251" t="s">
        <v>4079</v>
      </c>
    </row>
    <row r="252" spans="1:6" x14ac:dyDescent="0.25">
      <c r="A252">
        <v>312</v>
      </c>
      <c r="B252" t="s">
        <v>4072</v>
      </c>
      <c r="C252">
        <v>1</v>
      </c>
      <c r="D252" t="s">
        <v>2761</v>
      </c>
      <c r="E252" t="s">
        <v>4089</v>
      </c>
      <c r="F252" t="s">
        <v>4075</v>
      </c>
    </row>
    <row r="253" spans="1:6" x14ac:dyDescent="0.25">
      <c r="A253">
        <v>312</v>
      </c>
      <c r="B253" t="s">
        <v>4072</v>
      </c>
      <c r="C253">
        <v>2</v>
      </c>
      <c r="D253" t="s">
        <v>4082</v>
      </c>
      <c r="E253" t="s">
        <v>4083</v>
      </c>
      <c r="F253" t="s">
        <v>4075</v>
      </c>
    </row>
    <row r="254" spans="1:6" x14ac:dyDescent="0.25">
      <c r="A254">
        <v>312</v>
      </c>
      <c r="B254" t="s">
        <v>4072</v>
      </c>
      <c r="C254">
        <v>17</v>
      </c>
      <c r="D254" t="s">
        <v>4082</v>
      </c>
      <c r="E254" t="s">
        <v>4084</v>
      </c>
      <c r="F254" t="s">
        <v>4076</v>
      </c>
    </row>
    <row r="255" spans="1:6" x14ac:dyDescent="0.25">
      <c r="A255">
        <v>313</v>
      </c>
      <c r="B255" t="s">
        <v>4072</v>
      </c>
      <c r="C255">
        <v>1</v>
      </c>
      <c r="D255" t="s">
        <v>2761</v>
      </c>
      <c r="E255" t="s">
        <v>4089</v>
      </c>
      <c r="F255" t="s">
        <v>4075</v>
      </c>
    </row>
    <row r="256" spans="1:6" x14ac:dyDescent="0.25">
      <c r="A256">
        <v>313</v>
      </c>
      <c r="B256" t="s">
        <v>4072</v>
      </c>
      <c r="C256">
        <v>2</v>
      </c>
      <c r="D256" t="s">
        <v>4082</v>
      </c>
      <c r="E256" t="s">
        <v>4083</v>
      </c>
      <c r="F256" t="s">
        <v>4075</v>
      </c>
    </row>
    <row r="257" spans="1:6" x14ac:dyDescent="0.25">
      <c r="A257">
        <v>313</v>
      </c>
      <c r="B257" t="s">
        <v>4072</v>
      </c>
      <c r="C257">
        <v>17</v>
      </c>
      <c r="D257" t="s">
        <v>4082</v>
      </c>
      <c r="E257" t="s">
        <v>4084</v>
      </c>
      <c r="F257" t="s">
        <v>4076</v>
      </c>
    </row>
    <row r="258" spans="1:6" x14ac:dyDescent="0.25">
      <c r="A258">
        <v>313</v>
      </c>
      <c r="B258" t="s">
        <v>4072</v>
      </c>
      <c r="C258">
        <v>38</v>
      </c>
      <c r="D258" t="s">
        <v>2761</v>
      </c>
      <c r="E258" t="s">
        <v>4089</v>
      </c>
      <c r="F258" t="s">
        <v>4076</v>
      </c>
    </row>
    <row r="259" spans="1:6" x14ac:dyDescent="0.25">
      <c r="A259">
        <v>318</v>
      </c>
      <c r="B259" t="s">
        <v>4072</v>
      </c>
      <c r="C259">
        <v>3</v>
      </c>
      <c r="D259" t="s">
        <v>4085</v>
      </c>
      <c r="E259" t="s">
        <v>4086</v>
      </c>
      <c r="F259" t="s">
        <v>4075</v>
      </c>
    </row>
    <row r="260" spans="1:6" x14ac:dyDescent="0.25">
      <c r="A260">
        <v>318</v>
      </c>
      <c r="B260" t="s">
        <v>4072</v>
      </c>
      <c r="C260">
        <v>15</v>
      </c>
      <c r="D260" t="s">
        <v>4080</v>
      </c>
      <c r="E260" t="s">
        <v>4081</v>
      </c>
      <c r="F260" t="s">
        <v>4076</v>
      </c>
    </row>
    <row r="261" spans="1:6" x14ac:dyDescent="0.25">
      <c r="A261">
        <v>319</v>
      </c>
      <c r="B261" t="s">
        <v>4072</v>
      </c>
      <c r="C261">
        <v>4</v>
      </c>
      <c r="D261" t="s">
        <v>4077</v>
      </c>
      <c r="E261" t="s">
        <v>4078</v>
      </c>
      <c r="F261" t="s">
        <v>4075</v>
      </c>
    </row>
    <row r="262" spans="1:6" x14ac:dyDescent="0.25">
      <c r="A262">
        <v>319</v>
      </c>
      <c r="B262" t="s">
        <v>4072</v>
      </c>
      <c r="C262">
        <v>16</v>
      </c>
      <c r="D262" t="s">
        <v>4077</v>
      </c>
      <c r="E262" t="s">
        <v>4078</v>
      </c>
      <c r="F262" t="s">
        <v>4076</v>
      </c>
    </row>
    <row r="263" spans="1:6" x14ac:dyDescent="0.25">
      <c r="A263">
        <v>320</v>
      </c>
      <c r="B263" t="s">
        <v>4092</v>
      </c>
      <c r="C263">
        <v>23</v>
      </c>
      <c r="D263" t="s">
        <v>2757</v>
      </c>
      <c r="E263" t="s">
        <v>4093</v>
      </c>
      <c r="F263" t="s">
        <v>4075</v>
      </c>
    </row>
    <row r="264" spans="1:6" x14ac:dyDescent="0.25">
      <c r="A264">
        <v>320</v>
      </c>
      <c r="B264" t="s">
        <v>4092</v>
      </c>
      <c r="C264">
        <v>28</v>
      </c>
      <c r="D264" t="s">
        <v>2757</v>
      </c>
      <c r="E264" t="s">
        <v>4093</v>
      </c>
      <c r="F264" t="s">
        <v>4076</v>
      </c>
    </row>
    <row r="265" spans="1:6" x14ac:dyDescent="0.25">
      <c r="A265">
        <v>331</v>
      </c>
      <c r="B265" t="s">
        <v>4072</v>
      </c>
      <c r="C265">
        <v>1</v>
      </c>
      <c r="D265" t="s">
        <v>2761</v>
      </c>
      <c r="E265" t="s">
        <v>4089</v>
      </c>
      <c r="F265" t="s">
        <v>4075</v>
      </c>
    </row>
    <row r="266" spans="1:6" x14ac:dyDescent="0.25">
      <c r="A266">
        <v>331</v>
      </c>
      <c r="B266" t="s">
        <v>4072</v>
      </c>
      <c r="C266">
        <v>38</v>
      </c>
      <c r="D266" t="s">
        <v>2761</v>
      </c>
      <c r="E266" t="s">
        <v>4089</v>
      </c>
      <c r="F266" t="s">
        <v>4076</v>
      </c>
    </row>
    <row r="267" spans="1:6" x14ac:dyDescent="0.25">
      <c r="A267">
        <v>332</v>
      </c>
      <c r="B267" t="s">
        <v>4072</v>
      </c>
      <c r="C267">
        <v>3</v>
      </c>
      <c r="D267" t="s">
        <v>4085</v>
      </c>
      <c r="E267" t="s">
        <v>4086</v>
      </c>
      <c r="F267" t="s">
        <v>4075</v>
      </c>
    </row>
    <row r="268" spans="1:6" x14ac:dyDescent="0.25">
      <c r="A268">
        <v>332</v>
      </c>
      <c r="B268" t="s">
        <v>4072</v>
      </c>
      <c r="C268">
        <v>15</v>
      </c>
      <c r="D268" t="s">
        <v>4080</v>
      </c>
      <c r="E268" t="s">
        <v>4081</v>
      </c>
      <c r="F268" t="s">
        <v>4076</v>
      </c>
    </row>
    <row r="269" spans="1:6" x14ac:dyDescent="0.25">
      <c r="A269">
        <v>333</v>
      </c>
      <c r="B269" t="s">
        <v>4072</v>
      </c>
      <c r="C269">
        <v>5</v>
      </c>
      <c r="D269" t="s">
        <v>4087</v>
      </c>
      <c r="E269" t="s">
        <v>4088</v>
      </c>
      <c r="F269" t="s">
        <v>4075</v>
      </c>
    </row>
    <row r="270" spans="1:6" x14ac:dyDescent="0.25">
      <c r="A270">
        <v>333</v>
      </c>
      <c r="B270" t="s">
        <v>4072</v>
      </c>
      <c r="C270">
        <v>15</v>
      </c>
      <c r="D270" t="s">
        <v>4080</v>
      </c>
      <c r="E270" t="s">
        <v>4081</v>
      </c>
      <c r="F270" t="s">
        <v>4076</v>
      </c>
    </row>
    <row r="271" spans="1:6" x14ac:dyDescent="0.25">
      <c r="A271">
        <v>334</v>
      </c>
      <c r="B271" t="s">
        <v>4072</v>
      </c>
      <c r="C271">
        <v>5</v>
      </c>
      <c r="D271" t="s">
        <v>4087</v>
      </c>
      <c r="E271" t="s">
        <v>4088</v>
      </c>
      <c r="F271" t="s">
        <v>4075</v>
      </c>
    </row>
    <row r="272" spans="1:6" x14ac:dyDescent="0.25">
      <c r="A272">
        <v>334</v>
      </c>
      <c r="B272" t="s">
        <v>4072</v>
      </c>
      <c r="C272">
        <v>15</v>
      </c>
      <c r="D272" t="s">
        <v>4080</v>
      </c>
      <c r="E272" t="s">
        <v>4081</v>
      </c>
      <c r="F272" t="s">
        <v>4076</v>
      </c>
    </row>
    <row r="273" spans="1:6" x14ac:dyDescent="0.25">
      <c r="A273">
        <v>335</v>
      </c>
      <c r="B273" t="s">
        <v>4072</v>
      </c>
      <c r="C273">
        <v>6</v>
      </c>
      <c r="D273" t="s">
        <v>4073</v>
      </c>
      <c r="E273" t="s">
        <v>4074</v>
      </c>
      <c r="F273" t="s">
        <v>4075</v>
      </c>
    </row>
    <row r="274" spans="1:6" x14ac:dyDescent="0.25">
      <c r="A274">
        <v>335</v>
      </c>
      <c r="B274" t="s">
        <v>4072</v>
      </c>
      <c r="C274">
        <v>19</v>
      </c>
      <c r="D274" t="s">
        <v>4073</v>
      </c>
      <c r="E274" t="s">
        <v>4074</v>
      </c>
      <c r="F274" t="s">
        <v>4076</v>
      </c>
    </row>
    <row r="275" spans="1:6" x14ac:dyDescent="0.25">
      <c r="A275">
        <v>336</v>
      </c>
      <c r="B275" t="s">
        <v>4072</v>
      </c>
      <c r="C275">
        <v>6</v>
      </c>
      <c r="D275" t="s">
        <v>4073</v>
      </c>
      <c r="E275" t="s">
        <v>4074</v>
      </c>
      <c r="F275" t="s">
        <v>4075</v>
      </c>
    </row>
    <row r="276" spans="1:6" x14ac:dyDescent="0.25">
      <c r="A276">
        <v>336</v>
      </c>
      <c r="B276" t="s">
        <v>4072</v>
      </c>
      <c r="C276">
        <v>12</v>
      </c>
      <c r="D276" t="s">
        <v>2159</v>
      </c>
      <c r="E276" t="s">
        <v>4094</v>
      </c>
      <c r="F276" t="s">
        <v>4076</v>
      </c>
    </row>
    <row r="277" spans="1:6" x14ac:dyDescent="0.25">
      <c r="A277">
        <v>336</v>
      </c>
      <c r="B277" t="s">
        <v>4072</v>
      </c>
      <c r="C277">
        <v>19</v>
      </c>
      <c r="D277" t="s">
        <v>4073</v>
      </c>
      <c r="E277" t="s">
        <v>4074</v>
      </c>
      <c r="F277" t="s">
        <v>4076</v>
      </c>
    </row>
    <row r="278" spans="1:6" x14ac:dyDescent="0.25">
      <c r="A278">
        <v>337</v>
      </c>
      <c r="B278" t="s">
        <v>4072</v>
      </c>
      <c r="C278">
        <v>4</v>
      </c>
      <c r="D278" t="s">
        <v>4077</v>
      </c>
      <c r="E278" t="s">
        <v>4078</v>
      </c>
      <c r="F278" t="s">
        <v>4075</v>
      </c>
    </row>
    <row r="279" spans="1:6" x14ac:dyDescent="0.25">
      <c r="A279">
        <v>337</v>
      </c>
      <c r="B279" t="s">
        <v>4072</v>
      </c>
      <c r="C279">
        <v>16</v>
      </c>
      <c r="D279" t="s">
        <v>4077</v>
      </c>
      <c r="E279" t="s">
        <v>4078</v>
      </c>
      <c r="F279" t="s">
        <v>4076</v>
      </c>
    </row>
    <row r="280" spans="1:6" x14ac:dyDescent="0.25">
      <c r="A280">
        <v>342</v>
      </c>
      <c r="B280" t="s">
        <v>4072</v>
      </c>
      <c r="C280">
        <v>6</v>
      </c>
      <c r="D280" t="s">
        <v>4073</v>
      </c>
      <c r="E280" t="s">
        <v>4074</v>
      </c>
      <c r="F280" t="s">
        <v>4075</v>
      </c>
    </row>
    <row r="281" spans="1:6" x14ac:dyDescent="0.25">
      <c r="A281">
        <v>342</v>
      </c>
      <c r="B281" t="s">
        <v>4072</v>
      </c>
      <c r="C281">
        <v>19</v>
      </c>
      <c r="D281" t="s">
        <v>4073</v>
      </c>
      <c r="E281" t="s">
        <v>4074</v>
      </c>
      <c r="F281" t="s">
        <v>4076</v>
      </c>
    </row>
    <row r="282" spans="1:6" x14ac:dyDescent="0.25">
      <c r="A282">
        <v>342</v>
      </c>
      <c r="B282" t="s">
        <v>4072</v>
      </c>
      <c r="C282">
        <v>39</v>
      </c>
      <c r="D282" t="s">
        <v>4073</v>
      </c>
      <c r="E282" t="s">
        <v>4074</v>
      </c>
      <c r="F282" t="s">
        <v>4079</v>
      </c>
    </row>
    <row r="283" spans="1:6" x14ac:dyDescent="0.25">
      <c r="A283">
        <v>351</v>
      </c>
      <c r="B283" t="s">
        <v>4072</v>
      </c>
      <c r="C283">
        <v>5</v>
      </c>
      <c r="D283" t="s">
        <v>4087</v>
      </c>
      <c r="E283" t="s">
        <v>4088</v>
      </c>
      <c r="F283" t="s">
        <v>4075</v>
      </c>
    </row>
    <row r="284" spans="1:6" x14ac:dyDescent="0.25">
      <c r="A284">
        <v>351</v>
      </c>
      <c r="B284" t="s">
        <v>4072</v>
      </c>
      <c r="C284">
        <v>15</v>
      </c>
      <c r="D284" t="s">
        <v>4080</v>
      </c>
      <c r="E284" t="s">
        <v>4081</v>
      </c>
      <c r="F284" t="s">
        <v>4076</v>
      </c>
    </row>
    <row r="285" spans="1:6" x14ac:dyDescent="0.25">
      <c r="A285">
        <v>351</v>
      </c>
      <c r="B285" t="s">
        <v>4072</v>
      </c>
      <c r="C285">
        <v>40</v>
      </c>
      <c r="D285" t="s">
        <v>4080</v>
      </c>
      <c r="E285" t="s">
        <v>4081</v>
      </c>
      <c r="F285" t="s">
        <v>4079</v>
      </c>
    </row>
    <row r="286" spans="1:6" x14ac:dyDescent="0.25">
      <c r="A286">
        <v>352</v>
      </c>
      <c r="B286" t="s">
        <v>4072</v>
      </c>
      <c r="C286">
        <v>15</v>
      </c>
      <c r="D286" t="s">
        <v>4080</v>
      </c>
      <c r="E286" t="s">
        <v>4081</v>
      </c>
      <c r="F286" t="s">
        <v>4076</v>
      </c>
    </row>
    <row r="287" spans="1:6" x14ac:dyDescent="0.25">
      <c r="A287">
        <v>352</v>
      </c>
      <c r="B287" t="s">
        <v>4072</v>
      </c>
      <c r="C287">
        <v>40</v>
      </c>
      <c r="D287" t="s">
        <v>4080</v>
      </c>
      <c r="E287" t="s">
        <v>4081</v>
      </c>
      <c r="F287" t="s">
        <v>4079</v>
      </c>
    </row>
    <row r="288" spans="1:6" x14ac:dyDescent="0.25">
      <c r="A288">
        <v>363</v>
      </c>
      <c r="B288" t="s">
        <v>4072</v>
      </c>
      <c r="C288">
        <v>6</v>
      </c>
      <c r="D288" t="s">
        <v>4073</v>
      </c>
      <c r="E288" t="s">
        <v>4074</v>
      </c>
      <c r="F288" t="s">
        <v>4075</v>
      </c>
    </row>
    <row r="289" spans="1:6" x14ac:dyDescent="0.25">
      <c r="A289">
        <v>363</v>
      </c>
      <c r="B289" t="s">
        <v>4072</v>
      </c>
      <c r="C289">
        <v>19</v>
      </c>
      <c r="D289" t="s">
        <v>4073</v>
      </c>
      <c r="E289" t="s">
        <v>4074</v>
      </c>
      <c r="F289" t="s">
        <v>4076</v>
      </c>
    </row>
    <row r="290" spans="1:6" x14ac:dyDescent="0.25">
      <c r="A290">
        <v>363</v>
      </c>
      <c r="B290" t="s">
        <v>4072</v>
      </c>
      <c r="C290">
        <v>39</v>
      </c>
      <c r="D290" t="s">
        <v>4073</v>
      </c>
      <c r="E290" t="s">
        <v>4074</v>
      </c>
      <c r="F290" t="s">
        <v>4079</v>
      </c>
    </row>
    <row r="291" spans="1:6" x14ac:dyDescent="0.25">
      <c r="A291">
        <v>374</v>
      </c>
      <c r="B291" t="s">
        <v>4072</v>
      </c>
      <c r="C291">
        <v>3</v>
      </c>
      <c r="D291" t="s">
        <v>4085</v>
      </c>
      <c r="E291" t="s">
        <v>4086</v>
      </c>
      <c r="F291" t="s">
        <v>4075</v>
      </c>
    </row>
    <row r="292" spans="1:6" x14ac:dyDescent="0.25">
      <c r="A292">
        <v>374</v>
      </c>
      <c r="B292" t="s">
        <v>4072</v>
      </c>
      <c r="C292">
        <v>15</v>
      </c>
      <c r="D292" t="s">
        <v>4080</v>
      </c>
      <c r="E292" t="s">
        <v>4081</v>
      </c>
      <c r="F292" t="s">
        <v>4076</v>
      </c>
    </row>
    <row r="293" spans="1:6" x14ac:dyDescent="0.25">
      <c r="A293">
        <v>374</v>
      </c>
      <c r="B293" t="s">
        <v>4072</v>
      </c>
      <c r="C293">
        <v>40</v>
      </c>
      <c r="D293" t="s">
        <v>4080</v>
      </c>
      <c r="E293" t="s">
        <v>4081</v>
      </c>
      <c r="F293" t="s">
        <v>4079</v>
      </c>
    </row>
    <row r="294" spans="1:6" x14ac:dyDescent="0.25">
      <c r="A294">
        <v>377</v>
      </c>
      <c r="B294" t="s">
        <v>4072</v>
      </c>
      <c r="C294">
        <v>1</v>
      </c>
      <c r="D294" t="s">
        <v>2761</v>
      </c>
      <c r="E294" t="s">
        <v>4089</v>
      </c>
      <c r="F294" t="s">
        <v>4075</v>
      </c>
    </row>
    <row r="295" spans="1:6" x14ac:dyDescent="0.25">
      <c r="A295">
        <v>377</v>
      </c>
      <c r="B295" t="s">
        <v>4072</v>
      </c>
      <c r="C295">
        <v>38</v>
      </c>
      <c r="D295" t="s">
        <v>2761</v>
      </c>
      <c r="E295" t="s">
        <v>4089</v>
      </c>
      <c r="F295" t="s">
        <v>4076</v>
      </c>
    </row>
    <row r="296" spans="1:6" x14ac:dyDescent="0.25">
      <c r="A296">
        <v>377</v>
      </c>
      <c r="B296" t="s">
        <v>4072</v>
      </c>
      <c r="C296">
        <v>43</v>
      </c>
      <c r="D296" t="s">
        <v>2761</v>
      </c>
      <c r="E296" t="s">
        <v>4089</v>
      </c>
      <c r="F296" t="s">
        <v>4079</v>
      </c>
    </row>
    <row r="297" spans="1:6" x14ac:dyDescent="0.25">
      <c r="A297">
        <v>378</v>
      </c>
      <c r="B297" t="s">
        <v>4072</v>
      </c>
      <c r="C297">
        <v>2</v>
      </c>
      <c r="D297" t="s">
        <v>4082</v>
      </c>
      <c r="E297" t="s">
        <v>4083</v>
      </c>
      <c r="F297" t="s">
        <v>4075</v>
      </c>
    </row>
    <row r="298" spans="1:6" x14ac:dyDescent="0.25">
      <c r="A298">
        <v>378</v>
      </c>
      <c r="B298" t="s">
        <v>4072</v>
      </c>
      <c r="C298">
        <v>17</v>
      </c>
      <c r="D298" t="s">
        <v>4082</v>
      </c>
      <c r="E298" t="s">
        <v>4084</v>
      </c>
      <c r="F298" t="s">
        <v>4076</v>
      </c>
    </row>
    <row r="299" spans="1:6" x14ac:dyDescent="0.25">
      <c r="A299">
        <v>378</v>
      </c>
      <c r="B299" t="s">
        <v>4072</v>
      </c>
      <c r="C299">
        <v>42</v>
      </c>
      <c r="D299" t="s">
        <v>4082</v>
      </c>
      <c r="E299" t="s">
        <v>4083</v>
      </c>
      <c r="F299" t="s">
        <v>4079</v>
      </c>
    </row>
    <row r="300" spans="1:6" x14ac:dyDescent="0.25">
      <c r="A300">
        <v>379</v>
      </c>
      <c r="B300" t="s">
        <v>4072</v>
      </c>
      <c r="C300">
        <v>5</v>
      </c>
      <c r="D300" t="s">
        <v>4087</v>
      </c>
      <c r="E300" t="s">
        <v>4088</v>
      </c>
      <c r="F300" t="s">
        <v>4075</v>
      </c>
    </row>
    <row r="301" spans="1:6" x14ac:dyDescent="0.25">
      <c r="A301">
        <v>379</v>
      </c>
      <c r="B301" t="s">
        <v>4072</v>
      </c>
      <c r="C301">
        <v>15</v>
      </c>
      <c r="D301" t="s">
        <v>4080</v>
      </c>
      <c r="E301" t="s">
        <v>4081</v>
      </c>
      <c r="F301" t="s">
        <v>4076</v>
      </c>
    </row>
    <row r="302" spans="1:6" x14ac:dyDescent="0.25">
      <c r="A302">
        <v>379</v>
      </c>
      <c r="B302" t="s">
        <v>4072</v>
      </c>
      <c r="C302">
        <v>40</v>
      </c>
      <c r="D302" t="s">
        <v>4080</v>
      </c>
      <c r="E302" t="s">
        <v>4081</v>
      </c>
      <c r="F302" t="s">
        <v>4079</v>
      </c>
    </row>
    <row r="303" spans="1:6" x14ac:dyDescent="0.25">
      <c r="A303">
        <v>380</v>
      </c>
      <c r="B303" t="s">
        <v>4072</v>
      </c>
      <c r="C303">
        <v>3</v>
      </c>
      <c r="D303" t="s">
        <v>4085</v>
      </c>
      <c r="E303" t="s">
        <v>4086</v>
      </c>
      <c r="F303" t="s">
        <v>4075</v>
      </c>
    </row>
    <row r="304" spans="1:6" x14ac:dyDescent="0.25">
      <c r="A304">
        <v>380</v>
      </c>
      <c r="B304" t="s">
        <v>4072</v>
      </c>
      <c r="C304">
        <v>15</v>
      </c>
      <c r="D304" t="s">
        <v>4080</v>
      </c>
      <c r="E304" t="s">
        <v>4081</v>
      </c>
      <c r="F304" t="s">
        <v>4076</v>
      </c>
    </row>
    <row r="305" spans="1:6" x14ac:dyDescent="0.25">
      <c r="A305">
        <v>380</v>
      </c>
      <c r="B305" t="s">
        <v>4072</v>
      </c>
      <c r="C305">
        <v>40</v>
      </c>
      <c r="D305" t="s">
        <v>4080</v>
      </c>
      <c r="E305" t="s">
        <v>4081</v>
      </c>
      <c r="F305" t="s">
        <v>4079</v>
      </c>
    </row>
    <row r="306" spans="1:6" x14ac:dyDescent="0.25">
      <c r="A306">
        <v>384</v>
      </c>
      <c r="B306" t="s">
        <v>4072</v>
      </c>
      <c r="C306">
        <v>5</v>
      </c>
      <c r="D306" t="s">
        <v>4087</v>
      </c>
      <c r="E306" t="s">
        <v>4088</v>
      </c>
      <c r="F306" t="s">
        <v>4075</v>
      </c>
    </row>
    <row r="307" spans="1:6" x14ac:dyDescent="0.25">
      <c r="A307">
        <v>384</v>
      </c>
      <c r="B307" t="s">
        <v>4072</v>
      </c>
      <c r="C307">
        <v>15</v>
      </c>
      <c r="D307" t="s">
        <v>4080</v>
      </c>
      <c r="E307" t="s">
        <v>4081</v>
      </c>
      <c r="F307" t="s">
        <v>4076</v>
      </c>
    </row>
    <row r="308" spans="1:6" x14ac:dyDescent="0.25">
      <c r="A308">
        <v>384</v>
      </c>
      <c r="B308" t="s">
        <v>4072</v>
      </c>
      <c r="C308">
        <v>40</v>
      </c>
      <c r="D308" t="s">
        <v>4080</v>
      </c>
      <c r="E308" t="s">
        <v>4081</v>
      </c>
      <c r="F308" t="s">
        <v>4079</v>
      </c>
    </row>
    <row r="309" spans="1:6" x14ac:dyDescent="0.25">
      <c r="A309">
        <v>385</v>
      </c>
      <c r="B309" t="s">
        <v>4072</v>
      </c>
      <c r="C309">
        <v>3</v>
      </c>
      <c r="D309" t="s">
        <v>4085</v>
      </c>
      <c r="E309" t="s">
        <v>4086</v>
      </c>
      <c r="F309" t="s">
        <v>4075</v>
      </c>
    </row>
    <row r="310" spans="1:6" x14ac:dyDescent="0.25">
      <c r="A310">
        <v>385</v>
      </c>
      <c r="B310" t="s">
        <v>4072</v>
      </c>
      <c r="C310">
        <v>15</v>
      </c>
      <c r="D310" t="s">
        <v>4080</v>
      </c>
      <c r="E310" t="s">
        <v>4081</v>
      </c>
      <c r="F310" t="s">
        <v>4076</v>
      </c>
    </row>
    <row r="311" spans="1:6" x14ac:dyDescent="0.25">
      <c r="A311">
        <v>385</v>
      </c>
      <c r="B311" t="s">
        <v>4072</v>
      </c>
      <c r="C311">
        <v>40</v>
      </c>
      <c r="D311" t="s">
        <v>4080</v>
      </c>
      <c r="E311" t="s">
        <v>4081</v>
      </c>
      <c r="F311" t="s">
        <v>4079</v>
      </c>
    </row>
    <row r="312" spans="1:6" x14ac:dyDescent="0.25">
      <c r="A312">
        <v>387</v>
      </c>
      <c r="B312" t="s">
        <v>4072</v>
      </c>
      <c r="C312">
        <v>2</v>
      </c>
      <c r="D312" t="s">
        <v>4082</v>
      </c>
      <c r="E312" t="s">
        <v>4083</v>
      </c>
      <c r="F312" t="s">
        <v>4075</v>
      </c>
    </row>
    <row r="313" spans="1:6" x14ac:dyDescent="0.25">
      <c r="A313">
        <v>387</v>
      </c>
      <c r="B313" t="s">
        <v>4072</v>
      </c>
      <c r="C313">
        <v>17</v>
      </c>
      <c r="D313" t="s">
        <v>4082</v>
      </c>
      <c r="E313" t="s">
        <v>4084</v>
      </c>
      <c r="F313" t="s">
        <v>4076</v>
      </c>
    </row>
    <row r="314" spans="1:6" x14ac:dyDescent="0.25">
      <c r="A314">
        <v>387</v>
      </c>
      <c r="B314" t="s">
        <v>4072</v>
      </c>
      <c r="C314">
        <v>42</v>
      </c>
      <c r="D314" t="s">
        <v>4082</v>
      </c>
      <c r="E314" t="s">
        <v>4083</v>
      </c>
      <c r="F314" t="s">
        <v>4079</v>
      </c>
    </row>
    <row r="315" spans="1:6" x14ac:dyDescent="0.25">
      <c r="A315">
        <v>388</v>
      </c>
      <c r="B315" t="s">
        <v>4072</v>
      </c>
      <c r="C315">
        <v>2</v>
      </c>
      <c r="D315" t="s">
        <v>4082</v>
      </c>
      <c r="E315" t="s">
        <v>4083</v>
      </c>
      <c r="F315" t="s">
        <v>4075</v>
      </c>
    </row>
    <row r="316" spans="1:6" x14ac:dyDescent="0.25">
      <c r="A316">
        <v>388</v>
      </c>
      <c r="B316" t="s">
        <v>4072</v>
      </c>
      <c r="C316">
        <v>17</v>
      </c>
      <c r="D316" t="s">
        <v>4082</v>
      </c>
      <c r="E316" t="s">
        <v>4084</v>
      </c>
      <c r="F316" t="s">
        <v>4076</v>
      </c>
    </row>
    <row r="317" spans="1:6" x14ac:dyDescent="0.25">
      <c r="A317">
        <v>388</v>
      </c>
      <c r="B317" t="s">
        <v>4072</v>
      </c>
      <c r="C317">
        <v>42</v>
      </c>
      <c r="D317" t="s">
        <v>4082</v>
      </c>
      <c r="E317" t="s">
        <v>4083</v>
      </c>
      <c r="F317" t="s">
        <v>4079</v>
      </c>
    </row>
    <row r="318" spans="1:6" x14ac:dyDescent="0.25">
      <c r="A318">
        <v>390</v>
      </c>
      <c r="B318" t="s">
        <v>4072</v>
      </c>
      <c r="C318">
        <v>3</v>
      </c>
      <c r="D318" t="s">
        <v>4085</v>
      </c>
      <c r="E318" t="s">
        <v>4086</v>
      </c>
      <c r="F318" t="s">
        <v>4075</v>
      </c>
    </row>
    <row r="319" spans="1:6" x14ac:dyDescent="0.25">
      <c r="A319">
        <v>390</v>
      </c>
      <c r="B319" t="s">
        <v>4072</v>
      </c>
      <c r="C319">
        <v>15</v>
      </c>
      <c r="D319" t="s">
        <v>4080</v>
      </c>
      <c r="E319" t="s">
        <v>4081</v>
      </c>
      <c r="F319" t="s">
        <v>4076</v>
      </c>
    </row>
    <row r="320" spans="1:6" x14ac:dyDescent="0.25">
      <c r="A320">
        <v>390</v>
      </c>
      <c r="B320" t="s">
        <v>4072</v>
      </c>
      <c r="C320">
        <v>40</v>
      </c>
      <c r="D320" t="s">
        <v>4080</v>
      </c>
      <c r="E320" t="s">
        <v>4081</v>
      </c>
      <c r="F320" t="s">
        <v>4079</v>
      </c>
    </row>
    <row r="321" spans="1:6" x14ac:dyDescent="0.25">
      <c r="A321">
        <v>391</v>
      </c>
      <c r="B321" t="s">
        <v>4072</v>
      </c>
      <c r="C321">
        <v>5</v>
      </c>
      <c r="D321" t="s">
        <v>4087</v>
      </c>
      <c r="E321" t="s">
        <v>4088</v>
      </c>
      <c r="F321" t="s">
        <v>4075</v>
      </c>
    </row>
    <row r="322" spans="1:6" x14ac:dyDescent="0.25">
      <c r="A322">
        <v>391</v>
      </c>
      <c r="B322" t="s">
        <v>4072</v>
      </c>
      <c r="C322">
        <v>15</v>
      </c>
      <c r="D322" t="s">
        <v>4080</v>
      </c>
      <c r="E322" t="s">
        <v>4081</v>
      </c>
      <c r="F322" t="s">
        <v>4076</v>
      </c>
    </row>
    <row r="323" spans="1:6" x14ac:dyDescent="0.25">
      <c r="A323">
        <v>391</v>
      </c>
      <c r="B323" t="s">
        <v>4072</v>
      </c>
      <c r="C323">
        <v>40</v>
      </c>
      <c r="D323" t="s">
        <v>4080</v>
      </c>
      <c r="E323" t="s">
        <v>4081</v>
      </c>
      <c r="F323" t="s">
        <v>4079</v>
      </c>
    </row>
    <row r="324" spans="1:6" x14ac:dyDescent="0.25">
      <c r="A324">
        <v>393</v>
      </c>
      <c r="B324" t="s">
        <v>4072</v>
      </c>
      <c r="C324">
        <v>5</v>
      </c>
      <c r="D324" t="s">
        <v>4087</v>
      </c>
      <c r="E324" t="s">
        <v>4088</v>
      </c>
      <c r="F324" t="s">
        <v>4075</v>
      </c>
    </row>
    <row r="325" spans="1:6" x14ac:dyDescent="0.25">
      <c r="A325">
        <v>393</v>
      </c>
      <c r="B325" t="s">
        <v>4072</v>
      </c>
      <c r="C325">
        <v>15</v>
      </c>
      <c r="D325" t="s">
        <v>4080</v>
      </c>
      <c r="E325" t="s">
        <v>4081</v>
      </c>
      <c r="F325" t="s">
        <v>4076</v>
      </c>
    </row>
    <row r="326" spans="1:6" x14ac:dyDescent="0.25">
      <c r="A326">
        <v>393</v>
      </c>
      <c r="B326" t="s">
        <v>4072</v>
      </c>
      <c r="C326">
        <v>40</v>
      </c>
      <c r="D326" t="s">
        <v>4080</v>
      </c>
      <c r="E326" t="s">
        <v>4081</v>
      </c>
      <c r="F326" t="s">
        <v>4079</v>
      </c>
    </row>
    <row r="327" spans="1:6" x14ac:dyDescent="0.25">
      <c r="A327">
        <v>396</v>
      </c>
      <c r="B327" t="s">
        <v>4072</v>
      </c>
      <c r="C327">
        <v>2</v>
      </c>
      <c r="D327" t="s">
        <v>4082</v>
      </c>
      <c r="E327" t="s">
        <v>4083</v>
      </c>
      <c r="F327" t="s">
        <v>4075</v>
      </c>
    </row>
    <row r="328" spans="1:6" x14ac:dyDescent="0.25">
      <c r="A328">
        <v>396</v>
      </c>
      <c r="B328" t="s">
        <v>4072</v>
      </c>
      <c r="C328">
        <v>17</v>
      </c>
      <c r="D328" t="s">
        <v>4082</v>
      </c>
      <c r="E328" t="s">
        <v>4084</v>
      </c>
      <c r="F328" t="s">
        <v>4076</v>
      </c>
    </row>
    <row r="329" spans="1:6" x14ac:dyDescent="0.25">
      <c r="A329">
        <v>396</v>
      </c>
      <c r="B329" t="s">
        <v>4072</v>
      </c>
      <c r="C329">
        <v>42</v>
      </c>
      <c r="D329" t="s">
        <v>4082</v>
      </c>
      <c r="E329" t="s">
        <v>4083</v>
      </c>
      <c r="F329" t="s">
        <v>4079</v>
      </c>
    </row>
    <row r="330" spans="1:6" x14ac:dyDescent="0.25">
      <c r="A330">
        <v>398</v>
      </c>
      <c r="B330" t="s">
        <v>4072</v>
      </c>
      <c r="C330">
        <v>3</v>
      </c>
      <c r="D330" t="s">
        <v>4085</v>
      </c>
      <c r="E330" t="s">
        <v>4086</v>
      </c>
      <c r="F330" t="s">
        <v>4075</v>
      </c>
    </row>
    <row r="331" spans="1:6" x14ac:dyDescent="0.25">
      <c r="A331">
        <v>398</v>
      </c>
      <c r="B331" t="s">
        <v>4072</v>
      </c>
      <c r="C331">
        <v>15</v>
      </c>
      <c r="D331" t="s">
        <v>4080</v>
      </c>
      <c r="E331" t="s">
        <v>4081</v>
      </c>
      <c r="F331" t="s">
        <v>4076</v>
      </c>
    </row>
    <row r="332" spans="1:6" x14ac:dyDescent="0.25">
      <c r="A332">
        <v>398</v>
      </c>
      <c r="B332" t="s">
        <v>4072</v>
      </c>
      <c r="C332">
        <v>40</v>
      </c>
      <c r="D332" t="s">
        <v>4080</v>
      </c>
      <c r="E332" t="s">
        <v>4081</v>
      </c>
      <c r="F332" t="s">
        <v>4079</v>
      </c>
    </row>
    <row r="333" spans="1:6" x14ac:dyDescent="0.25">
      <c r="A333">
        <v>399</v>
      </c>
      <c r="B333" t="s">
        <v>4072</v>
      </c>
      <c r="C333">
        <v>5</v>
      </c>
      <c r="D333" t="s">
        <v>4087</v>
      </c>
      <c r="E333" t="s">
        <v>4088</v>
      </c>
      <c r="F333" t="s">
        <v>4075</v>
      </c>
    </row>
    <row r="334" spans="1:6" x14ac:dyDescent="0.25">
      <c r="A334">
        <v>399</v>
      </c>
      <c r="B334" t="s">
        <v>4072</v>
      </c>
      <c r="C334">
        <v>15</v>
      </c>
      <c r="D334" t="s">
        <v>4080</v>
      </c>
      <c r="E334" t="s">
        <v>4081</v>
      </c>
      <c r="F334" t="s">
        <v>4076</v>
      </c>
    </row>
    <row r="335" spans="1:6" x14ac:dyDescent="0.25">
      <c r="A335">
        <v>399</v>
      </c>
      <c r="B335" t="s">
        <v>4072</v>
      </c>
      <c r="C335">
        <v>40</v>
      </c>
      <c r="D335" t="s">
        <v>4080</v>
      </c>
      <c r="E335" t="s">
        <v>4081</v>
      </c>
      <c r="F335" t="s">
        <v>4079</v>
      </c>
    </row>
    <row r="336" spans="1:6" x14ac:dyDescent="0.25">
      <c r="A336">
        <v>400</v>
      </c>
      <c r="B336" t="s">
        <v>4072</v>
      </c>
      <c r="C336">
        <v>5</v>
      </c>
      <c r="D336" t="s">
        <v>4087</v>
      </c>
      <c r="E336" t="s">
        <v>4088</v>
      </c>
      <c r="F336" t="s">
        <v>4075</v>
      </c>
    </row>
    <row r="337" spans="1:6" x14ac:dyDescent="0.25">
      <c r="A337">
        <v>400</v>
      </c>
      <c r="B337" t="s">
        <v>4072</v>
      </c>
      <c r="C337">
        <v>15</v>
      </c>
      <c r="D337" t="s">
        <v>4080</v>
      </c>
      <c r="E337" t="s">
        <v>4081</v>
      </c>
      <c r="F337" t="s">
        <v>4076</v>
      </c>
    </row>
    <row r="338" spans="1:6" x14ac:dyDescent="0.25">
      <c r="A338">
        <v>400</v>
      </c>
      <c r="B338" t="s">
        <v>4072</v>
      </c>
      <c r="C338">
        <v>40</v>
      </c>
      <c r="D338" t="s">
        <v>4080</v>
      </c>
      <c r="E338" t="s">
        <v>4081</v>
      </c>
      <c r="F338" t="s">
        <v>4079</v>
      </c>
    </row>
    <row r="339" spans="1:6" x14ac:dyDescent="0.25">
      <c r="A339">
        <v>404</v>
      </c>
      <c r="B339" t="s">
        <v>4072</v>
      </c>
      <c r="C339">
        <v>5</v>
      </c>
      <c r="D339" t="s">
        <v>4087</v>
      </c>
      <c r="E339" t="s">
        <v>4088</v>
      </c>
      <c r="F339" t="s">
        <v>4075</v>
      </c>
    </row>
    <row r="340" spans="1:6" x14ac:dyDescent="0.25">
      <c r="A340">
        <v>404</v>
      </c>
      <c r="B340" t="s">
        <v>4072</v>
      </c>
      <c r="C340">
        <v>15</v>
      </c>
      <c r="D340" t="s">
        <v>4080</v>
      </c>
      <c r="E340" t="s">
        <v>4081</v>
      </c>
      <c r="F340" t="s">
        <v>4076</v>
      </c>
    </row>
    <row r="341" spans="1:6" x14ac:dyDescent="0.25">
      <c r="A341">
        <v>404</v>
      </c>
      <c r="B341" t="s">
        <v>4072</v>
      </c>
      <c r="C341">
        <v>40</v>
      </c>
      <c r="D341" t="s">
        <v>4080</v>
      </c>
      <c r="E341" t="s">
        <v>4081</v>
      </c>
      <c r="F341" t="s">
        <v>4079</v>
      </c>
    </row>
    <row r="342" spans="1:6" x14ac:dyDescent="0.25">
      <c r="A342">
        <v>406</v>
      </c>
      <c r="B342" t="s">
        <v>4072</v>
      </c>
      <c r="C342">
        <v>3</v>
      </c>
      <c r="D342" t="s">
        <v>4085</v>
      </c>
      <c r="E342" t="s">
        <v>4086</v>
      </c>
      <c r="F342" t="s">
        <v>4075</v>
      </c>
    </row>
    <row r="343" spans="1:6" x14ac:dyDescent="0.25">
      <c r="A343">
        <v>406</v>
      </c>
      <c r="B343" t="s">
        <v>4072</v>
      </c>
      <c r="C343">
        <v>15</v>
      </c>
      <c r="D343" t="s">
        <v>4080</v>
      </c>
      <c r="E343" t="s">
        <v>4081</v>
      </c>
      <c r="F343" t="s">
        <v>4076</v>
      </c>
    </row>
    <row r="344" spans="1:6" x14ac:dyDescent="0.25">
      <c r="A344">
        <v>406</v>
      </c>
      <c r="B344" t="s">
        <v>4072</v>
      </c>
      <c r="C344">
        <v>40</v>
      </c>
      <c r="D344" t="s">
        <v>4080</v>
      </c>
      <c r="E344" t="s">
        <v>4081</v>
      </c>
      <c r="F344" t="s">
        <v>4079</v>
      </c>
    </row>
    <row r="345" spans="1:6" x14ac:dyDescent="0.25">
      <c r="A345">
        <v>407</v>
      </c>
      <c r="B345" t="s">
        <v>4072</v>
      </c>
      <c r="C345">
        <v>5</v>
      </c>
      <c r="D345" t="s">
        <v>4087</v>
      </c>
      <c r="E345" t="s">
        <v>4088</v>
      </c>
      <c r="F345" t="s">
        <v>4075</v>
      </c>
    </row>
    <row r="346" spans="1:6" x14ac:dyDescent="0.25">
      <c r="A346">
        <v>407</v>
      </c>
      <c r="B346" t="s">
        <v>4072</v>
      </c>
      <c r="C346">
        <v>15</v>
      </c>
      <c r="D346" t="s">
        <v>4080</v>
      </c>
      <c r="E346" t="s">
        <v>4081</v>
      </c>
      <c r="F346" t="s">
        <v>4076</v>
      </c>
    </row>
    <row r="347" spans="1:6" x14ac:dyDescent="0.25">
      <c r="A347">
        <v>407</v>
      </c>
      <c r="B347" t="s">
        <v>4072</v>
      </c>
      <c r="C347">
        <v>40</v>
      </c>
      <c r="D347" t="s">
        <v>4080</v>
      </c>
      <c r="E347" t="s">
        <v>4081</v>
      </c>
      <c r="F347" t="s">
        <v>4079</v>
      </c>
    </row>
    <row r="348" spans="1:6" x14ac:dyDescent="0.25">
      <c r="A348">
        <v>408</v>
      </c>
      <c r="B348" t="s">
        <v>4072</v>
      </c>
      <c r="C348">
        <v>5</v>
      </c>
      <c r="D348" t="s">
        <v>4087</v>
      </c>
      <c r="E348" t="s">
        <v>4088</v>
      </c>
      <c r="F348" t="s">
        <v>4075</v>
      </c>
    </row>
    <row r="349" spans="1:6" x14ac:dyDescent="0.25">
      <c r="A349">
        <v>408</v>
      </c>
      <c r="B349" t="s">
        <v>4072</v>
      </c>
      <c r="C349">
        <v>15</v>
      </c>
      <c r="D349" t="s">
        <v>4080</v>
      </c>
      <c r="E349" t="s">
        <v>4081</v>
      </c>
      <c r="F349" t="s">
        <v>4076</v>
      </c>
    </row>
    <row r="350" spans="1:6" x14ac:dyDescent="0.25">
      <c r="A350">
        <v>408</v>
      </c>
      <c r="B350" t="s">
        <v>4072</v>
      </c>
      <c r="C350">
        <v>40</v>
      </c>
      <c r="D350" t="s">
        <v>4080</v>
      </c>
      <c r="E350" t="s">
        <v>4081</v>
      </c>
      <c r="F350" t="s">
        <v>4079</v>
      </c>
    </row>
    <row r="351" spans="1:6" x14ac:dyDescent="0.25">
      <c r="A351">
        <v>410</v>
      </c>
      <c r="B351" t="s">
        <v>4072</v>
      </c>
      <c r="C351">
        <v>3</v>
      </c>
      <c r="D351" t="s">
        <v>4085</v>
      </c>
      <c r="E351" t="s">
        <v>4086</v>
      </c>
      <c r="F351" t="s">
        <v>4075</v>
      </c>
    </row>
    <row r="352" spans="1:6" x14ac:dyDescent="0.25">
      <c r="A352">
        <v>410</v>
      </c>
      <c r="B352" t="s">
        <v>4072</v>
      </c>
      <c r="C352">
        <v>15</v>
      </c>
      <c r="D352" t="s">
        <v>4080</v>
      </c>
      <c r="E352" t="s">
        <v>4081</v>
      </c>
      <c r="F352" t="s">
        <v>4076</v>
      </c>
    </row>
    <row r="353" spans="1:6" x14ac:dyDescent="0.25">
      <c r="A353">
        <v>410</v>
      </c>
      <c r="B353" t="s">
        <v>4072</v>
      </c>
      <c r="C353">
        <v>40</v>
      </c>
      <c r="D353" t="s">
        <v>4080</v>
      </c>
      <c r="E353" t="s">
        <v>4081</v>
      </c>
      <c r="F353" t="s">
        <v>4079</v>
      </c>
    </row>
    <row r="354" spans="1:6" x14ac:dyDescent="0.25">
      <c r="A354">
        <v>412</v>
      </c>
      <c r="B354" t="s">
        <v>4072</v>
      </c>
      <c r="C354">
        <v>4</v>
      </c>
      <c r="D354" t="s">
        <v>4077</v>
      </c>
      <c r="E354" t="s">
        <v>4078</v>
      </c>
      <c r="F354" t="s">
        <v>4075</v>
      </c>
    </row>
    <row r="355" spans="1:6" x14ac:dyDescent="0.25">
      <c r="A355">
        <v>412</v>
      </c>
      <c r="B355" t="s">
        <v>4072</v>
      </c>
      <c r="C355">
        <v>16</v>
      </c>
      <c r="D355" t="s">
        <v>4077</v>
      </c>
      <c r="E355" t="s">
        <v>4078</v>
      </c>
      <c r="F355" t="s">
        <v>4076</v>
      </c>
    </row>
    <row r="356" spans="1:6" x14ac:dyDescent="0.25">
      <c r="A356">
        <v>413</v>
      </c>
      <c r="B356" t="s">
        <v>4072</v>
      </c>
      <c r="C356">
        <v>5</v>
      </c>
      <c r="D356" t="s">
        <v>4087</v>
      </c>
      <c r="E356" t="s">
        <v>4088</v>
      </c>
      <c r="F356" t="s">
        <v>4075</v>
      </c>
    </row>
    <row r="357" spans="1:6" x14ac:dyDescent="0.25">
      <c r="A357">
        <v>413</v>
      </c>
      <c r="B357" t="s">
        <v>4072</v>
      </c>
      <c r="C357">
        <v>15</v>
      </c>
      <c r="D357" t="s">
        <v>4080</v>
      </c>
      <c r="E357" t="s">
        <v>4081</v>
      </c>
      <c r="F357" t="s">
        <v>4076</v>
      </c>
    </row>
    <row r="358" spans="1:6" x14ac:dyDescent="0.25">
      <c r="A358">
        <v>413</v>
      </c>
      <c r="B358" t="s">
        <v>4072</v>
      </c>
      <c r="C358">
        <v>40</v>
      </c>
      <c r="D358" t="s">
        <v>4080</v>
      </c>
      <c r="E358" t="s">
        <v>4081</v>
      </c>
      <c r="F358" t="s">
        <v>4079</v>
      </c>
    </row>
    <row r="359" spans="1:6" x14ac:dyDescent="0.25">
      <c r="A359">
        <v>416</v>
      </c>
      <c r="B359" t="s">
        <v>4072</v>
      </c>
      <c r="C359">
        <v>5</v>
      </c>
      <c r="D359" t="s">
        <v>4087</v>
      </c>
      <c r="E359" t="s">
        <v>4088</v>
      </c>
      <c r="F359" t="s">
        <v>4075</v>
      </c>
    </row>
    <row r="360" spans="1:6" x14ac:dyDescent="0.25">
      <c r="A360">
        <v>416</v>
      </c>
      <c r="B360" t="s">
        <v>4072</v>
      </c>
      <c r="C360">
        <v>15</v>
      </c>
      <c r="D360" t="s">
        <v>4080</v>
      </c>
      <c r="E360" t="s">
        <v>4081</v>
      </c>
      <c r="F360" t="s">
        <v>4076</v>
      </c>
    </row>
    <row r="361" spans="1:6" x14ac:dyDescent="0.25">
      <c r="A361">
        <v>417</v>
      </c>
      <c r="B361" t="s">
        <v>4072</v>
      </c>
      <c r="C361">
        <v>5</v>
      </c>
      <c r="D361" t="s">
        <v>4087</v>
      </c>
      <c r="E361" t="s">
        <v>4088</v>
      </c>
      <c r="F361" t="s">
        <v>4075</v>
      </c>
    </row>
    <row r="362" spans="1:6" x14ac:dyDescent="0.25">
      <c r="A362">
        <v>417</v>
      </c>
      <c r="B362" t="s">
        <v>4072</v>
      </c>
      <c r="C362">
        <v>15</v>
      </c>
      <c r="D362" t="s">
        <v>4080</v>
      </c>
      <c r="E362" t="s">
        <v>4081</v>
      </c>
      <c r="F362" t="s">
        <v>4076</v>
      </c>
    </row>
    <row r="363" spans="1:6" x14ac:dyDescent="0.25">
      <c r="A363">
        <v>418</v>
      </c>
      <c r="B363" t="s">
        <v>4072</v>
      </c>
      <c r="C363">
        <v>3</v>
      </c>
      <c r="D363" t="s">
        <v>4085</v>
      </c>
      <c r="E363" t="s">
        <v>4086</v>
      </c>
      <c r="F363" t="s">
        <v>4075</v>
      </c>
    </row>
    <row r="364" spans="1:6" x14ac:dyDescent="0.25">
      <c r="A364">
        <v>418</v>
      </c>
      <c r="B364" t="s">
        <v>4072</v>
      </c>
      <c r="C364">
        <v>15</v>
      </c>
      <c r="D364" t="s">
        <v>4080</v>
      </c>
      <c r="E364" t="s">
        <v>4081</v>
      </c>
      <c r="F364" t="s">
        <v>4076</v>
      </c>
    </row>
    <row r="365" spans="1:6" x14ac:dyDescent="0.25">
      <c r="A365">
        <v>419</v>
      </c>
      <c r="B365" t="s">
        <v>4072</v>
      </c>
      <c r="C365">
        <v>1</v>
      </c>
      <c r="D365" t="s">
        <v>2761</v>
      </c>
      <c r="E365" t="s">
        <v>4089</v>
      </c>
      <c r="F365" t="s">
        <v>4075</v>
      </c>
    </row>
    <row r="366" spans="1:6" x14ac:dyDescent="0.25">
      <c r="A366">
        <v>419</v>
      </c>
      <c r="B366" t="s">
        <v>4072</v>
      </c>
      <c r="C366">
        <v>38</v>
      </c>
      <c r="D366" t="s">
        <v>2761</v>
      </c>
      <c r="E366" t="s">
        <v>4089</v>
      </c>
      <c r="F366" t="s">
        <v>4076</v>
      </c>
    </row>
    <row r="367" spans="1:6" x14ac:dyDescent="0.25">
      <c r="A367">
        <v>420</v>
      </c>
      <c r="B367" t="s">
        <v>4072</v>
      </c>
      <c r="C367">
        <v>2</v>
      </c>
      <c r="D367" t="s">
        <v>4082</v>
      </c>
      <c r="E367" t="s">
        <v>4083</v>
      </c>
      <c r="F367" t="s">
        <v>4075</v>
      </c>
    </row>
    <row r="368" spans="1:6" x14ac:dyDescent="0.25">
      <c r="A368">
        <v>420</v>
      </c>
      <c r="B368" t="s">
        <v>4072</v>
      </c>
      <c r="C368">
        <v>17</v>
      </c>
      <c r="D368" t="s">
        <v>4082</v>
      </c>
      <c r="E368" t="s">
        <v>4084</v>
      </c>
      <c r="F368" t="s">
        <v>4076</v>
      </c>
    </row>
    <row r="369" spans="1:6" x14ac:dyDescent="0.25">
      <c r="A369">
        <v>422</v>
      </c>
      <c r="B369" t="s">
        <v>4092</v>
      </c>
      <c r="C369">
        <v>23</v>
      </c>
      <c r="D369" t="s">
        <v>2757</v>
      </c>
      <c r="E369" t="s">
        <v>4093</v>
      </c>
      <c r="F369" t="s">
        <v>4075</v>
      </c>
    </row>
    <row r="370" spans="1:6" x14ac:dyDescent="0.25">
      <c r="A370">
        <v>422</v>
      </c>
      <c r="B370" t="s">
        <v>4092</v>
      </c>
      <c r="C370">
        <v>28</v>
      </c>
      <c r="D370" t="s">
        <v>2757</v>
      </c>
      <c r="E370" t="s">
        <v>4093</v>
      </c>
      <c r="F370" t="s">
        <v>4076</v>
      </c>
    </row>
    <row r="371" spans="1:6" x14ac:dyDescent="0.25">
      <c r="A371">
        <v>422</v>
      </c>
      <c r="B371" t="s">
        <v>4092</v>
      </c>
      <c r="C371">
        <v>48</v>
      </c>
      <c r="D371" t="s">
        <v>2757</v>
      </c>
      <c r="E371" t="s">
        <v>4093</v>
      </c>
      <c r="F371" t="s">
        <v>4079</v>
      </c>
    </row>
    <row r="372" spans="1:6" x14ac:dyDescent="0.25">
      <c r="A372">
        <v>424</v>
      </c>
      <c r="B372" t="s">
        <v>4072</v>
      </c>
      <c r="C372">
        <v>4</v>
      </c>
      <c r="D372" t="s">
        <v>4077</v>
      </c>
      <c r="E372" t="s">
        <v>4078</v>
      </c>
      <c r="F372" t="s">
        <v>4075</v>
      </c>
    </row>
    <row r="373" spans="1:6" x14ac:dyDescent="0.25">
      <c r="A373">
        <v>424</v>
      </c>
      <c r="B373" t="s">
        <v>4072</v>
      </c>
      <c r="C373">
        <v>16</v>
      </c>
      <c r="D373" t="s">
        <v>4077</v>
      </c>
      <c r="E373" t="s">
        <v>4078</v>
      </c>
      <c r="F373" t="s">
        <v>4076</v>
      </c>
    </row>
    <row r="374" spans="1:6" x14ac:dyDescent="0.25">
      <c r="A374">
        <v>424</v>
      </c>
      <c r="B374" t="s">
        <v>4072</v>
      </c>
      <c r="C374">
        <v>44</v>
      </c>
      <c r="D374" t="s">
        <v>4077</v>
      </c>
      <c r="E374" t="s">
        <v>4078</v>
      </c>
      <c r="F374" t="s">
        <v>4079</v>
      </c>
    </row>
    <row r="375" spans="1:6" x14ac:dyDescent="0.25">
      <c r="A375">
        <v>425</v>
      </c>
      <c r="B375" t="s">
        <v>4072</v>
      </c>
      <c r="C375">
        <v>1</v>
      </c>
      <c r="D375" t="s">
        <v>2761</v>
      </c>
      <c r="E375" t="s">
        <v>4089</v>
      </c>
      <c r="F375" t="s">
        <v>4075</v>
      </c>
    </row>
    <row r="376" spans="1:6" x14ac:dyDescent="0.25">
      <c r="A376">
        <v>425</v>
      </c>
      <c r="B376" t="s">
        <v>4072</v>
      </c>
      <c r="C376">
        <v>38</v>
      </c>
      <c r="D376" t="s">
        <v>2761</v>
      </c>
      <c r="E376" t="s">
        <v>4089</v>
      </c>
      <c r="F376" t="s">
        <v>4076</v>
      </c>
    </row>
    <row r="377" spans="1:6" x14ac:dyDescent="0.25">
      <c r="A377">
        <v>425</v>
      </c>
      <c r="B377" t="s">
        <v>4072</v>
      </c>
      <c r="C377">
        <v>43</v>
      </c>
      <c r="D377" t="s">
        <v>2761</v>
      </c>
      <c r="E377" t="s">
        <v>4089</v>
      </c>
      <c r="F377" t="s">
        <v>4079</v>
      </c>
    </row>
    <row r="378" spans="1:6" x14ac:dyDescent="0.25">
      <c r="A378">
        <v>427</v>
      </c>
      <c r="B378" t="s">
        <v>4072</v>
      </c>
      <c r="C378">
        <v>3</v>
      </c>
      <c r="D378" t="s">
        <v>4085</v>
      </c>
      <c r="E378" t="s">
        <v>4086</v>
      </c>
      <c r="F378" t="s">
        <v>4075</v>
      </c>
    </row>
    <row r="379" spans="1:6" x14ac:dyDescent="0.25">
      <c r="A379">
        <v>427</v>
      </c>
      <c r="B379" t="s">
        <v>4072</v>
      </c>
      <c r="C379">
        <v>15</v>
      </c>
      <c r="D379" t="s">
        <v>4080</v>
      </c>
      <c r="E379" t="s">
        <v>4081</v>
      </c>
      <c r="F379" t="s">
        <v>4076</v>
      </c>
    </row>
    <row r="380" spans="1:6" x14ac:dyDescent="0.25">
      <c r="A380">
        <v>427</v>
      </c>
      <c r="B380" t="s">
        <v>4072</v>
      </c>
      <c r="C380">
        <v>40</v>
      </c>
      <c r="D380" t="s">
        <v>4080</v>
      </c>
      <c r="E380" t="s">
        <v>4081</v>
      </c>
      <c r="F380" t="s">
        <v>4079</v>
      </c>
    </row>
    <row r="381" spans="1:6" x14ac:dyDescent="0.25">
      <c r="A381">
        <v>428</v>
      </c>
      <c r="B381" t="s">
        <v>4072</v>
      </c>
      <c r="C381">
        <v>3</v>
      </c>
      <c r="D381" t="s">
        <v>4085</v>
      </c>
      <c r="E381" t="s">
        <v>4086</v>
      </c>
      <c r="F381" t="s">
        <v>4075</v>
      </c>
    </row>
    <row r="382" spans="1:6" x14ac:dyDescent="0.25">
      <c r="A382">
        <v>428</v>
      </c>
      <c r="B382" t="s">
        <v>4072</v>
      </c>
      <c r="C382">
        <v>5</v>
      </c>
      <c r="D382" t="s">
        <v>4087</v>
      </c>
      <c r="E382" t="s">
        <v>4088</v>
      </c>
      <c r="F382" t="s">
        <v>4075</v>
      </c>
    </row>
    <row r="383" spans="1:6" x14ac:dyDescent="0.25">
      <c r="A383">
        <v>428</v>
      </c>
      <c r="B383" t="s">
        <v>4072</v>
      </c>
      <c r="C383">
        <v>15</v>
      </c>
      <c r="D383" t="s">
        <v>4080</v>
      </c>
      <c r="E383" t="s">
        <v>4081</v>
      </c>
      <c r="F383" t="s">
        <v>4076</v>
      </c>
    </row>
    <row r="384" spans="1:6" x14ac:dyDescent="0.25">
      <c r="A384">
        <v>437</v>
      </c>
      <c r="B384" t="s">
        <v>4072</v>
      </c>
      <c r="C384">
        <v>3</v>
      </c>
      <c r="D384" t="s">
        <v>4085</v>
      </c>
      <c r="E384" t="s">
        <v>4086</v>
      </c>
      <c r="F384" t="s">
        <v>4075</v>
      </c>
    </row>
    <row r="385" spans="1:6" x14ac:dyDescent="0.25">
      <c r="A385">
        <v>437</v>
      </c>
      <c r="B385" t="s">
        <v>4072</v>
      </c>
      <c r="C385">
        <v>15</v>
      </c>
      <c r="D385" t="s">
        <v>4080</v>
      </c>
      <c r="E385" t="s">
        <v>4081</v>
      </c>
      <c r="F385" t="s">
        <v>4076</v>
      </c>
    </row>
    <row r="386" spans="1:6" x14ac:dyDescent="0.25">
      <c r="A386">
        <v>437</v>
      </c>
      <c r="B386" t="s">
        <v>4072</v>
      </c>
      <c r="C386">
        <v>40</v>
      </c>
      <c r="D386" t="s">
        <v>4080</v>
      </c>
      <c r="E386" t="s">
        <v>4081</v>
      </c>
      <c r="F386" t="s">
        <v>4079</v>
      </c>
    </row>
    <row r="387" spans="1:6" x14ac:dyDescent="0.25">
      <c r="A387">
        <v>439</v>
      </c>
      <c r="B387" t="s">
        <v>4072</v>
      </c>
      <c r="C387">
        <v>6</v>
      </c>
      <c r="D387" t="s">
        <v>4073</v>
      </c>
      <c r="E387" t="s">
        <v>4074</v>
      </c>
      <c r="F387" t="s">
        <v>4075</v>
      </c>
    </row>
    <row r="388" spans="1:6" x14ac:dyDescent="0.25">
      <c r="A388">
        <v>439</v>
      </c>
      <c r="B388" t="s">
        <v>4072</v>
      </c>
      <c r="C388">
        <v>19</v>
      </c>
      <c r="D388" t="s">
        <v>4073</v>
      </c>
      <c r="E388" t="s">
        <v>4074</v>
      </c>
      <c r="F388" t="s">
        <v>4076</v>
      </c>
    </row>
    <row r="389" spans="1:6" x14ac:dyDescent="0.25">
      <c r="A389">
        <v>439</v>
      </c>
      <c r="B389" t="s">
        <v>4072</v>
      </c>
      <c r="C389">
        <v>39</v>
      </c>
      <c r="D389" t="s">
        <v>4073</v>
      </c>
      <c r="E389" t="s">
        <v>4074</v>
      </c>
      <c r="F389" t="s">
        <v>4079</v>
      </c>
    </row>
    <row r="390" spans="1:6" x14ac:dyDescent="0.25">
      <c r="A390">
        <v>440</v>
      </c>
      <c r="B390" t="s">
        <v>4072</v>
      </c>
      <c r="C390">
        <v>4</v>
      </c>
      <c r="D390" t="s">
        <v>4077</v>
      </c>
      <c r="E390" t="s">
        <v>4078</v>
      </c>
      <c r="F390" t="s">
        <v>4075</v>
      </c>
    </row>
    <row r="391" spans="1:6" x14ac:dyDescent="0.25">
      <c r="A391">
        <v>440</v>
      </c>
      <c r="B391" t="s">
        <v>4072</v>
      </c>
      <c r="C391">
        <v>16</v>
      </c>
      <c r="D391" t="s">
        <v>4077</v>
      </c>
      <c r="E391" t="s">
        <v>4078</v>
      </c>
      <c r="F391" t="s">
        <v>4076</v>
      </c>
    </row>
    <row r="392" spans="1:6" x14ac:dyDescent="0.25">
      <c r="A392">
        <v>440</v>
      </c>
      <c r="B392" t="s">
        <v>4072</v>
      </c>
      <c r="C392">
        <v>44</v>
      </c>
      <c r="D392" t="s">
        <v>4077</v>
      </c>
      <c r="E392" t="s">
        <v>4078</v>
      </c>
      <c r="F392" t="s">
        <v>4079</v>
      </c>
    </row>
    <row r="393" spans="1:6" x14ac:dyDescent="0.25">
      <c r="A393">
        <v>441</v>
      </c>
      <c r="B393" t="s">
        <v>4072</v>
      </c>
      <c r="C393">
        <v>1</v>
      </c>
      <c r="D393" t="s">
        <v>2761</v>
      </c>
      <c r="E393" t="s">
        <v>4089</v>
      </c>
      <c r="F393" t="s">
        <v>4075</v>
      </c>
    </row>
    <row r="394" spans="1:6" x14ac:dyDescent="0.25">
      <c r="A394">
        <v>441</v>
      </c>
      <c r="B394" t="s">
        <v>4072</v>
      </c>
      <c r="C394">
        <v>38</v>
      </c>
      <c r="D394" t="s">
        <v>2761</v>
      </c>
      <c r="E394" t="s">
        <v>4089</v>
      </c>
      <c r="F394" t="s">
        <v>4076</v>
      </c>
    </row>
    <row r="395" spans="1:6" x14ac:dyDescent="0.25">
      <c r="A395">
        <v>441</v>
      </c>
      <c r="B395" t="s">
        <v>4072</v>
      </c>
      <c r="C395">
        <v>43</v>
      </c>
      <c r="D395" t="s">
        <v>2761</v>
      </c>
      <c r="E395" t="s">
        <v>4089</v>
      </c>
      <c r="F395" t="s">
        <v>4079</v>
      </c>
    </row>
    <row r="396" spans="1:6" x14ac:dyDescent="0.25">
      <c r="A396">
        <v>452</v>
      </c>
      <c r="B396" t="s">
        <v>4072</v>
      </c>
      <c r="C396">
        <v>3</v>
      </c>
      <c r="D396" t="s">
        <v>4085</v>
      </c>
      <c r="E396" t="s">
        <v>4086</v>
      </c>
      <c r="F396" t="s">
        <v>4075</v>
      </c>
    </row>
    <row r="397" spans="1:6" x14ac:dyDescent="0.25">
      <c r="A397">
        <v>452</v>
      </c>
      <c r="B397" t="s">
        <v>4072</v>
      </c>
      <c r="C397">
        <v>15</v>
      </c>
      <c r="D397" t="s">
        <v>4080</v>
      </c>
      <c r="E397" t="s">
        <v>4081</v>
      </c>
      <c r="F397" t="s">
        <v>4076</v>
      </c>
    </row>
    <row r="398" spans="1:6" x14ac:dyDescent="0.25">
      <c r="A398">
        <v>452</v>
      </c>
      <c r="B398" t="s">
        <v>4072</v>
      </c>
      <c r="C398">
        <v>40</v>
      </c>
      <c r="D398" t="s">
        <v>4080</v>
      </c>
      <c r="E398" t="s">
        <v>4081</v>
      </c>
      <c r="F398" t="s">
        <v>4079</v>
      </c>
    </row>
    <row r="399" spans="1:6" x14ac:dyDescent="0.25">
      <c r="A399">
        <v>453</v>
      </c>
      <c r="B399" t="s">
        <v>4072</v>
      </c>
      <c r="C399">
        <v>5</v>
      </c>
      <c r="D399" t="s">
        <v>4087</v>
      </c>
      <c r="E399" t="s">
        <v>4088</v>
      </c>
      <c r="F399" t="s">
        <v>4075</v>
      </c>
    </row>
    <row r="400" spans="1:6" x14ac:dyDescent="0.25">
      <c r="A400">
        <v>453</v>
      </c>
      <c r="B400" t="s">
        <v>4072</v>
      </c>
      <c r="C400">
        <v>15</v>
      </c>
      <c r="D400" t="s">
        <v>4080</v>
      </c>
      <c r="E400" t="s">
        <v>4081</v>
      </c>
      <c r="F400" t="s">
        <v>4076</v>
      </c>
    </row>
    <row r="401" spans="1:6" x14ac:dyDescent="0.25">
      <c r="A401">
        <v>453</v>
      </c>
      <c r="B401" t="s">
        <v>4072</v>
      </c>
      <c r="C401">
        <v>40</v>
      </c>
      <c r="D401" t="s">
        <v>4080</v>
      </c>
      <c r="E401" t="s">
        <v>4081</v>
      </c>
      <c r="F401" t="s">
        <v>4079</v>
      </c>
    </row>
    <row r="402" spans="1:6" x14ac:dyDescent="0.25">
      <c r="A402">
        <v>454</v>
      </c>
      <c r="B402" t="s">
        <v>4072</v>
      </c>
      <c r="C402">
        <v>5</v>
      </c>
      <c r="D402" t="s">
        <v>4087</v>
      </c>
      <c r="E402" t="s">
        <v>4088</v>
      </c>
      <c r="F402" t="s">
        <v>4075</v>
      </c>
    </row>
    <row r="403" spans="1:6" x14ac:dyDescent="0.25">
      <c r="A403">
        <v>454</v>
      </c>
      <c r="B403" t="s">
        <v>4072</v>
      </c>
      <c r="C403">
        <v>15</v>
      </c>
      <c r="D403" t="s">
        <v>4080</v>
      </c>
      <c r="E403" t="s">
        <v>4081</v>
      </c>
      <c r="F403" t="s">
        <v>4076</v>
      </c>
    </row>
    <row r="404" spans="1:6" x14ac:dyDescent="0.25">
      <c r="A404">
        <v>454</v>
      </c>
      <c r="B404" t="s">
        <v>4072</v>
      </c>
      <c r="C404">
        <v>40</v>
      </c>
      <c r="D404" t="s">
        <v>4080</v>
      </c>
      <c r="E404" t="s">
        <v>4081</v>
      </c>
      <c r="F404" t="s">
        <v>4079</v>
      </c>
    </row>
    <row r="405" spans="1:6" x14ac:dyDescent="0.25">
      <c r="A405">
        <v>455</v>
      </c>
      <c r="B405" t="s">
        <v>4072</v>
      </c>
      <c r="C405">
        <v>4</v>
      </c>
      <c r="D405" t="s">
        <v>4077</v>
      </c>
      <c r="E405" t="s">
        <v>4078</v>
      </c>
      <c r="F405" t="s">
        <v>4075</v>
      </c>
    </row>
    <row r="406" spans="1:6" x14ac:dyDescent="0.25">
      <c r="A406">
        <v>455</v>
      </c>
      <c r="B406" t="s">
        <v>4072</v>
      </c>
      <c r="C406">
        <v>16</v>
      </c>
      <c r="D406" t="s">
        <v>4077</v>
      </c>
      <c r="E406" t="s">
        <v>4078</v>
      </c>
      <c r="F406" t="s">
        <v>4076</v>
      </c>
    </row>
    <row r="407" spans="1:6" x14ac:dyDescent="0.25">
      <c r="A407">
        <v>455</v>
      </c>
      <c r="B407" t="s">
        <v>4072</v>
      </c>
      <c r="C407">
        <v>44</v>
      </c>
      <c r="D407" t="s">
        <v>4077</v>
      </c>
      <c r="E407" t="s">
        <v>4078</v>
      </c>
      <c r="F407" t="s">
        <v>4079</v>
      </c>
    </row>
    <row r="408" spans="1:6" x14ac:dyDescent="0.25">
      <c r="A408">
        <v>456</v>
      </c>
      <c r="B408" t="s">
        <v>4072</v>
      </c>
      <c r="C408">
        <v>1</v>
      </c>
      <c r="D408" t="s">
        <v>2761</v>
      </c>
      <c r="E408" t="s">
        <v>4089</v>
      </c>
      <c r="F408" t="s">
        <v>4075</v>
      </c>
    </row>
    <row r="409" spans="1:6" x14ac:dyDescent="0.25">
      <c r="A409">
        <v>456</v>
      </c>
      <c r="B409" t="s">
        <v>4072</v>
      </c>
      <c r="C409">
        <v>2</v>
      </c>
      <c r="D409" t="s">
        <v>4082</v>
      </c>
      <c r="E409" t="s">
        <v>4083</v>
      </c>
      <c r="F409" t="s">
        <v>4075</v>
      </c>
    </row>
    <row r="410" spans="1:6" x14ac:dyDescent="0.25">
      <c r="A410">
        <v>456</v>
      </c>
      <c r="B410" t="s">
        <v>4072</v>
      </c>
      <c r="C410">
        <v>17</v>
      </c>
      <c r="D410" t="s">
        <v>4082</v>
      </c>
      <c r="E410" t="s">
        <v>4084</v>
      </c>
      <c r="F410" t="s">
        <v>4076</v>
      </c>
    </row>
    <row r="411" spans="1:6" x14ac:dyDescent="0.25">
      <c r="A411">
        <v>456</v>
      </c>
      <c r="B411" t="s">
        <v>4072</v>
      </c>
      <c r="C411">
        <v>38</v>
      </c>
      <c r="D411" t="s">
        <v>2761</v>
      </c>
      <c r="E411" t="s">
        <v>4089</v>
      </c>
      <c r="F411" t="s">
        <v>4076</v>
      </c>
    </row>
    <row r="412" spans="1:6" x14ac:dyDescent="0.25">
      <c r="A412">
        <v>456</v>
      </c>
      <c r="B412" t="s">
        <v>4072</v>
      </c>
      <c r="C412">
        <v>42</v>
      </c>
      <c r="D412" t="s">
        <v>4082</v>
      </c>
      <c r="E412" t="s">
        <v>4083</v>
      </c>
      <c r="F412" t="s">
        <v>4079</v>
      </c>
    </row>
    <row r="413" spans="1:6" x14ac:dyDescent="0.25">
      <c r="A413">
        <v>456</v>
      </c>
      <c r="B413" t="s">
        <v>4072</v>
      </c>
      <c r="C413">
        <v>43</v>
      </c>
      <c r="D413" t="s">
        <v>2761</v>
      </c>
      <c r="E413" t="s">
        <v>4089</v>
      </c>
      <c r="F413" t="s">
        <v>4079</v>
      </c>
    </row>
    <row r="414" spans="1:6" x14ac:dyDescent="0.25">
      <c r="A414">
        <v>465</v>
      </c>
      <c r="B414" t="s">
        <v>4072</v>
      </c>
      <c r="C414">
        <v>5</v>
      </c>
      <c r="D414" t="s">
        <v>4087</v>
      </c>
      <c r="E414" t="s">
        <v>4088</v>
      </c>
      <c r="F414" t="s">
        <v>4075</v>
      </c>
    </row>
    <row r="415" spans="1:6" x14ac:dyDescent="0.25">
      <c r="A415">
        <v>465</v>
      </c>
      <c r="B415" t="s">
        <v>4072</v>
      </c>
      <c r="C415">
        <v>15</v>
      </c>
      <c r="D415" t="s">
        <v>4080</v>
      </c>
      <c r="E415" t="s">
        <v>4081</v>
      </c>
      <c r="F415" t="s">
        <v>4076</v>
      </c>
    </row>
    <row r="416" spans="1:6" x14ac:dyDescent="0.25">
      <c r="A416">
        <v>465</v>
      </c>
      <c r="B416" t="s">
        <v>4072</v>
      </c>
      <c r="C416">
        <v>40</v>
      </c>
      <c r="D416" t="s">
        <v>4080</v>
      </c>
      <c r="E416" t="s">
        <v>4081</v>
      </c>
      <c r="F416" t="s">
        <v>4079</v>
      </c>
    </row>
    <row r="417" spans="1:6" x14ac:dyDescent="0.25">
      <c r="A417">
        <v>466</v>
      </c>
      <c r="B417" t="s">
        <v>4072</v>
      </c>
      <c r="C417">
        <v>4</v>
      </c>
      <c r="D417" t="s">
        <v>4077</v>
      </c>
      <c r="E417" t="s">
        <v>4078</v>
      </c>
      <c r="F417" t="s">
        <v>4075</v>
      </c>
    </row>
    <row r="418" spans="1:6" x14ac:dyDescent="0.25">
      <c r="A418">
        <v>466</v>
      </c>
      <c r="B418" t="s">
        <v>4072</v>
      </c>
      <c r="C418">
        <v>16</v>
      </c>
      <c r="D418" t="s">
        <v>4077</v>
      </c>
      <c r="E418" t="s">
        <v>4078</v>
      </c>
      <c r="F418" t="s">
        <v>4076</v>
      </c>
    </row>
    <row r="419" spans="1:6" x14ac:dyDescent="0.25">
      <c r="A419">
        <v>466</v>
      </c>
      <c r="B419" t="s">
        <v>4072</v>
      </c>
      <c r="C419">
        <v>44</v>
      </c>
      <c r="D419" t="s">
        <v>4077</v>
      </c>
      <c r="E419" t="s">
        <v>4078</v>
      </c>
      <c r="F419" t="s">
        <v>4079</v>
      </c>
    </row>
    <row r="420" spans="1:6" x14ac:dyDescent="0.25">
      <c r="A420">
        <v>494</v>
      </c>
      <c r="B420" t="s">
        <v>4072</v>
      </c>
      <c r="C420">
        <v>3</v>
      </c>
      <c r="D420" t="s">
        <v>4085</v>
      </c>
      <c r="E420" t="s">
        <v>4086</v>
      </c>
      <c r="F420" t="s">
        <v>4075</v>
      </c>
    </row>
    <row r="421" spans="1:6" x14ac:dyDescent="0.25">
      <c r="A421">
        <v>494</v>
      </c>
      <c r="B421" t="s">
        <v>4072</v>
      </c>
      <c r="C421">
        <v>15</v>
      </c>
      <c r="D421" t="s">
        <v>4080</v>
      </c>
      <c r="E421" t="s">
        <v>4081</v>
      </c>
      <c r="F421" t="s">
        <v>4076</v>
      </c>
    </row>
    <row r="422" spans="1:6" x14ac:dyDescent="0.25">
      <c r="A422">
        <v>495</v>
      </c>
      <c r="B422" t="s">
        <v>4072</v>
      </c>
      <c r="C422">
        <v>4</v>
      </c>
      <c r="D422" t="s">
        <v>4077</v>
      </c>
      <c r="E422" t="s">
        <v>4078</v>
      </c>
      <c r="F422" t="s">
        <v>4075</v>
      </c>
    </row>
    <row r="423" spans="1:6" x14ac:dyDescent="0.25">
      <c r="A423">
        <v>495</v>
      </c>
      <c r="B423" t="s">
        <v>4072</v>
      </c>
      <c r="C423">
        <v>16</v>
      </c>
      <c r="D423" t="s">
        <v>4077</v>
      </c>
      <c r="E423" t="s">
        <v>4078</v>
      </c>
      <c r="F423" t="s">
        <v>4076</v>
      </c>
    </row>
    <row r="424" spans="1:6" x14ac:dyDescent="0.25">
      <c r="A424">
        <v>496</v>
      </c>
      <c r="B424" t="s">
        <v>4072</v>
      </c>
      <c r="C424">
        <v>5</v>
      </c>
      <c r="D424" t="s">
        <v>4087</v>
      </c>
      <c r="E424" t="s">
        <v>4088</v>
      </c>
      <c r="F424" t="s">
        <v>4075</v>
      </c>
    </row>
    <row r="425" spans="1:6" x14ac:dyDescent="0.25">
      <c r="A425">
        <v>496</v>
      </c>
      <c r="B425" t="s">
        <v>4072</v>
      </c>
      <c r="C425">
        <v>15</v>
      </c>
      <c r="D425" t="s">
        <v>4080</v>
      </c>
      <c r="E425" t="s">
        <v>4081</v>
      </c>
      <c r="F425" t="s">
        <v>4076</v>
      </c>
    </row>
    <row r="426" spans="1:6" x14ac:dyDescent="0.25">
      <c r="A426">
        <v>497</v>
      </c>
      <c r="B426" t="s">
        <v>4072</v>
      </c>
      <c r="C426">
        <v>5</v>
      </c>
      <c r="D426" t="s">
        <v>4087</v>
      </c>
      <c r="E426" t="s">
        <v>4088</v>
      </c>
      <c r="F426" t="s">
        <v>4075</v>
      </c>
    </row>
    <row r="427" spans="1:6" x14ac:dyDescent="0.25">
      <c r="A427">
        <v>497</v>
      </c>
      <c r="B427" t="s">
        <v>4072</v>
      </c>
      <c r="C427">
        <v>15</v>
      </c>
      <c r="D427" t="s">
        <v>4080</v>
      </c>
      <c r="E427" t="s">
        <v>4081</v>
      </c>
      <c r="F427" t="s">
        <v>4076</v>
      </c>
    </row>
    <row r="428" spans="1:6" x14ac:dyDescent="0.25">
      <c r="A428">
        <v>498</v>
      </c>
      <c r="B428" t="s">
        <v>4072</v>
      </c>
      <c r="C428">
        <v>2</v>
      </c>
      <c r="D428" t="s">
        <v>4082</v>
      </c>
      <c r="E428" t="s">
        <v>4083</v>
      </c>
      <c r="F428" t="s">
        <v>4075</v>
      </c>
    </row>
    <row r="429" spans="1:6" x14ac:dyDescent="0.25">
      <c r="A429">
        <v>498</v>
      </c>
      <c r="B429" t="s">
        <v>4072</v>
      </c>
      <c r="C429">
        <v>17</v>
      </c>
      <c r="D429" t="s">
        <v>4082</v>
      </c>
      <c r="E429" t="s">
        <v>4084</v>
      </c>
      <c r="F429" t="s">
        <v>4076</v>
      </c>
    </row>
    <row r="430" spans="1:6" x14ac:dyDescent="0.25">
      <c r="A430">
        <v>503</v>
      </c>
      <c r="B430" t="s">
        <v>4072</v>
      </c>
      <c r="C430">
        <v>3</v>
      </c>
      <c r="D430" t="s">
        <v>4085</v>
      </c>
      <c r="E430" t="s">
        <v>4086</v>
      </c>
      <c r="F430" t="s">
        <v>4075</v>
      </c>
    </row>
    <row r="431" spans="1:6" x14ac:dyDescent="0.25">
      <c r="A431">
        <v>503</v>
      </c>
      <c r="B431" t="s">
        <v>4072</v>
      </c>
      <c r="C431">
        <v>15</v>
      </c>
      <c r="D431" t="s">
        <v>4080</v>
      </c>
      <c r="E431" t="s">
        <v>4081</v>
      </c>
      <c r="F431" t="s">
        <v>4076</v>
      </c>
    </row>
    <row r="432" spans="1:6" x14ac:dyDescent="0.25">
      <c r="A432">
        <v>504</v>
      </c>
      <c r="B432" t="s">
        <v>4072</v>
      </c>
      <c r="C432">
        <v>5</v>
      </c>
      <c r="D432" t="s">
        <v>4087</v>
      </c>
      <c r="E432" t="s">
        <v>4088</v>
      </c>
      <c r="F432" t="s">
        <v>4075</v>
      </c>
    </row>
    <row r="433" spans="1:6" x14ac:dyDescent="0.25">
      <c r="A433">
        <v>504</v>
      </c>
      <c r="B433" t="s">
        <v>4072</v>
      </c>
      <c r="C433">
        <v>15</v>
      </c>
      <c r="D433" t="s">
        <v>4080</v>
      </c>
      <c r="E433" t="s">
        <v>4081</v>
      </c>
      <c r="F433" t="s">
        <v>4076</v>
      </c>
    </row>
    <row r="434" spans="1:6" x14ac:dyDescent="0.25">
      <c r="A434">
        <v>505</v>
      </c>
      <c r="B434" t="s">
        <v>4072</v>
      </c>
      <c r="C434">
        <v>4</v>
      </c>
      <c r="D434" t="s">
        <v>4077</v>
      </c>
      <c r="E434" t="s">
        <v>4078</v>
      </c>
      <c r="F434" t="s">
        <v>4075</v>
      </c>
    </row>
    <row r="435" spans="1:6" x14ac:dyDescent="0.25">
      <c r="A435">
        <v>505</v>
      </c>
      <c r="B435" t="s">
        <v>4072</v>
      </c>
      <c r="C435">
        <v>16</v>
      </c>
      <c r="D435" t="s">
        <v>4077</v>
      </c>
      <c r="E435" t="s">
        <v>4078</v>
      </c>
      <c r="F435" t="s">
        <v>4076</v>
      </c>
    </row>
    <row r="436" spans="1:6" x14ac:dyDescent="0.25">
      <c r="A436">
        <v>505</v>
      </c>
      <c r="B436" t="s">
        <v>4072</v>
      </c>
      <c r="C436">
        <v>44</v>
      </c>
      <c r="D436" t="s">
        <v>4077</v>
      </c>
      <c r="E436" t="s">
        <v>4078</v>
      </c>
      <c r="F436" t="s">
        <v>4079</v>
      </c>
    </row>
    <row r="437" spans="1:6" x14ac:dyDescent="0.25">
      <c r="A437">
        <v>517</v>
      </c>
      <c r="B437" t="s">
        <v>4072</v>
      </c>
      <c r="C437">
        <v>2</v>
      </c>
      <c r="D437" t="s">
        <v>4082</v>
      </c>
      <c r="E437" t="s">
        <v>4083</v>
      </c>
      <c r="F437" t="s">
        <v>4075</v>
      </c>
    </row>
    <row r="438" spans="1:6" x14ac:dyDescent="0.25">
      <c r="A438">
        <v>517</v>
      </c>
      <c r="B438" t="s">
        <v>4072</v>
      </c>
      <c r="C438">
        <v>17</v>
      </c>
      <c r="D438" t="s">
        <v>4082</v>
      </c>
      <c r="E438" t="s">
        <v>4084</v>
      </c>
      <c r="F438" t="s">
        <v>4076</v>
      </c>
    </row>
    <row r="439" spans="1:6" x14ac:dyDescent="0.25">
      <c r="A439">
        <v>517</v>
      </c>
      <c r="B439" t="s">
        <v>4072</v>
      </c>
      <c r="C439">
        <v>42</v>
      </c>
      <c r="D439" t="s">
        <v>4082</v>
      </c>
      <c r="E439" t="s">
        <v>4083</v>
      </c>
      <c r="F439" t="s">
        <v>4079</v>
      </c>
    </row>
    <row r="440" spans="1:6" x14ac:dyDescent="0.25">
      <c r="A440">
        <v>518</v>
      </c>
      <c r="B440" t="s">
        <v>4072</v>
      </c>
      <c r="C440">
        <v>2</v>
      </c>
      <c r="D440" t="s">
        <v>4082</v>
      </c>
      <c r="E440" t="s">
        <v>4083</v>
      </c>
      <c r="F440" t="s">
        <v>4075</v>
      </c>
    </row>
    <row r="441" spans="1:6" x14ac:dyDescent="0.25">
      <c r="A441">
        <v>518</v>
      </c>
      <c r="B441" t="s">
        <v>4072</v>
      </c>
      <c r="C441">
        <v>17</v>
      </c>
      <c r="D441" t="s">
        <v>4082</v>
      </c>
      <c r="E441" t="s">
        <v>4084</v>
      </c>
      <c r="F441" t="s">
        <v>4076</v>
      </c>
    </row>
    <row r="442" spans="1:6" x14ac:dyDescent="0.25">
      <c r="A442">
        <v>518</v>
      </c>
      <c r="B442" t="s">
        <v>4072</v>
      </c>
      <c r="C442">
        <v>42</v>
      </c>
      <c r="D442" t="s">
        <v>4082</v>
      </c>
      <c r="E442" t="s">
        <v>4083</v>
      </c>
      <c r="F442" t="s">
        <v>4079</v>
      </c>
    </row>
    <row r="443" spans="1:6" x14ac:dyDescent="0.25">
      <c r="A443">
        <v>522</v>
      </c>
      <c r="B443" t="s">
        <v>4072</v>
      </c>
      <c r="C443">
        <v>4</v>
      </c>
      <c r="D443" t="s">
        <v>4077</v>
      </c>
      <c r="E443" t="s">
        <v>4078</v>
      </c>
      <c r="F443" t="s">
        <v>4075</v>
      </c>
    </row>
    <row r="444" spans="1:6" x14ac:dyDescent="0.25">
      <c r="A444">
        <v>522</v>
      </c>
      <c r="B444" t="s">
        <v>4072</v>
      </c>
      <c r="C444">
        <v>16</v>
      </c>
      <c r="D444" t="s">
        <v>4077</v>
      </c>
      <c r="E444" t="s">
        <v>4078</v>
      </c>
      <c r="F444" t="s">
        <v>4076</v>
      </c>
    </row>
    <row r="445" spans="1:6" x14ac:dyDescent="0.25">
      <c r="A445">
        <v>529</v>
      </c>
      <c r="B445" t="s">
        <v>4072</v>
      </c>
      <c r="C445">
        <v>5</v>
      </c>
      <c r="D445" t="s">
        <v>4087</v>
      </c>
      <c r="E445" t="s">
        <v>4088</v>
      </c>
      <c r="F445" t="s">
        <v>4075</v>
      </c>
    </row>
    <row r="446" spans="1:6" x14ac:dyDescent="0.25">
      <c r="A446">
        <v>529</v>
      </c>
      <c r="B446" t="s">
        <v>4072</v>
      </c>
      <c r="C446">
        <v>15</v>
      </c>
      <c r="D446" t="s">
        <v>4080</v>
      </c>
      <c r="E446" t="s">
        <v>4081</v>
      </c>
      <c r="F446" t="s">
        <v>4076</v>
      </c>
    </row>
    <row r="447" spans="1:6" x14ac:dyDescent="0.25">
      <c r="A447">
        <v>529</v>
      </c>
      <c r="B447" t="s">
        <v>4072</v>
      </c>
      <c r="C447">
        <v>40</v>
      </c>
      <c r="D447" t="s">
        <v>4080</v>
      </c>
      <c r="E447" t="s">
        <v>4081</v>
      </c>
      <c r="F447" t="s">
        <v>4079</v>
      </c>
    </row>
    <row r="448" spans="1:6" x14ac:dyDescent="0.25">
      <c r="A448">
        <v>530</v>
      </c>
      <c r="B448" t="s">
        <v>4072</v>
      </c>
      <c r="C448">
        <v>3</v>
      </c>
      <c r="D448" t="s">
        <v>4085</v>
      </c>
      <c r="E448" t="s">
        <v>4086</v>
      </c>
      <c r="F448" t="s">
        <v>4075</v>
      </c>
    </row>
    <row r="449" spans="1:6" x14ac:dyDescent="0.25">
      <c r="A449">
        <v>530</v>
      </c>
      <c r="B449" t="s">
        <v>4072</v>
      </c>
      <c r="C449">
        <v>15</v>
      </c>
      <c r="D449" t="s">
        <v>4080</v>
      </c>
      <c r="E449" t="s">
        <v>4081</v>
      </c>
      <c r="F449" t="s">
        <v>4076</v>
      </c>
    </row>
    <row r="450" spans="1:6" x14ac:dyDescent="0.25">
      <c r="A450">
        <v>530</v>
      </c>
      <c r="B450" t="s">
        <v>4072</v>
      </c>
      <c r="C450">
        <v>40</v>
      </c>
      <c r="D450" t="s">
        <v>4080</v>
      </c>
      <c r="E450" t="s">
        <v>4081</v>
      </c>
      <c r="F450" t="s">
        <v>4079</v>
      </c>
    </row>
    <row r="451" spans="1:6" x14ac:dyDescent="0.25">
      <c r="A451">
        <v>534</v>
      </c>
      <c r="B451" t="s">
        <v>4072</v>
      </c>
      <c r="C451">
        <v>5</v>
      </c>
      <c r="D451" t="s">
        <v>4087</v>
      </c>
      <c r="E451" t="s">
        <v>4088</v>
      </c>
      <c r="F451" t="s">
        <v>4075</v>
      </c>
    </row>
    <row r="452" spans="1:6" x14ac:dyDescent="0.25">
      <c r="A452">
        <v>534</v>
      </c>
      <c r="B452" t="s">
        <v>4072</v>
      </c>
      <c r="C452">
        <v>15</v>
      </c>
      <c r="D452" t="s">
        <v>4080</v>
      </c>
      <c r="E452" t="s">
        <v>4081</v>
      </c>
      <c r="F452" t="s">
        <v>4076</v>
      </c>
    </row>
    <row r="453" spans="1:6" x14ac:dyDescent="0.25">
      <c r="A453">
        <v>534</v>
      </c>
      <c r="B453" t="s">
        <v>4072</v>
      </c>
      <c r="C453">
        <v>40</v>
      </c>
      <c r="D453" t="s">
        <v>4080</v>
      </c>
      <c r="E453" t="s">
        <v>4081</v>
      </c>
      <c r="F453" t="s">
        <v>4079</v>
      </c>
    </row>
    <row r="454" spans="1:6" x14ac:dyDescent="0.25">
      <c r="A454">
        <v>536</v>
      </c>
      <c r="B454" t="s">
        <v>4072</v>
      </c>
      <c r="C454">
        <v>2</v>
      </c>
      <c r="D454" t="s">
        <v>4082</v>
      </c>
      <c r="E454" t="s">
        <v>4083</v>
      </c>
      <c r="F454" t="s">
        <v>4075</v>
      </c>
    </row>
    <row r="455" spans="1:6" x14ac:dyDescent="0.25">
      <c r="A455">
        <v>536</v>
      </c>
      <c r="B455" t="s">
        <v>4072</v>
      </c>
      <c r="C455">
        <v>17</v>
      </c>
      <c r="D455" t="s">
        <v>4082</v>
      </c>
      <c r="E455" t="s">
        <v>4084</v>
      </c>
      <c r="F455" t="s">
        <v>4076</v>
      </c>
    </row>
    <row r="456" spans="1:6" x14ac:dyDescent="0.25">
      <c r="A456">
        <v>536</v>
      </c>
      <c r="B456" t="s">
        <v>4072</v>
      </c>
      <c r="C456">
        <v>42</v>
      </c>
      <c r="D456" t="s">
        <v>4082</v>
      </c>
      <c r="E456" t="s">
        <v>4083</v>
      </c>
      <c r="F456" t="s">
        <v>4079</v>
      </c>
    </row>
    <row r="457" spans="1:6" x14ac:dyDescent="0.25">
      <c r="A457">
        <v>545</v>
      </c>
      <c r="B457" t="s">
        <v>4072</v>
      </c>
      <c r="C457">
        <v>2</v>
      </c>
      <c r="D457" t="s">
        <v>4082</v>
      </c>
      <c r="E457" t="s">
        <v>4083</v>
      </c>
      <c r="F457" t="s">
        <v>4075</v>
      </c>
    </row>
    <row r="458" spans="1:6" x14ac:dyDescent="0.25">
      <c r="A458">
        <v>545</v>
      </c>
      <c r="B458" t="s">
        <v>4072</v>
      </c>
      <c r="C458">
        <v>17</v>
      </c>
      <c r="D458" t="s">
        <v>4082</v>
      </c>
      <c r="E458" t="s">
        <v>4084</v>
      </c>
      <c r="F458" t="s">
        <v>4076</v>
      </c>
    </row>
    <row r="459" spans="1:6" x14ac:dyDescent="0.25">
      <c r="A459">
        <v>552</v>
      </c>
      <c r="B459" t="s">
        <v>4072</v>
      </c>
      <c r="C459">
        <v>5</v>
      </c>
      <c r="D459" t="s">
        <v>4087</v>
      </c>
      <c r="E459" t="s">
        <v>4088</v>
      </c>
      <c r="F459" t="s">
        <v>4075</v>
      </c>
    </row>
    <row r="460" spans="1:6" x14ac:dyDescent="0.25">
      <c r="A460">
        <v>552</v>
      </c>
      <c r="B460" t="s">
        <v>4072</v>
      </c>
      <c r="C460">
        <v>15</v>
      </c>
      <c r="D460" t="s">
        <v>4080</v>
      </c>
      <c r="E460" t="s">
        <v>4081</v>
      </c>
      <c r="F460" t="s">
        <v>4076</v>
      </c>
    </row>
    <row r="461" spans="1:6" x14ac:dyDescent="0.25">
      <c r="A461">
        <v>557</v>
      </c>
      <c r="B461" t="s">
        <v>4072</v>
      </c>
      <c r="C461">
        <v>10</v>
      </c>
      <c r="D461" t="s">
        <v>4095</v>
      </c>
      <c r="E461" t="s">
        <v>4096</v>
      </c>
      <c r="F461" t="s">
        <v>4075</v>
      </c>
    </row>
    <row r="462" spans="1:6" x14ac:dyDescent="0.25">
      <c r="A462">
        <v>568</v>
      </c>
      <c r="B462" t="s">
        <v>4072</v>
      </c>
      <c r="C462">
        <v>3</v>
      </c>
      <c r="D462" t="s">
        <v>4085</v>
      </c>
      <c r="E462" t="s">
        <v>4086</v>
      </c>
      <c r="F462" t="s">
        <v>4075</v>
      </c>
    </row>
    <row r="463" spans="1:6" x14ac:dyDescent="0.25">
      <c r="A463">
        <v>568</v>
      </c>
      <c r="B463" t="s">
        <v>4072</v>
      </c>
      <c r="C463">
        <v>15</v>
      </c>
      <c r="D463" t="s">
        <v>4080</v>
      </c>
      <c r="E463" t="s">
        <v>4081</v>
      </c>
      <c r="F463" t="s">
        <v>4076</v>
      </c>
    </row>
    <row r="464" spans="1:6" x14ac:dyDescent="0.25">
      <c r="A464">
        <v>568</v>
      </c>
      <c r="B464" t="s">
        <v>4072</v>
      </c>
      <c r="C464">
        <v>40</v>
      </c>
      <c r="D464" t="s">
        <v>4080</v>
      </c>
      <c r="E464" t="s">
        <v>4081</v>
      </c>
      <c r="F464" t="s">
        <v>4079</v>
      </c>
    </row>
    <row r="465" spans="1:6" x14ac:dyDescent="0.25">
      <c r="A465">
        <v>569</v>
      </c>
      <c r="B465" t="s">
        <v>4072</v>
      </c>
      <c r="C465">
        <v>5</v>
      </c>
      <c r="D465" t="s">
        <v>4087</v>
      </c>
      <c r="E465" t="s">
        <v>4088</v>
      </c>
      <c r="F465" t="s">
        <v>4075</v>
      </c>
    </row>
    <row r="466" spans="1:6" x14ac:dyDescent="0.25">
      <c r="A466">
        <v>569</v>
      </c>
      <c r="B466" t="s">
        <v>4072</v>
      </c>
      <c r="C466">
        <v>15</v>
      </c>
      <c r="D466" t="s">
        <v>4080</v>
      </c>
      <c r="E466" t="s">
        <v>4081</v>
      </c>
      <c r="F466" t="s">
        <v>4076</v>
      </c>
    </row>
    <row r="467" spans="1:6" x14ac:dyDescent="0.25">
      <c r="A467">
        <v>569</v>
      </c>
      <c r="B467" t="s">
        <v>4072</v>
      </c>
      <c r="C467">
        <v>40</v>
      </c>
      <c r="D467" t="s">
        <v>4080</v>
      </c>
      <c r="E467" t="s">
        <v>4081</v>
      </c>
      <c r="F467" t="s">
        <v>4079</v>
      </c>
    </row>
    <row r="468" spans="1:6" x14ac:dyDescent="0.25">
      <c r="A468">
        <v>577</v>
      </c>
      <c r="B468" t="s">
        <v>4072</v>
      </c>
      <c r="C468">
        <v>6</v>
      </c>
      <c r="D468" t="s">
        <v>4073</v>
      </c>
      <c r="E468" t="s">
        <v>4074</v>
      </c>
      <c r="F468" t="s">
        <v>4075</v>
      </c>
    </row>
    <row r="469" spans="1:6" x14ac:dyDescent="0.25">
      <c r="A469">
        <v>579</v>
      </c>
      <c r="B469" t="s">
        <v>4072</v>
      </c>
      <c r="C469">
        <v>5</v>
      </c>
      <c r="D469" t="s">
        <v>4087</v>
      </c>
      <c r="E469" t="s">
        <v>4088</v>
      </c>
      <c r="F469" t="s">
        <v>4075</v>
      </c>
    </row>
    <row r="470" spans="1:6" x14ac:dyDescent="0.25">
      <c r="A470">
        <v>579</v>
      </c>
      <c r="B470" t="s">
        <v>4072</v>
      </c>
      <c r="C470">
        <v>15</v>
      </c>
      <c r="D470" t="s">
        <v>4080</v>
      </c>
      <c r="E470" t="s">
        <v>4081</v>
      </c>
      <c r="F470" t="s">
        <v>4076</v>
      </c>
    </row>
    <row r="471" spans="1:6" x14ac:dyDescent="0.25">
      <c r="A471">
        <v>579</v>
      </c>
      <c r="B471" t="s">
        <v>4072</v>
      </c>
      <c r="C471">
        <v>40</v>
      </c>
      <c r="D471" t="s">
        <v>4080</v>
      </c>
      <c r="E471" t="s">
        <v>4081</v>
      </c>
      <c r="F471" t="s">
        <v>4079</v>
      </c>
    </row>
    <row r="472" spans="1:6" x14ac:dyDescent="0.25">
      <c r="A472">
        <v>597</v>
      </c>
      <c r="B472" t="s">
        <v>4072</v>
      </c>
      <c r="C472">
        <v>10</v>
      </c>
      <c r="D472" t="s">
        <v>4095</v>
      </c>
      <c r="E472" t="s">
        <v>4096</v>
      </c>
      <c r="F472" t="s">
        <v>4075</v>
      </c>
    </row>
    <row r="473" spans="1:6" x14ac:dyDescent="0.25">
      <c r="A473">
        <v>597</v>
      </c>
      <c r="B473" t="s">
        <v>4072</v>
      </c>
      <c r="C473">
        <v>13</v>
      </c>
      <c r="D473" t="s">
        <v>4097</v>
      </c>
      <c r="E473" t="s">
        <v>4098</v>
      </c>
      <c r="F473" t="s">
        <v>4076</v>
      </c>
    </row>
    <row r="474" spans="1:6" x14ac:dyDescent="0.25">
      <c r="A474">
        <v>664</v>
      </c>
      <c r="B474" t="s">
        <v>4072</v>
      </c>
      <c r="C474">
        <v>2</v>
      </c>
      <c r="D474" t="s">
        <v>4082</v>
      </c>
      <c r="E474" t="s">
        <v>4083</v>
      </c>
      <c r="F474" t="s">
        <v>4075</v>
      </c>
    </row>
    <row r="475" spans="1:6" x14ac:dyDescent="0.25">
      <c r="A475">
        <v>664</v>
      </c>
      <c r="B475" t="s">
        <v>4072</v>
      </c>
      <c r="C475">
        <v>17</v>
      </c>
      <c r="D475" t="s">
        <v>4082</v>
      </c>
      <c r="E475" t="s">
        <v>4084</v>
      </c>
      <c r="F475" t="s">
        <v>4076</v>
      </c>
    </row>
    <row r="476" spans="1:6" x14ac:dyDescent="0.25">
      <c r="A476">
        <v>664</v>
      </c>
      <c r="B476" t="s">
        <v>4072</v>
      </c>
      <c r="C476">
        <v>42</v>
      </c>
      <c r="D476" t="s">
        <v>4082</v>
      </c>
      <c r="E476" t="s">
        <v>4083</v>
      </c>
      <c r="F476" t="s">
        <v>4079</v>
      </c>
    </row>
    <row r="477" spans="1:6" x14ac:dyDescent="0.25">
      <c r="A477">
        <v>666</v>
      </c>
      <c r="B477" t="s">
        <v>4072</v>
      </c>
      <c r="C477">
        <v>6</v>
      </c>
      <c r="D477" t="s">
        <v>4073</v>
      </c>
      <c r="E477" t="s">
        <v>4074</v>
      </c>
      <c r="F477" t="s">
        <v>4075</v>
      </c>
    </row>
    <row r="478" spans="1:6" x14ac:dyDescent="0.25">
      <c r="A478">
        <v>666</v>
      </c>
      <c r="B478" t="s">
        <v>4072</v>
      </c>
      <c r="C478">
        <v>19</v>
      </c>
      <c r="D478" t="s">
        <v>4073</v>
      </c>
      <c r="E478" t="s">
        <v>4074</v>
      </c>
      <c r="F478" t="s">
        <v>4076</v>
      </c>
    </row>
    <row r="479" spans="1:6" x14ac:dyDescent="0.25">
      <c r="A479">
        <v>666</v>
      </c>
      <c r="B479" t="s">
        <v>4072</v>
      </c>
      <c r="C479">
        <v>39</v>
      </c>
      <c r="D479" t="s">
        <v>4073</v>
      </c>
      <c r="E479" t="s">
        <v>4074</v>
      </c>
      <c r="F479" t="s">
        <v>4079</v>
      </c>
    </row>
    <row r="480" spans="1:6" x14ac:dyDescent="0.25">
      <c r="A480">
        <v>667</v>
      </c>
      <c r="B480" t="s">
        <v>4072</v>
      </c>
      <c r="C480">
        <v>13</v>
      </c>
      <c r="D480" t="s">
        <v>4097</v>
      </c>
      <c r="E480" t="s">
        <v>4098</v>
      </c>
      <c r="F480" t="s">
        <v>4076</v>
      </c>
    </row>
    <row r="481" spans="1:6" x14ac:dyDescent="0.25">
      <c r="A481">
        <v>670</v>
      </c>
      <c r="B481" t="s">
        <v>4072</v>
      </c>
      <c r="C481">
        <v>10</v>
      </c>
      <c r="D481" t="s">
        <v>4095</v>
      </c>
      <c r="E481" t="s">
        <v>4096</v>
      </c>
      <c r="F481" t="s">
        <v>4075</v>
      </c>
    </row>
    <row r="482" spans="1:6" x14ac:dyDescent="0.25">
      <c r="A482">
        <v>673</v>
      </c>
      <c r="B482" t="s">
        <v>4072</v>
      </c>
      <c r="C482">
        <v>6</v>
      </c>
      <c r="D482" t="s">
        <v>4073</v>
      </c>
      <c r="E482" t="s">
        <v>4074</v>
      </c>
      <c r="F482" t="s">
        <v>4075</v>
      </c>
    </row>
    <row r="483" spans="1:6" x14ac:dyDescent="0.25">
      <c r="A483">
        <v>677</v>
      </c>
      <c r="B483" t="s">
        <v>4072</v>
      </c>
      <c r="C483">
        <v>3</v>
      </c>
      <c r="D483" t="s">
        <v>4085</v>
      </c>
      <c r="E483" t="s">
        <v>4086</v>
      </c>
      <c r="F483" t="s">
        <v>4075</v>
      </c>
    </row>
    <row r="484" spans="1:6" x14ac:dyDescent="0.25">
      <c r="A484">
        <v>677</v>
      </c>
      <c r="B484" t="s">
        <v>4072</v>
      </c>
      <c r="C484">
        <v>5</v>
      </c>
      <c r="D484" t="s">
        <v>4087</v>
      </c>
      <c r="E484" t="s">
        <v>4088</v>
      </c>
      <c r="F484" t="s">
        <v>4075</v>
      </c>
    </row>
    <row r="485" spans="1:6" x14ac:dyDescent="0.25">
      <c r="A485">
        <v>677</v>
      </c>
      <c r="B485" t="s">
        <v>4072</v>
      </c>
      <c r="C485">
        <v>15</v>
      </c>
      <c r="D485" t="s">
        <v>4080</v>
      </c>
      <c r="E485" t="s">
        <v>4081</v>
      </c>
      <c r="F485" t="s">
        <v>4076</v>
      </c>
    </row>
    <row r="486" spans="1:6" x14ac:dyDescent="0.25">
      <c r="A486">
        <v>677</v>
      </c>
      <c r="B486" t="s">
        <v>4072</v>
      </c>
      <c r="C486">
        <v>40</v>
      </c>
      <c r="D486" t="s">
        <v>4080</v>
      </c>
      <c r="E486" t="s">
        <v>4081</v>
      </c>
      <c r="F486" t="s">
        <v>4079</v>
      </c>
    </row>
    <row r="487" spans="1:6" x14ac:dyDescent="0.25">
      <c r="A487">
        <v>679</v>
      </c>
      <c r="B487" t="s">
        <v>4072</v>
      </c>
      <c r="C487">
        <v>5</v>
      </c>
      <c r="D487" t="s">
        <v>4087</v>
      </c>
      <c r="E487" t="s">
        <v>4088</v>
      </c>
      <c r="F487" t="s">
        <v>4075</v>
      </c>
    </row>
    <row r="488" spans="1:6" x14ac:dyDescent="0.25">
      <c r="A488">
        <v>679</v>
      </c>
      <c r="B488" t="s">
        <v>4072</v>
      </c>
      <c r="C488">
        <v>15</v>
      </c>
      <c r="D488" t="s">
        <v>4080</v>
      </c>
      <c r="E488" t="s">
        <v>4081</v>
      </c>
      <c r="F488" t="s">
        <v>4076</v>
      </c>
    </row>
    <row r="489" spans="1:6" x14ac:dyDescent="0.25">
      <c r="A489">
        <v>679</v>
      </c>
      <c r="B489" t="s">
        <v>4072</v>
      </c>
      <c r="C489">
        <v>40</v>
      </c>
      <c r="D489" t="s">
        <v>4080</v>
      </c>
      <c r="E489" t="s">
        <v>4081</v>
      </c>
      <c r="F489" t="s">
        <v>4079</v>
      </c>
    </row>
    <row r="490" spans="1:6" x14ac:dyDescent="0.25">
      <c r="A490">
        <v>680</v>
      </c>
      <c r="B490" t="s">
        <v>4072</v>
      </c>
      <c r="C490">
        <v>2</v>
      </c>
      <c r="D490" t="s">
        <v>4082</v>
      </c>
      <c r="E490" t="s">
        <v>4083</v>
      </c>
      <c r="F490" t="s">
        <v>4075</v>
      </c>
    </row>
    <row r="491" spans="1:6" x14ac:dyDescent="0.25">
      <c r="A491">
        <v>680</v>
      </c>
      <c r="B491" t="s">
        <v>4072</v>
      </c>
      <c r="C491">
        <v>17</v>
      </c>
      <c r="D491" t="s">
        <v>4082</v>
      </c>
      <c r="E491" t="s">
        <v>4084</v>
      </c>
      <c r="F491" t="s">
        <v>4076</v>
      </c>
    </row>
    <row r="492" spans="1:6" x14ac:dyDescent="0.25">
      <c r="A492">
        <v>680</v>
      </c>
      <c r="B492" t="s">
        <v>4072</v>
      </c>
      <c r="C492">
        <v>42</v>
      </c>
      <c r="D492" t="s">
        <v>4082</v>
      </c>
      <c r="E492" t="s">
        <v>4083</v>
      </c>
      <c r="F492" t="s">
        <v>4079</v>
      </c>
    </row>
    <row r="493" spans="1:6" x14ac:dyDescent="0.25">
      <c r="A493">
        <v>691</v>
      </c>
      <c r="B493" t="s">
        <v>4072</v>
      </c>
      <c r="C493">
        <v>2</v>
      </c>
      <c r="D493" t="s">
        <v>4082</v>
      </c>
      <c r="E493" t="s">
        <v>4083</v>
      </c>
      <c r="F493" t="s">
        <v>4075</v>
      </c>
    </row>
    <row r="494" spans="1:6" x14ac:dyDescent="0.25">
      <c r="A494">
        <v>691</v>
      </c>
      <c r="B494" t="s">
        <v>4072</v>
      </c>
      <c r="C494">
        <v>17</v>
      </c>
      <c r="D494" t="s">
        <v>4082</v>
      </c>
      <c r="E494" t="s">
        <v>4084</v>
      </c>
      <c r="F494" t="s">
        <v>4076</v>
      </c>
    </row>
    <row r="495" spans="1:6" x14ac:dyDescent="0.25">
      <c r="A495">
        <v>692</v>
      </c>
      <c r="B495" t="s">
        <v>4072</v>
      </c>
      <c r="C495">
        <v>3</v>
      </c>
      <c r="D495" t="s">
        <v>4085</v>
      </c>
      <c r="E495" t="s">
        <v>4086</v>
      </c>
      <c r="F495" t="s">
        <v>4075</v>
      </c>
    </row>
    <row r="496" spans="1:6" x14ac:dyDescent="0.25">
      <c r="A496">
        <v>692</v>
      </c>
      <c r="B496" t="s">
        <v>4072</v>
      </c>
      <c r="C496">
        <v>15</v>
      </c>
      <c r="D496" t="s">
        <v>4080</v>
      </c>
      <c r="E496" t="s">
        <v>4081</v>
      </c>
      <c r="F496" t="s">
        <v>4076</v>
      </c>
    </row>
    <row r="497" spans="1:6" x14ac:dyDescent="0.25">
      <c r="A497">
        <v>694</v>
      </c>
      <c r="B497" t="s">
        <v>4072</v>
      </c>
      <c r="C497">
        <v>3</v>
      </c>
      <c r="D497" t="s">
        <v>4085</v>
      </c>
      <c r="E497" t="s">
        <v>4086</v>
      </c>
      <c r="F497" t="s">
        <v>4075</v>
      </c>
    </row>
    <row r="498" spans="1:6" x14ac:dyDescent="0.25">
      <c r="A498">
        <v>694</v>
      </c>
      <c r="B498" t="s">
        <v>4072</v>
      </c>
      <c r="C498">
        <v>15</v>
      </c>
      <c r="D498" t="s">
        <v>4080</v>
      </c>
      <c r="E498" t="s">
        <v>4081</v>
      </c>
      <c r="F498" t="s">
        <v>4076</v>
      </c>
    </row>
    <row r="499" spans="1:6" x14ac:dyDescent="0.25">
      <c r="A499">
        <v>696</v>
      </c>
      <c r="B499" t="s">
        <v>4072</v>
      </c>
      <c r="C499">
        <v>3</v>
      </c>
      <c r="D499" t="s">
        <v>4085</v>
      </c>
      <c r="E499" t="s">
        <v>4086</v>
      </c>
      <c r="F499" t="s">
        <v>4075</v>
      </c>
    </row>
    <row r="500" spans="1:6" x14ac:dyDescent="0.25">
      <c r="A500">
        <v>697</v>
      </c>
      <c r="B500" t="s">
        <v>4072</v>
      </c>
      <c r="C500">
        <v>5</v>
      </c>
      <c r="D500" t="s">
        <v>4087</v>
      </c>
      <c r="E500" t="s">
        <v>4088</v>
      </c>
      <c r="F500" t="s">
        <v>4075</v>
      </c>
    </row>
    <row r="501" spans="1:6" x14ac:dyDescent="0.25">
      <c r="A501">
        <v>698</v>
      </c>
      <c r="B501" t="s">
        <v>4072</v>
      </c>
      <c r="C501">
        <v>2</v>
      </c>
      <c r="D501" t="s">
        <v>4082</v>
      </c>
      <c r="E501" t="s">
        <v>4083</v>
      </c>
      <c r="F501" t="s">
        <v>4075</v>
      </c>
    </row>
    <row r="502" spans="1:6" x14ac:dyDescent="0.25">
      <c r="A502">
        <v>698</v>
      </c>
      <c r="B502" t="s">
        <v>4072</v>
      </c>
      <c r="C502">
        <v>17</v>
      </c>
      <c r="D502" t="s">
        <v>4082</v>
      </c>
      <c r="E502" t="s">
        <v>4084</v>
      </c>
      <c r="F502" t="s">
        <v>4076</v>
      </c>
    </row>
    <row r="503" spans="1:6" x14ac:dyDescent="0.25">
      <c r="A503">
        <v>698</v>
      </c>
      <c r="B503" t="s">
        <v>4072</v>
      </c>
      <c r="C503">
        <v>42</v>
      </c>
      <c r="D503" t="s">
        <v>4082</v>
      </c>
      <c r="E503" t="s">
        <v>4083</v>
      </c>
      <c r="F503" t="s">
        <v>4079</v>
      </c>
    </row>
    <row r="504" spans="1:6" x14ac:dyDescent="0.25">
      <c r="A504">
        <v>704</v>
      </c>
      <c r="B504" t="s">
        <v>4072</v>
      </c>
      <c r="C504">
        <v>6</v>
      </c>
      <c r="D504" t="s">
        <v>4073</v>
      </c>
      <c r="E504" t="s">
        <v>4074</v>
      </c>
      <c r="F504" t="s">
        <v>4075</v>
      </c>
    </row>
    <row r="505" spans="1:6" x14ac:dyDescent="0.25">
      <c r="A505">
        <v>704</v>
      </c>
      <c r="B505" t="s">
        <v>4072</v>
      </c>
      <c r="C505">
        <v>19</v>
      </c>
      <c r="D505" t="s">
        <v>4073</v>
      </c>
      <c r="E505" t="s">
        <v>4074</v>
      </c>
      <c r="F505" t="s">
        <v>4076</v>
      </c>
    </row>
    <row r="506" spans="1:6" x14ac:dyDescent="0.25">
      <c r="A506">
        <v>708</v>
      </c>
      <c r="B506" t="s">
        <v>4072</v>
      </c>
      <c r="C506">
        <v>6</v>
      </c>
      <c r="D506" t="s">
        <v>4073</v>
      </c>
      <c r="E506" t="s">
        <v>4074</v>
      </c>
      <c r="F506" t="s">
        <v>4075</v>
      </c>
    </row>
    <row r="507" spans="1:6" x14ac:dyDescent="0.25">
      <c r="A507">
        <v>708</v>
      </c>
      <c r="B507" t="s">
        <v>4072</v>
      </c>
      <c r="C507">
        <v>19</v>
      </c>
      <c r="D507" t="s">
        <v>4073</v>
      </c>
      <c r="E507" t="s">
        <v>4074</v>
      </c>
      <c r="F507" t="s">
        <v>4076</v>
      </c>
    </row>
    <row r="508" spans="1:6" x14ac:dyDescent="0.25">
      <c r="A508">
        <v>717</v>
      </c>
      <c r="B508" t="s">
        <v>4072</v>
      </c>
      <c r="C508">
        <v>13</v>
      </c>
      <c r="D508" t="s">
        <v>4097</v>
      </c>
      <c r="E508" t="s">
        <v>4098</v>
      </c>
      <c r="F508" t="s">
        <v>4076</v>
      </c>
    </row>
    <row r="509" spans="1:6" x14ac:dyDescent="0.25">
      <c r="A509">
        <v>717</v>
      </c>
      <c r="B509" t="s">
        <v>4072</v>
      </c>
      <c r="C509">
        <v>14</v>
      </c>
      <c r="D509" t="s">
        <v>4090</v>
      </c>
      <c r="E509" t="s">
        <v>4091</v>
      </c>
      <c r="F509" t="s">
        <v>4076</v>
      </c>
    </row>
    <row r="510" spans="1:6" x14ac:dyDescent="0.25">
      <c r="A510">
        <v>717</v>
      </c>
      <c r="B510" t="s">
        <v>4072</v>
      </c>
      <c r="C510">
        <v>41</v>
      </c>
      <c r="D510" t="s">
        <v>4090</v>
      </c>
      <c r="E510" t="s">
        <v>4091</v>
      </c>
      <c r="F510" t="s">
        <v>4079</v>
      </c>
    </row>
    <row r="511" spans="1:6" x14ac:dyDescent="0.25">
      <c r="A511">
        <v>717</v>
      </c>
      <c r="B511" t="s">
        <v>4072</v>
      </c>
      <c r="C511">
        <v>46</v>
      </c>
      <c r="D511" t="s">
        <v>4099</v>
      </c>
      <c r="E511" t="s">
        <v>4100</v>
      </c>
      <c r="F511" t="s">
        <v>4079</v>
      </c>
    </row>
    <row r="512" spans="1:6" x14ac:dyDescent="0.25">
      <c r="A512">
        <v>723</v>
      </c>
      <c r="B512" t="s">
        <v>4072</v>
      </c>
      <c r="C512">
        <v>6</v>
      </c>
      <c r="D512" t="s">
        <v>4073</v>
      </c>
      <c r="E512" t="s">
        <v>4074</v>
      </c>
      <c r="F512" t="s">
        <v>4075</v>
      </c>
    </row>
    <row r="513" spans="1:6" x14ac:dyDescent="0.25">
      <c r="A513">
        <v>723</v>
      </c>
      <c r="B513" t="s">
        <v>4072</v>
      </c>
      <c r="C513">
        <v>19</v>
      </c>
      <c r="D513" t="s">
        <v>4073</v>
      </c>
      <c r="E513" t="s">
        <v>4074</v>
      </c>
      <c r="F513" t="s">
        <v>4076</v>
      </c>
    </row>
    <row r="514" spans="1:6" x14ac:dyDescent="0.25">
      <c r="A514">
        <v>723</v>
      </c>
      <c r="B514" t="s">
        <v>4072</v>
      </c>
      <c r="C514">
        <v>39</v>
      </c>
      <c r="D514" t="s">
        <v>4073</v>
      </c>
      <c r="E514" t="s">
        <v>4074</v>
      </c>
      <c r="F514" t="s">
        <v>4079</v>
      </c>
    </row>
    <row r="515" spans="1:6" x14ac:dyDescent="0.25">
      <c r="A515">
        <v>730</v>
      </c>
      <c r="B515" t="s">
        <v>4072</v>
      </c>
      <c r="C515">
        <v>1</v>
      </c>
      <c r="D515" t="s">
        <v>2761</v>
      </c>
      <c r="E515" t="s">
        <v>4089</v>
      </c>
      <c r="F515" t="s">
        <v>4075</v>
      </c>
    </row>
    <row r="516" spans="1:6" x14ac:dyDescent="0.25">
      <c r="A516">
        <v>730</v>
      </c>
      <c r="B516" t="s">
        <v>4072</v>
      </c>
      <c r="C516">
        <v>38</v>
      </c>
      <c r="D516" t="s">
        <v>2761</v>
      </c>
      <c r="E516" t="s">
        <v>4089</v>
      </c>
      <c r="F516" t="s">
        <v>4076</v>
      </c>
    </row>
    <row r="517" spans="1:6" x14ac:dyDescent="0.25">
      <c r="A517">
        <v>730</v>
      </c>
      <c r="B517" t="s">
        <v>4072</v>
      </c>
      <c r="C517">
        <v>43</v>
      </c>
      <c r="D517" t="s">
        <v>2761</v>
      </c>
      <c r="E517" t="s">
        <v>4089</v>
      </c>
      <c r="F517" t="s">
        <v>4079</v>
      </c>
    </row>
    <row r="518" spans="1:6" x14ac:dyDescent="0.25">
      <c r="A518">
        <v>731</v>
      </c>
      <c r="B518" t="s">
        <v>4072</v>
      </c>
      <c r="C518">
        <v>2</v>
      </c>
      <c r="D518" t="s">
        <v>4082</v>
      </c>
      <c r="E518" t="s">
        <v>4083</v>
      </c>
      <c r="F518" t="s">
        <v>4075</v>
      </c>
    </row>
    <row r="519" spans="1:6" x14ac:dyDescent="0.25">
      <c r="A519">
        <v>731</v>
      </c>
      <c r="B519" t="s">
        <v>4072</v>
      </c>
      <c r="C519">
        <v>17</v>
      </c>
      <c r="D519" t="s">
        <v>4082</v>
      </c>
      <c r="E519" t="s">
        <v>4084</v>
      </c>
      <c r="F519" t="s">
        <v>4076</v>
      </c>
    </row>
    <row r="520" spans="1:6" x14ac:dyDescent="0.25">
      <c r="A520">
        <v>731</v>
      </c>
      <c r="B520" t="s">
        <v>4072</v>
      </c>
      <c r="C520">
        <v>42</v>
      </c>
      <c r="D520" t="s">
        <v>4082</v>
      </c>
      <c r="E520" t="s">
        <v>4083</v>
      </c>
      <c r="F520" t="s">
        <v>4079</v>
      </c>
    </row>
    <row r="521" spans="1:6" x14ac:dyDescent="0.25">
      <c r="A521">
        <v>732</v>
      </c>
      <c r="B521" t="s">
        <v>4072</v>
      </c>
      <c r="C521">
        <v>3</v>
      </c>
      <c r="D521" t="s">
        <v>4085</v>
      </c>
      <c r="E521" t="s">
        <v>4086</v>
      </c>
      <c r="F521" t="s">
        <v>4075</v>
      </c>
    </row>
    <row r="522" spans="1:6" x14ac:dyDescent="0.25">
      <c r="A522">
        <v>732</v>
      </c>
      <c r="B522" t="s">
        <v>4072</v>
      </c>
      <c r="C522">
        <v>15</v>
      </c>
      <c r="D522" t="s">
        <v>4080</v>
      </c>
      <c r="E522" t="s">
        <v>4081</v>
      </c>
      <c r="F522" t="s">
        <v>4076</v>
      </c>
    </row>
    <row r="523" spans="1:6" x14ac:dyDescent="0.25">
      <c r="A523">
        <v>732</v>
      </c>
      <c r="B523" t="s">
        <v>4072</v>
      </c>
      <c r="C523">
        <v>40</v>
      </c>
      <c r="D523" t="s">
        <v>4080</v>
      </c>
      <c r="E523" t="s">
        <v>4081</v>
      </c>
      <c r="F523" t="s">
        <v>4079</v>
      </c>
    </row>
    <row r="524" spans="1:6" x14ac:dyDescent="0.25">
      <c r="A524">
        <v>733</v>
      </c>
      <c r="B524" t="s">
        <v>4072</v>
      </c>
      <c r="C524">
        <v>4</v>
      </c>
      <c r="D524" t="s">
        <v>4077</v>
      </c>
      <c r="E524" t="s">
        <v>4078</v>
      </c>
      <c r="F524" t="s">
        <v>4075</v>
      </c>
    </row>
    <row r="525" spans="1:6" x14ac:dyDescent="0.25">
      <c r="A525">
        <v>734</v>
      </c>
      <c r="B525" t="s">
        <v>4072</v>
      </c>
      <c r="C525">
        <v>5</v>
      </c>
      <c r="D525" t="s">
        <v>4087</v>
      </c>
      <c r="E525" t="s">
        <v>4088</v>
      </c>
      <c r="F525" t="s">
        <v>4075</v>
      </c>
    </row>
    <row r="526" spans="1:6" x14ac:dyDescent="0.25">
      <c r="A526">
        <v>734</v>
      </c>
      <c r="B526" t="s">
        <v>4072</v>
      </c>
      <c r="C526">
        <v>15</v>
      </c>
      <c r="D526" t="s">
        <v>4080</v>
      </c>
      <c r="E526" t="s">
        <v>4081</v>
      </c>
      <c r="F526" t="s">
        <v>4076</v>
      </c>
    </row>
    <row r="527" spans="1:6" x14ac:dyDescent="0.25">
      <c r="A527">
        <v>734</v>
      </c>
      <c r="B527" t="s">
        <v>4072</v>
      </c>
      <c r="C527">
        <v>40</v>
      </c>
      <c r="D527" t="s">
        <v>4080</v>
      </c>
      <c r="E527" t="s">
        <v>4081</v>
      </c>
      <c r="F527" t="s">
        <v>4079</v>
      </c>
    </row>
    <row r="528" spans="1:6" x14ac:dyDescent="0.25">
      <c r="A528">
        <v>744</v>
      </c>
      <c r="B528" t="s">
        <v>4072</v>
      </c>
      <c r="C528">
        <v>5</v>
      </c>
      <c r="D528" t="s">
        <v>4087</v>
      </c>
      <c r="E528" t="s">
        <v>4088</v>
      </c>
      <c r="F528" t="s">
        <v>4075</v>
      </c>
    </row>
    <row r="529" spans="1:6" x14ac:dyDescent="0.25">
      <c r="A529">
        <v>744</v>
      </c>
      <c r="B529" t="s">
        <v>4072</v>
      </c>
      <c r="C529">
        <v>15</v>
      </c>
      <c r="D529" t="s">
        <v>4080</v>
      </c>
      <c r="E529" t="s">
        <v>4081</v>
      </c>
      <c r="F529" t="s">
        <v>4076</v>
      </c>
    </row>
    <row r="530" spans="1:6" x14ac:dyDescent="0.25">
      <c r="A530">
        <v>744</v>
      </c>
      <c r="B530" t="s">
        <v>4072</v>
      </c>
      <c r="C530">
        <v>40</v>
      </c>
      <c r="D530" t="s">
        <v>4080</v>
      </c>
      <c r="E530" t="s">
        <v>4081</v>
      </c>
      <c r="F530" t="s">
        <v>4079</v>
      </c>
    </row>
    <row r="531" spans="1:6" x14ac:dyDescent="0.25">
      <c r="A531">
        <v>755</v>
      </c>
      <c r="B531" t="s">
        <v>4072</v>
      </c>
      <c r="C531">
        <v>2</v>
      </c>
      <c r="D531" t="s">
        <v>4082</v>
      </c>
      <c r="E531" t="s">
        <v>4083</v>
      </c>
      <c r="F531" t="s">
        <v>4075</v>
      </c>
    </row>
    <row r="532" spans="1:6" x14ac:dyDescent="0.25">
      <c r="A532">
        <v>755</v>
      </c>
      <c r="B532" t="s">
        <v>4072</v>
      </c>
      <c r="C532">
        <v>17</v>
      </c>
      <c r="D532" t="s">
        <v>4082</v>
      </c>
      <c r="E532" t="s">
        <v>4084</v>
      </c>
      <c r="F532" t="s">
        <v>4076</v>
      </c>
    </row>
    <row r="533" spans="1:6" x14ac:dyDescent="0.25">
      <c r="A533">
        <v>755</v>
      </c>
      <c r="B533" t="s">
        <v>4072</v>
      </c>
      <c r="C533">
        <v>42</v>
      </c>
      <c r="D533" t="s">
        <v>4082</v>
      </c>
      <c r="E533" t="s">
        <v>4083</v>
      </c>
      <c r="F533" t="s">
        <v>4079</v>
      </c>
    </row>
    <row r="534" spans="1:6" x14ac:dyDescent="0.25">
      <c r="A534">
        <v>756</v>
      </c>
      <c r="B534" t="s">
        <v>4072</v>
      </c>
      <c r="C534">
        <v>5</v>
      </c>
      <c r="D534" t="s">
        <v>4087</v>
      </c>
      <c r="E534" t="s">
        <v>4088</v>
      </c>
      <c r="F534" t="s">
        <v>4075</v>
      </c>
    </row>
    <row r="535" spans="1:6" x14ac:dyDescent="0.25">
      <c r="A535">
        <v>756</v>
      </c>
      <c r="B535" t="s">
        <v>4072</v>
      </c>
      <c r="C535">
        <v>15</v>
      </c>
      <c r="D535" t="s">
        <v>4080</v>
      </c>
      <c r="E535" t="s">
        <v>4081</v>
      </c>
      <c r="F535" t="s">
        <v>4076</v>
      </c>
    </row>
    <row r="536" spans="1:6" x14ac:dyDescent="0.25">
      <c r="A536">
        <v>756</v>
      </c>
      <c r="B536" t="s">
        <v>4072</v>
      </c>
      <c r="C536">
        <v>40</v>
      </c>
      <c r="D536" t="s">
        <v>4080</v>
      </c>
      <c r="E536" t="s">
        <v>4081</v>
      </c>
      <c r="F536" t="s">
        <v>4079</v>
      </c>
    </row>
    <row r="537" spans="1:6" x14ac:dyDescent="0.25">
      <c r="A537">
        <v>757</v>
      </c>
      <c r="B537" t="s">
        <v>4072</v>
      </c>
      <c r="C537">
        <v>3</v>
      </c>
      <c r="D537" t="s">
        <v>4085</v>
      </c>
      <c r="E537" t="s">
        <v>4086</v>
      </c>
      <c r="F537" t="s">
        <v>4075</v>
      </c>
    </row>
    <row r="538" spans="1:6" x14ac:dyDescent="0.25">
      <c r="A538">
        <v>757</v>
      </c>
      <c r="B538" t="s">
        <v>4072</v>
      </c>
      <c r="C538">
        <v>5</v>
      </c>
      <c r="D538" t="s">
        <v>4087</v>
      </c>
      <c r="E538" t="s">
        <v>4088</v>
      </c>
      <c r="F538" t="s">
        <v>4075</v>
      </c>
    </row>
    <row r="539" spans="1:6" x14ac:dyDescent="0.25">
      <c r="A539">
        <v>757</v>
      </c>
      <c r="B539" t="s">
        <v>4072</v>
      </c>
      <c r="C539">
        <v>15</v>
      </c>
      <c r="D539" t="s">
        <v>4080</v>
      </c>
      <c r="E539" t="s">
        <v>4081</v>
      </c>
      <c r="F539" t="s">
        <v>4076</v>
      </c>
    </row>
    <row r="540" spans="1:6" x14ac:dyDescent="0.25">
      <c r="A540">
        <v>757</v>
      </c>
      <c r="B540" t="s">
        <v>4072</v>
      </c>
      <c r="C540">
        <v>40</v>
      </c>
      <c r="D540" t="s">
        <v>4080</v>
      </c>
      <c r="E540" t="s">
        <v>4081</v>
      </c>
      <c r="F540" t="s">
        <v>4079</v>
      </c>
    </row>
    <row r="541" spans="1:6" x14ac:dyDescent="0.25">
      <c r="A541">
        <v>763</v>
      </c>
      <c r="B541" t="s">
        <v>4072</v>
      </c>
      <c r="C541">
        <v>3</v>
      </c>
      <c r="D541" t="s">
        <v>4085</v>
      </c>
      <c r="E541" t="s">
        <v>4086</v>
      </c>
      <c r="F541" t="s">
        <v>4075</v>
      </c>
    </row>
    <row r="542" spans="1:6" x14ac:dyDescent="0.25">
      <c r="A542">
        <v>765</v>
      </c>
      <c r="B542" t="s">
        <v>4072</v>
      </c>
      <c r="C542">
        <v>5</v>
      </c>
      <c r="D542" t="s">
        <v>4087</v>
      </c>
      <c r="E542" t="s">
        <v>4088</v>
      </c>
      <c r="F542" t="s">
        <v>4075</v>
      </c>
    </row>
    <row r="543" spans="1:6" x14ac:dyDescent="0.25">
      <c r="A543">
        <v>765</v>
      </c>
      <c r="B543" t="s">
        <v>4072</v>
      </c>
      <c r="C543">
        <v>15</v>
      </c>
      <c r="D543" t="s">
        <v>4080</v>
      </c>
      <c r="E543" t="s">
        <v>4081</v>
      </c>
      <c r="F543" t="s">
        <v>4076</v>
      </c>
    </row>
    <row r="544" spans="1:6" x14ac:dyDescent="0.25">
      <c r="A544">
        <v>766</v>
      </c>
      <c r="B544" t="s">
        <v>4092</v>
      </c>
      <c r="C544">
        <v>23</v>
      </c>
      <c r="D544" t="s">
        <v>2757</v>
      </c>
      <c r="E544" t="s">
        <v>4093</v>
      </c>
      <c r="F544" t="s">
        <v>4075</v>
      </c>
    </row>
    <row r="545" spans="1:6" x14ac:dyDescent="0.25">
      <c r="A545">
        <v>768</v>
      </c>
      <c r="B545" t="s">
        <v>4072</v>
      </c>
      <c r="C545">
        <v>4</v>
      </c>
      <c r="D545" t="s">
        <v>4077</v>
      </c>
      <c r="E545" t="s">
        <v>4078</v>
      </c>
      <c r="F545" t="s">
        <v>4075</v>
      </c>
    </row>
    <row r="546" spans="1:6" x14ac:dyDescent="0.25">
      <c r="A546">
        <v>768</v>
      </c>
      <c r="B546" t="s">
        <v>4072</v>
      </c>
      <c r="C546">
        <v>16</v>
      </c>
      <c r="D546" t="s">
        <v>4077</v>
      </c>
      <c r="E546" t="s">
        <v>4078</v>
      </c>
      <c r="F546" t="s">
        <v>4076</v>
      </c>
    </row>
    <row r="547" spans="1:6" x14ac:dyDescent="0.25">
      <c r="A547">
        <v>768</v>
      </c>
      <c r="B547" t="s">
        <v>4072</v>
      </c>
      <c r="C547">
        <v>44</v>
      </c>
      <c r="D547" t="s">
        <v>4077</v>
      </c>
      <c r="E547" t="s">
        <v>4078</v>
      </c>
      <c r="F547" t="s">
        <v>4079</v>
      </c>
    </row>
    <row r="548" spans="1:6" x14ac:dyDescent="0.25">
      <c r="A548">
        <v>769</v>
      </c>
      <c r="B548" t="s">
        <v>4072</v>
      </c>
      <c r="C548">
        <v>5</v>
      </c>
      <c r="D548" t="s">
        <v>4087</v>
      </c>
      <c r="E548" t="s">
        <v>4088</v>
      </c>
      <c r="F548" t="s">
        <v>4075</v>
      </c>
    </row>
    <row r="549" spans="1:6" x14ac:dyDescent="0.25">
      <c r="A549">
        <v>769</v>
      </c>
      <c r="B549" t="s">
        <v>4072</v>
      </c>
      <c r="C549">
        <v>15</v>
      </c>
      <c r="D549" t="s">
        <v>4080</v>
      </c>
      <c r="E549" t="s">
        <v>4081</v>
      </c>
      <c r="F549" t="s">
        <v>4076</v>
      </c>
    </row>
    <row r="550" spans="1:6" x14ac:dyDescent="0.25">
      <c r="A550">
        <v>769</v>
      </c>
      <c r="B550" t="s">
        <v>4072</v>
      </c>
      <c r="C550">
        <v>40</v>
      </c>
      <c r="D550" t="s">
        <v>4080</v>
      </c>
      <c r="E550" t="s">
        <v>4081</v>
      </c>
      <c r="F550" t="s">
        <v>4079</v>
      </c>
    </row>
    <row r="551" spans="1:6" x14ac:dyDescent="0.25">
      <c r="A551">
        <v>770</v>
      </c>
      <c r="B551" t="s">
        <v>4072</v>
      </c>
      <c r="C551">
        <v>2</v>
      </c>
      <c r="D551" t="s">
        <v>4082</v>
      </c>
      <c r="E551" t="s">
        <v>4083</v>
      </c>
      <c r="F551" t="s">
        <v>4075</v>
      </c>
    </row>
    <row r="552" spans="1:6" x14ac:dyDescent="0.25">
      <c r="A552">
        <v>771</v>
      </c>
      <c r="B552" t="s">
        <v>4072</v>
      </c>
      <c r="C552">
        <v>6</v>
      </c>
      <c r="D552" t="s">
        <v>4073</v>
      </c>
      <c r="E552" t="s">
        <v>4074</v>
      </c>
      <c r="F552" t="s">
        <v>4075</v>
      </c>
    </row>
    <row r="553" spans="1:6" x14ac:dyDescent="0.25">
      <c r="A553">
        <v>771</v>
      </c>
      <c r="B553" t="s">
        <v>4072</v>
      </c>
      <c r="C553">
        <v>19</v>
      </c>
      <c r="D553" t="s">
        <v>4073</v>
      </c>
      <c r="E553" t="s">
        <v>4074</v>
      </c>
      <c r="F553" t="s">
        <v>4076</v>
      </c>
    </row>
    <row r="554" spans="1:6" x14ac:dyDescent="0.25">
      <c r="A554">
        <v>771</v>
      </c>
      <c r="B554" t="s">
        <v>4072</v>
      </c>
      <c r="C554">
        <v>39</v>
      </c>
      <c r="D554" t="s">
        <v>4073</v>
      </c>
      <c r="E554" t="s">
        <v>4074</v>
      </c>
      <c r="F554" t="s">
        <v>4079</v>
      </c>
    </row>
    <row r="555" spans="1:6" x14ac:dyDescent="0.25">
      <c r="A555">
        <v>772</v>
      </c>
      <c r="B555" t="s">
        <v>4072</v>
      </c>
      <c r="C555">
        <v>5</v>
      </c>
      <c r="D555" t="s">
        <v>4087</v>
      </c>
      <c r="E555" t="s">
        <v>4088</v>
      </c>
      <c r="F555" t="s">
        <v>4075</v>
      </c>
    </row>
    <row r="556" spans="1:6" x14ac:dyDescent="0.25">
      <c r="A556">
        <v>772</v>
      </c>
      <c r="B556" t="s">
        <v>4072</v>
      </c>
      <c r="C556">
        <v>15</v>
      </c>
      <c r="D556" t="s">
        <v>4080</v>
      </c>
      <c r="E556" t="s">
        <v>4081</v>
      </c>
      <c r="F556" t="s">
        <v>4076</v>
      </c>
    </row>
    <row r="557" spans="1:6" x14ac:dyDescent="0.25">
      <c r="A557">
        <v>772</v>
      </c>
      <c r="B557" t="s">
        <v>4072</v>
      </c>
      <c r="C557">
        <v>40</v>
      </c>
      <c r="D557" t="s">
        <v>4080</v>
      </c>
      <c r="E557" t="s">
        <v>4081</v>
      </c>
      <c r="F557" t="s">
        <v>4079</v>
      </c>
    </row>
    <row r="558" spans="1:6" x14ac:dyDescent="0.25">
      <c r="A558">
        <v>773</v>
      </c>
      <c r="B558" t="s">
        <v>4072</v>
      </c>
      <c r="C558">
        <v>5</v>
      </c>
      <c r="D558" t="s">
        <v>4087</v>
      </c>
      <c r="E558" t="s">
        <v>4088</v>
      </c>
      <c r="F558" t="s">
        <v>4075</v>
      </c>
    </row>
    <row r="559" spans="1:6" x14ac:dyDescent="0.25">
      <c r="A559">
        <v>773</v>
      </c>
      <c r="B559" t="s">
        <v>4072</v>
      </c>
      <c r="C559">
        <v>15</v>
      </c>
      <c r="D559" t="s">
        <v>4080</v>
      </c>
      <c r="E559" t="s">
        <v>4081</v>
      </c>
      <c r="F559" t="s">
        <v>4076</v>
      </c>
    </row>
    <row r="560" spans="1:6" x14ac:dyDescent="0.25">
      <c r="A560">
        <v>773</v>
      </c>
      <c r="B560" t="s">
        <v>4072</v>
      </c>
      <c r="C560">
        <v>40</v>
      </c>
      <c r="D560" t="s">
        <v>4080</v>
      </c>
      <c r="E560" t="s">
        <v>4081</v>
      </c>
      <c r="F560" t="s">
        <v>4079</v>
      </c>
    </row>
    <row r="561" spans="1:6" x14ac:dyDescent="0.25">
      <c r="A561">
        <v>778</v>
      </c>
      <c r="B561" t="s">
        <v>4072</v>
      </c>
      <c r="C561">
        <v>3</v>
      </c>
      <c r="D561" t="s">
        <v>4085</v>
      </c>
      <c r="E561" t="s">
        <v>4086</v>
      </c>
      <c r="F561" t="s">
        <v>4075</v>
      </c>
    </row>
    <row r="562" spans="1:6" x14ac:dyDescent="0.25">
      <c r="A562">
        <v>778</v>
      </c>
      <c r="B562" t="s">
        <v>4072</v>
      </c>
      <c r="C562">
        <v>15</v>
      </c>
      <c r="D562" t="s">
        <v>4080</v>
      </c>
      <c r="E562" t="s">
        <v>4081</v>
      </c>
      <c r="F562" t="s">
        <v>4076</v>
      </c>
    </row>
    <row r="563" spans="1:6" x14ac:dyDescent="0.25">
      <c r="A563">
        <v>778</v>
      </c>
      <c r="B563" t="s">
        <v>4072</v>
      </c>
      <c r="C563">
        <v>40</v>
      </c>
      <c r="D563" t="s">
        <v>4080</v>
      </c>
      <c r="E563" t="s">
        <v>4081</v>
      </c>
      <c r="F563" t="s">
        <v>4079</v>
      </c>
    </row>
    <row r="564" spans="1:6" x14ac:dyDescent="0.25">
      <c r="A564">
        <v>779</v>
      </c>
      <c r="B564" t="s">
        <v>4072</v>
      </c>
      <c r="C564">
        <v>2</v>
      </c>
      <c r="D564" t="s">
        <v>4082</v>
      </c>
      <c r="E564" t="s">
        <v>4083</v>
      </c>
      <c r="F564" t="s">
        <v>4075</v>
      </c>
    </row>
    <row r="565" spans="1:6" x14ac:dyDescent="0.25">
      <c r="A565">
        <v>779</v>
      </c>
      <c r="B565" t="s">
        <v>4072</v>
      </c>
      <c r="C565">
        <v>17</v>
      </c>
      <c r="D565" t="s">
        <v>4082</v>
      </c>
      <c r="E565" t="s">
        <v>4084</v>
      </c>
      <c r="F565" t="s">
        <v>4076</v>
      </c>
    </row>
    <row r="566" spans="1:6" x14ac:dyDescent="0.25">
      <c r="A566">
        <v>779</v>
      </c>
      <c r="B566" t="s">
        <v>4072</v>
      </c>
      <c r="C566">
        <v>42</v>
      </c>
      <c r="D566" t="s">
        <v>4082</v>
      </c>
      <c r="E566" t="s">
        <v>4083</v>
      </c>
      <c r="F566" t="s">
        <v>4079</v>
      </c>
    </row>
    <row r="567" spans="1:6" x14ac:dyDescent="0.25">
      <c r="A567">
        <v>782</v>
      </c>
      <c r="B567" t="s">
        <v>4072</v>
      </c>
      <c r="C567">
        <v>6</v>
      </c>
      <c r="D567" t="s">
        <v>4073</v>
      </c>
      <c r="E567" t="s">
        <v>4074</v>
      </c>
      <c r="F567" t="s">
        <v>4075</v>
      </c>
    </row>
    <row r="568" spans="1:6" x14ac:dyDescent="0.25">
      <c r="A568">
        <v>782</v>
      </c>
      <c r="B568" t="s">
        <v>4072</v>
      </c>
      <c r="C568">
        <v>19</v>
      </c>
      <c r="D568" t="s">
        <v>4073</v>
      </c>
      <c r="E568" t="s">
        <v>4074</v>
      </c>
      <c r="F568" t="s">
        <v>4076</v>
      </c>
    </row>
    <row r="569" spans="1:6" x14ac:dyDescent="0.25">
      <c r="A569">
        <v>782</v>
      </c>
      <c r="B569" t="s">
        <v>4072</v>
      </c>
      <c r="C569">
        <v>39</v>
      </c>
      <c r="D569" t="s">
        <v>4073</v>
      </c>
      <c r="E569" t="s">
        <v>4074</v>
      </c>
      <c r="F569" t="s">
        <v>4079</v>
      </c>
    </row>
    <row r="570" spans="1:6" x14ac:dyDescent="0.25">
      <c r="A570">
        <v>795</v>
      </c>
      <c r="B570" t="s">
        <v>4072</v>
      </c>
      <c r="C570">
        <v>5</v>
      </c>
      <c r="D570" t="s">
        <v>4087</v>
      </c>
      <c r="E570" t="s">
        <v>4088</v>
      </c>
      <c r="F570" t="s">
        <v>4075</v>
      </c>
    </row>
    <row r="571" spans="1:6" x14ac:dyDescent="0.25">
      <c r="A571">
        <v>803</v>
      </c>
      <c r="B571" t="s">
        <v>4072</v>
      </c>
      <c r="C571">
        <v>6</v>
      </c>
      <c r="D571" t="s">
        <v>4073</v>
      </c>
      <c r="E571" t="s">
        <v>4074</v>
      </c>
      <c r="F571" t="s">
        <v>4075</v>
      </c>
    </row>
    <row r="572" spans="1:6" x14ac:dyDescent="0.25">
      <c r="A572">
        <v>803</v>
      </c>
      <c r="B572" t="s">
        <v>4072</v>
      </c>
      <c r="C572">
        <v>19</v>
      </c>
      <c r="D572" t="s">
        <v>4073</v>
      </c>
      <c r="E572" t="s">
        <v>4074</v>
      </c>
      <c r="F572" t="s">
        <v>4076</v>
      </c>
    </row>
    <row r="573" spans="1:6" x14ac:dyDescent="0.25">
      <c r="A573">
        <v>803</v>
      </c>
      <c r="B573" t="s">
        <v>4072</v>
      </c>
      <c r="C573">
        <v>39</v>
      </c>
      <c r="D573" t="s">
        <v>4073</v>
      </c>
      <c r="E573" t="s">
        <v>4074</v>
      </c>
      <c r="F573" t="s">
        <v>4079</v>
      </c>
    </row>
    <row r="574" spans="1:6" x14ac:dyDescent="0.25">
      <c r="A574">
        <v>810</v>
      </c>
      <c r="B574" t="s">
        <v>4072</v>
      </c>
      <c r="C574">
        <v>6</v>
      </c>
      <c r="D574" t="s">
        <v>4073</v>
      </c>
      <c r="E574" t="s">
        <v>4074</v>
      </c>
      <c r="F574" t="s">
        <v>4075</v>
      </c>
    </row>
    <row r="575" spans="1:6" x14ac:dyDescent="0.25">
      <c r="A575">
        <v>810</v>
      </c>
      <c r="B575" t="s">
        <v>4072</v>
      </c>
      <c r="C575">
        <v>19</v>
      </c>
      <c r="D575" t="s">
        <v>4073</v>
      </c>
      <c r="E575" t="s">
        <v>4074</v>
      </c>
      <c r="F575" t="s">
        <v>4076</v>
      </c>
    </row>
    <row r="576" spans="1:6" x14ac:dyDescent="0.25">
      <c r="A576">
        <v>812</v>
      </c>
      <c r="B576" t="s">
        <v>4072</v>
      </c>
      <c r="C576">
        <v>5</v>
      </c>
      <c r="D576" t="s">
        <v>4087</v>
      </c>
      <c r="E576" t="s">
        <v>4088</v>
      </c>
      <c r="F576" t="s">
        <v>4075</v>
      </c>
    </row>
    <row r="577" spans="1:6" x14ac:dyDescent="0.25">
      <c r="A577">
        <v>812</v>
      </c>
      <c r="B577" t="s">
        <v>4072</v>
      </c>
      <c r="C577">
        <v>15</v>
      </c>
      <c r="D577" t="s">
        <v>4080</v>
      </c>
      <c r="E577" t="s">
        <v>4081</v>
      </c>
      <c r="F577" t="s">
        <v>4076</v>
      </c>
    </row>
    <row r="578" spans="1:6" x14ac:dyDescent="0.25">
      <c r="A578">
        <v>815</v>
      </c>
      <c r="B578" t="s">
        <v>4072</v>
      </c>
      <c r="C578">
        <v>4</v>
      </c>
      <c r="D578" t="s">
        <v>4077</v>
      </c>
      <c r="E578" t="s">
        <v>4078</v>
      </c>
      <c r="F578" t="s">
        <v>4075</v>
      </c>
    </row>
    <row r="579" spans="1:6" x14ac:dyDescent="0.25">
      <c r="A579">
        <v>815</v>
      </c>
      <c r="B579" t="s">
        <v>4072</v>
      </c>
      <c r="C579">
        <v>16</v>
      </c>
      <c r="D579" t="s">
        <v>4077</v>
      </c>
      <c r="E579" t="s">
        <v>4078</v>
      </c>
      <c r="F579" t="s">
        <v>4076</v>
      </c>
    </row>
    <row r="580" spans="1:6" x14ac:dyDescent="0.25">
      <c r="A580">
        <v>826</v>
      </c>
      <c r="B580" t="s">
        <v>4072</v>
      </c>
      <c r="C580">
        <v>2</v>
      </c>
      <c r="D580" t="s">
        <v>4082</v>
      </c>
      <c r="E580" t="s">
        <v>4083</v>
      </c>
      <c r="F580" t="s">
        <v>4075</v>
      </c>
    </row>
    <row r="581" spans="1:6" x14ac:dyDescent="0.25">
      <c r="A581">
        <v>826</v>
      </c>
      <c r="B581" t="s">
        <v>4072</v>
      </c>
      <c r="C581">
        <v>17</v>
      </c>
      <c r="D581" t="s">
        <v>4082</v>
      </c>
      <c r="E581" t="s">
        <v>4084</v>
      </c>
      <c r="F581" t="s">
        <v>4076</v>
      </c>
    </row>
    <row r="582" spans="1:6" x14ac:dyDescent="0.25">
      <c r="A582">
        <v>826</v>
      </c>
      <c r="B582" t="s">
        <v>4072</v>
      </c>
      <c r="C582">
        <v>42</v>
      </c>
      <c r="D582" t="s">
        <v>4082</v>
      </c>
      <c r="E582" t="s">
        <v>4083</v>
      </c>
      <c r="F582" t="s">
        <v>4079</v>
      </c>
    </row>
    <row r="583" spans="1:6" x14ac:dyDescent="0.25">
      <c r="A583">
        <v>827</v>
      </c>
      <c r="B583" t="s">
        <v>4072</v>
      </c>
      <c r="C583">
        <v>5</v>
      </c>
      <c r="D583" t="s">
        <v>4087</v>
      </c>
      <c r="E583" t="s">
        <v>4088</v>
      </c>
      <c r="F583" t="s">
        <v>4075</v>
      </c>
    </row>
    <row r="584" spans="1:6" x14ac:dyDescent="0.25">
      <c r="A584">
        <v>827</v>
      </c>
      <c r="B584" t="s">
        <v>4072</v>
      </c>
      <c r="C584">
        <v>15</v>
      </c>
      <c r="D584" t="s">
        <v>4080</v>
      </c>
      <c r="E584" t="s">
        <v>4081</v>
      </c>
      <c r="F584" t="s">
        <v>4076</v>
      </c>
    </row>
    <row r="585" spans="1:6" x14ac:dyDescent="0.25">
      <c r="A585">
        <v>827</v>
      </c>
      <c r="B585" t="s">
        <v>4072</v>
      </c>
      <c r="C585">
        <v>40</v>
      </c>
      <c r="D585" t="s">
        <v>4080</v>
      </c>
      <c r="E585" t="s">
        <v>4081</v>
      </c>
      <c r="F585" t="s">
        <v>4079</v>
      </c>
    </row>
    <row r="586" spans="1:6" x14ac:dyDescent="0.25">
      <c r="A586">
        <v>831</v>
      </c>
      <c r="B586" t="s">
        <v>4072</v>
      </c>
      <c r="C586">
        <v>2</v>
      </c>
      <c r="D586" t="s">
        <v>4082</v>
      </c>
      <c r="E586" t="s">
        <v>4083</v>
      </c>
      <c r="F586" t="s">
        <v>4075</v>
      </c>
    </row>
    <row r="587" spans="1:6" x14ac:dyDescent="0.25">
      <c r="A587">
        <v>831</v>
      </c>
      <c r="B587" t="s">
        <v>4072</v>
      </c>
      <c r="C587">
        <v>17</v>
      </c>
      <c r="D587" t="s">
        <v>4082</v>
      </c>
      <c r="E587" t="s">
        <v>4084</v>
      </c>
      <c r="F587" t="s">
        <v>4076</v>
      </c>
    </row>
    <row r="588" spans="1:6" x14ac:dyDescent="0.25">
      <c r="A588">
        <v>836</v>
      </c>
      <c r="B588" t="s">
        <v>4072</v>
      </c>
      <c r="C588">
        <v>2</v>
      </c>
      <c r="D588" t="s">
        <v>4082</v>
      </c>
      <c r="E588" t="s">
        <v>4083</v>
      </c>
      <c r="F588" t="s">
        <v>4075</v>
      </c>
    </row>
    <row r="589" spans="1:6" x14ac:dyDescent="0.25">
      <c r="A589">
        <v>836</v>
      </c>
      <c r="B589" t="s">
        <v>4072</v>
      </c>
      <c r="C589">
        <v>17</v>
      </c>
      <c r="D589" t="s">
        <v>4082</v>
      </c>
      <c r="E589" t="s">
        <v>4084</v>
      </c>
      <c r="F589" t="s">
        <v>4076</v>
      </c>
    </row>
    <row r="590" spans="1:6" x14ac:dyDescent="0.25">
      <c r="A590">
        <v>840</v>
      </c>
      <c r="B590" t="s">
        <v>4072</v>
      </c>
      <c r="C590">
        <v>5</v>
      </c>
      <c r="D590" t="s">
        <v>4087</v>
      </c>
      <c r="E590" t="s">
        <v>4088</v>
      </c>
      <c r="F590" t="s">
        <v>4075</v>
      </c>
    </row>
    <row r="591" spans="1:6" x14ac:dyDescent="0.25">
      <c r="A591">
        <v>840</v>
      </c>
      <c r="B591" t="s">
        <v>4072</v>
      </c>
      <c r="C591">
        <v>15</v>
      </c>
      <c r="D591" t="s">
        <v>4080</v>
      </c>
      <c r="E591" t="s">
        <v>4081</v>
      </c>
      <c r="F591" t="s">
        <v>4076</v>
      </c>
    </row>
    <row r="592" spans="1:6" x14ac:dyDescent="0.25">
      <c r="A592">
        <v>840</v>
      </c>
      <c r="B592" t="s">
        <v>4072</v>
      </c>
      <c r="C592">
        <v>40</v>
      </c>
      <c r="D592" t="s">
        <v>4080</v>
      </c>
      <c r="E592" t="s">
        <v>4081</v>
      </c>
      <c r="F592" t="s">
        <v>4079</v>
      </c>
    </row>
    <row r="593" spans="1:6" x14ac:dyDescent="0.25">
      <c r="A593">
        <v>844</v>
      </c>
      <c r="B593" t="s">
        <v>4072</v>
      </c>
      <c r="C593">
        <v>5</v>
      </c>
      <c r="D593" t="s">
        <v>4087</v>
      </c>
      <c r="E593" t="s">
        <v>4088</v>
      </c>
      <c r="F593" t="s">
        <v>4075</v>
      </c>
    </row>
    <row r="594" spans="1:6" x14ac:dyDescent="0.25">
      <c r="A594">
        <v>844</v>
      </c>
      <c r="B594" t="s">
        <v>4072</v>
      </c>
      <c r="C594">
        <v>15</v>
      </c>
      <c r="D594" t="s">
        <v>4080</v>
      </c>
      <c r="E594" t="s">
        <v>4081</v>
      </c>
      <c r="F594" t="s">
        <v>4076</v>
      </c>
    </row>
    <row r="595" spans="1:6" x14ac:dyDescent="0.25">
      <c r="A595">
        <v>849</v>
      </c>
      <c r="B595" t="s">
        <v>4072</v>
      </c>
      <c r="C595">
        <v>6</v>
      </c>
      <c r="D595" t="s">
        <v>4073</v>
      </c>
      <c r="E595" t="s">
        <v>4074</v>
      </c>
      <c r="F595" t="s">
        <v>4075</v>
      </c>
    </row>
    <row r="596" spans="1:6" x14ac:dyDescent="0.25">
      <c r="A596">
        <v>851</v>
      </c>
      <c r="B596" t="s">
        <v>4072</v>
      </c>
      <c r="C596">
        <v>6</v>
      </c>
      <c r="D596" t="s">
        <v>4073</v>
      </c>
      <c r="E596" t="s">
        <v>4074</v>
      </c>
      <c r="F596" t="s">
        <v>4075</v>
      </c>
    </row>
    <row r="597" spans="1:6" x14ac:dyDescent="0.25">
      <c r="A597">
        <v>851</v>
      </c>
      <c r="B597" t="s">
        <v>4072</v>
      </c>
      <c r="C597">
        <v>19</v>
      </c>
      <c r="D597" t="s">
        <v>4073</v>
      </c>
      <c r="E597" t="s">
        <v>4074</v>
      </c>
      <c r="F597" t="s">
        <v>4076</v>
      </c>
    </row>
    <row r="598" spans="1:6" x14ac:dyDescent="0.25">
      <c r="A598">
        <v>851</v>
      </c>
      <c r="B598" t="s">
        <v>4072</v>
      </c>
      <c r="C598">
        <v>39</v>
      </c>
      <c r="D598" t="s">
        <v>4073</v>
      </c>
      <c r="E598" t="s">
        <v>4074</v>
      </c>
      <c r="F598" t="s">
        <v>4079</v>
      </c>
    </row>
    <row r="599" spans="1:6" x14ac:dyDescent="0.25">
      <c r="A599">
        <v>858</v>
      </c>
      <c r="B599" t="s">
        <v>4072</v>
      </c>
      <c r="C599">
        <v>4</v>
      </c>
      <c r="D599" t="s">
        <v>4077</v>
      </c>
      <c r="E599" t="s">
        <v>4078</v>
      </c>
      <c r="F599" t="s">
        <v>4075</v>
      </c>
    </row>
    <row r="600" spans="1:6" x14ac:dyDescent="0.25">
      <c r="A600">
        <v>858</v>
      </c>
      <c r="B600" t="s">
        <v>4072</v>
      </c>
      <c r="C600">
        <v>16</v>
      </c>
      <c r="D600" t="s">
        <v>4077</v>
      </c>
      <c r="E600" t="s">
        <v>4078</v>
      </c>
      <c r="F600" t="s">
        <v>4076</v>
      </c>
    </row>
    <row r="601" spans="1:6" x14ac:dyDescent="0.25">
      <c r="A601">
        <v>860</v>
      </c>
      <c r="B601" t="s">
        <v>4072</v>
      </c>
      <c r="C601">
        <v>3</v>
      </c>
      <c r="D601" t="s">
        <v>4085</v>
      </c>
      <c r="E601" t="s">
        <v>4086</v>
      </c>
      <c r="F601" t="s">
        <v>4075</v>
      </c>
    </row>
    <row r="602" spans="1:6" x14ac:dyDescent="0.25">
      <c r="A602">
        <v>860</v>
      </c>
      <c r="B602" t="s">
        <v>4072</v>
      </c>
      <c r="C602">
        <v>15</v>
      </c>
      <c r="D602" t="s">
        <v>4080</v>
      </c>
      <c r="E602" t="s">
        <v>4081</v>
      </c>
      <c r="F602" t="s">
        <v>4076</v>
      </c>
    </row>
    <row r="603" spans="1:6" x14ac:dyDescent="0.25">
      <c r="A603">
        <v>862</v>
      </c>
      <c r="B603" t="s">
        <v>4072</v>
      </c>
      <c r="C603">
        <v>1</v>
      </c>
      <c r="D603" t="s">
        <v>2761</v>
      </c>
      <c r="E603" t="s">
        <v>4089</v>
      </c>
      <c r="F603" t="s">
        <v>4075</v>
      </c>
    </row>
    <row r="604" spans="1:6" x14ac:dyDescent="0.25">
      <c r="A604">
        <v>863</v>
      </c>
      <c r="B604" t="s">
        <v>4072</v>
      </c>
      <c r="C604">
        <v>2</v>
      </c>
      <c r="D604" t="s">
        <v>4082</v>
      </c>
      <c r="E604" t="s">
        <v>4083</v>
      </c>
      <c r="F604" t="s">
        <v>4075</v>
      </c>
    </row>
    <row r="605" spans="1:6" x14ac:dyDescent="0.25">
      <c r="A605">
        <v>867</v>
      </c>
      <c r="B605" t="s">
        <v>4072</v>
      </c>
      <c r="C605">
        <v>14</v>
      </c>
      <c r="D605" t="s">
        <v>4090</v>
      </c>
      <c r="E605" t="s">
        <v>4091</v>
      </c>
      <c r="F605" t="s">
        <v>4076</v>
      </c>
    </row>
    <row r="606" spans="1:6" x14ac:dyDescent="0.25">
      <c r="A606">
        <v>867</v>
      </c>
      <c r="B606" t="s">
        <v>4072</v>
      </c>
      <c r="C606">
        <v>37</v>
      </c>
      <c r="D606" t="s">
        <v>2398</v>
      </c>
      <c r="E606" t="s">
        <v>4101</v>
      </c>
      <c r="F606" t="s">
        <v>4075</v>
      </c>
    </row>
    <row r="607" spans="1:6" x14ac:dyDescent="0.25">
      <c r="A607">
        <v>867</v>
      </c>
      <c r="B607" t="s">
        <v>4072</v>
      </c>
      <c r="C607">
        <v>41</v>
      </c>
      <c r="D607" t="s">
        <v>4090</v>
      </c>
      <c r="E607" t="s">
        <v>4091</v>
      </c>
      <c r="F607" t="s">
        <v>4079</v>
      </c>
    </row>
    <row r="608" spans="1:6" x14ac:dyDescent="0.25">
      <c r="A608">
        <v>870</v>
      </c>
      <c r="B608" t="s">
        <v>4072</v>
      </c>
      <c r="C608">
        <v>5</v>
      </c>
      <c r="D608" t="s">
        <v>4087</v>
      </c>
      <c r="E608" t="s">
        <v>4088</v>
      </c>
      <c r="F608" t="s">
        <v>4075</v>
      </c>
    </row>
    <row r="609" spans="1:6" x14ac:dyDescent="0.25">
      <c r="A609">
        <v>870</v>
      </c>
      <c r="B609" t="s">
        <v>4072</v>
      </c>
      <c r="C609">
        <v>15</v>
      </c>
      <c r="D609" t="s">
        <v>4080</v>
      </c>
      <c r="E609" t="s">
        <v>4081</v>
      </c>
      <c r="F609" t="s">
        <v>4076</v>
      </c>
    </row>
    <row r="610" spans="1:6" x14ac:dyDescent="0.25">
      <c r="A610">
        <v>870</v>
      </c>
      <c r="B610" t="s">
        <v>4072</v>
      </c>
      <c r="C610">
        <v>40</v>
      </c>
      <c r="D610" t="s">
        <v>4080</v>
      </c>
      <c r="E610" t="s">
        <v>4081</v>
      </c>
      <c r="F610" t="s">
        <v>4079</v>
      </c>
    </row>
    <row r="611" spans="1:6" x14ac:dyDescent="0.25">
      <c r="A611">
        <v>871</v>
      </c>
      <c r="B611" t="s">
        <v>4072</v>
      </c>
      <c r="C611">
        <v>2</v>
      </c>
      <c r="D611" t="s">
        <v>4082</v>
      </c>
      <c r="E611" t="s">
        <v>4083</v>
      </c>
      <c r="F611" t="s">
        <v>4075</v>
      </c>
    </row>
    <row r="612" spans="1:6" x14ac:dyDescent="0.25">
      <c r="A612">
        <v>871</v>
      </c>
      <c r="B612" t="s">
        <v>4072</v>
      </c>
      <c r="C612">
        <v>17</v>
      </c>
      <c r="D612" t="s">
        <v>4082</v>
      </c>
      <c r="E612" t="s">
        <v>4084</v>
      </c>
      <c r="F612" t="s">
        <v>4076</v>
      </c>
    </row>
    <row r="613" spans="1:6" x14ac:dyDescent="0.25">
      <c r="A613">
        <v>871</v>
      </c>
      <c r="B613" t="s">
        <v>4072</v>
      </c>
      <c r="C613">
        <v>42</v>
      </c>
      <c r="D613" t="s">
        <v>4082</v>
      </c>
      <c r="E613" t="s">
        <v>4083</v>
      </c>
      <c r="F613" t="s">
        <v>4079</v>
      </c>
    </row>
    <row r="614" spans="1:6" x14ac:dyDescent="0.25">
      <c r="A614">
        <v>873</v>
      </c>
      <c r="B614" t="s">
        <v>4072</v>
      </c>
      <c r="C614">
        <v>5</v>
      </c>
      <c r="D614" t="s">
        <v>4087</v>
      </c>
      <c r="E614" t="s">
        <v>4088</v>
      </c>
      <c r="F614" t="s">
        <v>4075</v>
      </c>
    </row>
    <row r="615" spans="1:6" x14ac:dyDescent="0.25">
      <c r="A615">
        <v>873</v>
      </c>
      <c r="B615" t="s">
        <v>4072</v>
      </c>
      <c r="C615">
        <v>15</v>
      </c>
      <c r="D615" t="s">
        <v>4080</v>
      </c>
      <c r="E615" t="s">
        <v>4081</v>
      </c>
      <c r="F615" t="s">
        <v>4076</v>
      </c>
    </row>
    <row r="616" spans="1:6" x14ac:dyDescent="0.25">
      <c r="A616">
        <v>873</v>
      </c>
      <c r="B616" t="s">
        <v>4072</v>
      </c>
      <c r="C616">
        <v>40</v>
      </c>
      <c r="D616" t="s">
        <v>4080</v>
      </c>
      <c r="E616" t="s">
        <v>4081</v>
      </c>
      <c r="F616" t="s">
        <v>4079</v>
      </c>
    </row>
    <row r="617" spans="1:6" x14ac:dyDescent="0.25">
      <c r="A617">
        <v>876</v>
      </c>
      <c r="B617" t="s">
        <v>4072</v>
      </c>
      <c r="C617">
        <v>5</v>
      </c>
      <c r="D617" t="s">
        <v>4087</v>
      </c>
      <c r="E617" t="s">
        <v>4088</v>
      </c>
      <c r="F617" t="s">
        <v>4075</v>
      </c>
    </row>
    <row r="618" spans="1:6" x14ac:dyDescent="0.25">
      <c r="A618">
        <v>876</v>
      </c>
      <c r="B618" t="s">
        <v>4072</v>
      </c>
      <c r="C618">
        <v>15</v>
      </c>
      <c r="D618" t="s">
        <v>4080</v>
      </c>
      <c r="E618" t="s">
        <v>4081</v>
      </c>
      <c r="F618" t="s">
        <v>4076</v>
      </c>
    </row>
    <row r="619" spans="1:6" x14ac:dyDescent="0.25">
      <c r="A619">
        <v>876</v>
      </c>
      <c r="B619" t="s">
        <v>4072</v>
      </c>
      <c r="C619">
        <v>40</v>
      </c>
      <c r="D619" t="s">
        <v>4080</v>
      </c>
      <c r="E619" t="s">
        <v>4081</v>
      </c>
      <c r="F619" t="s">
        <v>4079</v>
      </c>
    </row>
    <row r="620" spans="1:6" x14ac:dyDescent="0.25">
      <c r="A620">
        <v>877</v>
      </c>
      <c r="B620" t="s">
        <v>4072</v>
      </c>
      <c r="C620">
        <v>5</v>
      </c>
      <c r="D620" t="s">
        <v>4087</v>
      </c>
      <c r="E620" t="s">
        <v>4088</v>
      </c>
      <c r="F620" t="s">
        <v>4075</v>
      </c>
    </row>
    <row r="621" spans="1:6" x14ac:dyDescent="0.25">
      <c r="A621">
        <v>877</v>
      </c>
      <c r="B621" t="s">
        <v>4072</v>
      </c>
      <c r="C621">
        <v>15</v>
      </c>
      <c r="D621" t="s">
        <v>4080</v>
      </c>
      <c r="E621" t="s">
        <v>4081</v>
      </c>
      <c r="F621" t="s">
        <v>4076</v>
      </c>
    </row>
    <row r="622" spans="1:6" x14ac:dyDescent="0.25">
      <c r="A622">
        <v>877</v>
      </c>
      <c r="B622" t="s">
        <v>4072</v>
      </c>
      <c r="C622">
        <v>40</v>
      </c>
      <c r="D622" t="s">
        <v>4080</v>
      </c>
      <c r="E622" t="s">
        <v>4081</v>
      </c>
      <c r="F622" t="s">
        <v>4079</v>
      </c>
    </row>
    <row r="623" spans="1:6" x14ac:dyDescent="0.25">
      <c r="A623">
        <v>878</v>
      </c>
      <c r="B623" t="s">
        <v>4072</v>
      </c>
      <c r="C623">
        <v>14</v>
      </c>
      <c r="D623" t="s">
        <v>4090</v>
      </c>
      <c r="E623" t="s">
        <v>4091</v>
      </c>
      <c r="F623" t="s">
        <v>4076</v>
      </c>
    </row>
    <row r="624" spans="1:6" x14ac:dyDescent="0.25">
      <c r="A624">
        <v>878</v>
      </c>
      <c r="B624" t="s">
        <v>4072</v>
      </c>
      <c r="C624">
        <v>37</v>
      </c>
      <c r="D624" t="s">
        <v>2398</v>
      </c>
      <c r="E624" t="s">
        <v>4101</v>
      </c>
      <c r="F624" t="s">
        <v>4075</v>
      </c>
    </row>
    <row r="625" spans="1:6" x14ac:dyDescent="0.25">
      <c r="A625">
        <v>878</v>
      </c>
      <c r="B625" t="s">
        <v>4072</v>
      </c>
      <c r="C625">
        <v>41</v>
      </c>
      <c r="D625" t="s">
        <v>4090</v>
      </c>
      <c r="E625" t="s">
        <v>4091</v>
      </c>
      <c r="F625" t="s">
        <v>4079</v>
      </c>
    </row>
    <row r="626" spans="1:6" x14ac:dyDescent="0.25">
      <c r="A626">
        <v>885</v>
      </c>
      <c r="B626" t="s">
        <v>4072</v>
      </c>
      <c r="C626">
        <v>2</v>
      </c>
      <c r="D626" t="s">
        <v>4082</v>
      </c>
      <c r="E626" t="s">
        <v>4083</v>
      </c>
      <c r="F626" t="s">
        <v>4075</v>
      </c>
    </row>
    <row r="627" spans="1:6" x14ac:dyDescent="0.25">
      <c r="A627">
        <v>885</v>
      </c>
      <c r="B627" t="s">
        <v>4072</v>
      </c>
      <c r="C627">
        <v>17</v>
      </c>
      <c r="D627" t="s">
        <v>4082</v>
      </c>
      <c r="E627" t="s">
        <v>4084</v>
      </c>
      <c r="F627" t="s">
        <v>4076</v>
      </c>
    </row>
    <row r="628" spans="1:6" x14ac:dyDescent="0.25">
      <c r="A628">
        <v>885</v>
      </c>
      <c r="B628" t="s">
        <v>4072</v>
      </c>
      <c r="C628">
        <v>42</v>
      </c>
      <c r="D628" t="s">
        <v>4082</v>
      </c>
      <c r="E628" t="s">
        <v>4083</v>
      </c>
      <c r="F628" t="s">
        <v>4079</v>
      </c>
    </row>
    <row r="629" spans="1:6" x14ac:dyDescent="0.25">
      <c r="A629">
        <v>887</v>
      </c>
      <c r="B629" t="s">
        <v>4072</v>
      </c>
      <c r="C629">
        <v>5</v>
      </c>
      <c r="D629" t="s">
        <v>4087</v>
      </c>
      <c r="E629" t="s">
        <v>4088</v>
      </c>
      <c r="F629" t="s">
        <v>4075</v>
      </c>
    </row>
    <row r="630" spans="1:6" x14ac:dyDescent="0.25">
      <c r="A630">
        <v>887</v>
      </c>
      <c r="B630" t="s">
        <v>4072</v>
      </c>
      <c r="C630">
        <v>15</v>
      </c>
      <c r="D630" t="s">
        <v>4080</v>
      </c>
      <c r="E630" t="s">
        <v>4081</v>
      </c>
      <c r="F630" t="s">
        <v>4076</v>
      </c>
    </row>
    <row r="631" spans="1:6" x14ac:dyDescent="0.25">
      <c r="A631">
        <v>888</v>
      </c>
      <c r="B631" t="s">
        <v>4072</v>
      </c>
      <c r="C631">
        <v>5</v>
      </c>
      <c r="D631" t="s">
        <v>4087</v>
      </c>
      <c r="E631" t="s">
        <v>4088</v>
      </c>
      <c r="F631" t="s">
        <v>4075</v>
      </c>
    </row>
    <row r="632" spans="1:6" x14ac:dyDescent="0.25">
      <c r="A632">
        <v>888</v>
      </c>
      <c r="B632" t="s">
        <v>4072</v>
      </c>
      <c r="C632">
        <v>15</v>
      </c>
      <c r="D632" t="s">
        <v>4080</v>
      </c>
      <c r="E632" t="s">
        <v>4081</v>
      </c>
      <c r="F632" t="s">
        <v>4076</v>
      </c>
    </row>
    <row r="633" spans="1:6" x14ac:dyDescent="0.25">
      <c r="A633">
        <v>889</v>
      </c>
      <c r="B633" t="s">
        <v>4072</v>
      </c>
      <c r="C633">
        <v>5</v>
      </c>
      <c r="D633" t="s">
        <v>4087</v>
      </c>
      <c r="E633" t="s">
        <v>4088</v>
      </c>
      <c r="F633" t="s">
        <v>4075</v>
      </c>
    </row>
    <row r="634" spans="1:6" x14ac:dyDescent="0.25">
      <c r="A634">
        <v>889</v>
      </c>
      <c r="B634" t="s">
        <v>4072</v>
      </c>
      <c r="C634">
        <v>15</v>
      </c>
      <c r="D634" t="s">
        <v>4080</v>
      </c>
      <c r="E634" t="s">
        <v>4081</v>
      </c>
      <c r="F634" t="s">
        <v>4076</v>
      </c>
    </row>
    <row r="635" spans="1:6" x14ac:dyDescent="0.25">
      <c r="A635">
        <v>896</v>
      </c>
      <c r="B635" t="s">
        <v>4072</v>
      </c>
      <c r="C635">
        <v>3</v>
      </c>
      <c r="D635" t="s">
        <v>4085</v>
      </c>
      <c r="E635" t="s">
        <v>4086</v>
      </c>
      <c r="F635" t="s">
        <v>4075</v>
      </c>
    </row>
    <row r="636" spans="1:6" x14ac:dyDescent="0.25">
      <c r="A636">
        <v>896</v>
      </c>
      <c r="B636" t="s">
        <v>4072</v>
      </c>
      <c r="C636">
        <v>15</v>
      </c>
      <c r="D636" t="s">
        <v>4080</v>
      </c>
      <c r="E636" t="s">
        <v>4081</v>
      </c>
      <c r="F636" t="s">
        <v>4076</v>
      </c>
    </row>
    <row r="637" spans="1:6" x14ac:dyDescent="0.25">
      <c r="A637">
        <v>897</v>
      </c>
      <c r="B637" t="s">
        <v>4072</v>
      </c>
      <c r="C637">
        <v>5</v>
      </c>
      <c r="D637" t="s">
        <v>4087</v>
      </c>
      <c r="E637" t="s">
        <v>4088</v>
      </c>
      <c r="F637" t="s">
        <v>4075</v>
      </c>
    </row>
    <row r="638" spans="1:6" x14ac:dyDescent="0.25">
      <c r="A638">
        <v>897</v>
      </c>
      <c r="B638" t="s">
        <v>4072</v>
      </c>
      <c r="C638">
        <v>15</v>
      </c>
      <c r="D638" t="s">
        <v>4080</v>
      </c>
      <c r="E638" t="s">
        <v>4081</v>
      </c>
      <c r="F638" t="s">
        <v>4076</v>
      </c>
    </row>
    <row r="639" spans="1:6" x14ac:dyDescent="0.25">
      <c r="A639">
        <v>902</v>
      </c>
      <c r="B639" t="s">
        <v>4072</v>
      </c>
      <c r="C639">
        <v>4</v>
      </c>
      <c r="D639" t="s">
        <v>4077</v>
      </c>
      <c r="E639" t="s">
        <v>4078</v>
      </c>
      <c r="F639" t="s">
        <v>4075</v>
      </c>
    </row>
    <row r="640" spans="1:6" x14ac:dyDescent="0.25">
      <c r="A640">
        <v>902</v>
      </c>
      <c r="B640" t="s">
        <v>4072</v>
      </c>
      <c r="C640">
        <v>16</v>
      </c>
      <c r="D640" t="s">
        <v>4077</v>
      </c>
      <c r="E640" t="s">
        <v>4078</v>
      </c>
      <c r="F640" t="s">
        <v>4076</v>
      </c>
    </row>
    <row r="641" spans="1:6" x14ac:dyDescent="0.25">
      <c r="A641">
        <v>903</v>
      </c>
      <c r="B641" t="s">
        <v>4072</v>
      </c>
      <c r="C641">
        <v>5</v>
      </c>
      <c r="D641" t="s">
        <v>4087</v>
      </c>
      <c r="E641" t="s">
        <v>4088</v>
      </c>
      <c r="F641" t="s">
        <v>4075</v>
      </c>
    </row>
    <row r="642" spans="1:6" x14ac:dyDescent="0.25">
      <c r="A642">
        <v>903</v>
      </c>
      <c r="B642" t="s">
        <v>4072</v>
      </c>
      <c r="C642">
        <v>15</v>
      </c>
      <c r="D642" t="s">
        <v>4080</v>
      </c>
      <c r="E642" t="s">
        <v>4081</v>
      </c>
      <c r="F642" t="s">
        <v>4076</v>
      </c>
    </row>
    <row r="643" spans="1:6" x14ac:dyDescent="0.25">
      <c r="A643">
        <v>904</v>
      </c>
      <c r="B643" t="s">
        <v>4072</v>
      </c>
      <c r="C643">
        <v>5</v>
      </c>
      <c r="D643" t="s">
        <v>4087</v>
      </c>
      <c r="E643" t="s">
        <v>4088</v>
      </c>
      <c r="F643" t="s">
        <v>4075</v>
      </c>
    </row>
    <row r="644" spans="1:6" x14ac:dyDescent="0.25">
      <c r="A644">
        <v>904</v>
      </c>
      <c r="B644" t="s">
        <v>4072</v>
      </c>
      <c r="C644">
        <v>15</v>
      </c>
      <c r="D644" t="s">
        <v>4080</v>
      </c>
      <c r="E644" t="s">
        <v>4081</v>
      </c>
      <c r="F644" t="s">
        <v>4076</v>
      </c>
    </row>
    <row r="645" spans="1:6" x14ac:dyDescent="0.25">
      <c r="A645">
        <v>916</v>
      </c>
      <c r="B645" t="s">
        <v>4072</v>
      </c>
      <c r="C645">
        <v>1</v>
      </c>
      <c r="D645" t="s">
        <v>2761</v>
      </c>
      <c r="E645" t="s">
        <v>4089</v>
      </c>
      <c r="F645" t="s">
        <v>4075</v>
      </c>
    </row>
    <row r="646" spans="1:6" x14ac:dyDescent="0.25">
      <c r="A646">
        <v>916</v>
      </c>
      <c r="B646" t="s">
        <v>4072</v>
      </c>
      <c r="C646">
        <v>38</v>
      </c>
      <c r="D646" t="s">
        <v>2761</v>
      </c>
      <c r="E646" t="s">
        <v>4089</v>
      </c>
      <c r="F646" t="s">
        <v>4076</v>
      </c>
    </row>
    <row r="647" spans="1:6" x14ac:dyDescent="0.25">
      <c r="A647">
        <v>916</v>
      </c>
      <c r="B647" t="s">
        <v>4072</v>
      </c>
      <c r="C647">
        <v>43</v>
      </c>
      <c r="D647" t="s">
        <v>2761</v>
      </c>
      <c r="E647" t="s">
        <v>4089</v>
      </c>
      <c r="F647" t="s">
        <v>4079</v>
      </c>
    </row>
    <row r="648" spans="1:6" x14ac:dyDescent="0.25">
      <c r="A648">
        <v>917</v>
      </c>
      <c r="B648" t="s">
        <v>4072</v>
      </c>
      <c r="C648">
        <v>2</v>
      </c>
      <c r="D648" t="s">
        <v>4082</v>
      </c>
      <c r="E648" t="s">
        <v>4083</v>
      </c>
      <c r="F648" t="s">
        <v>4075</v>
      </c>
    </row>
    <row r="649" spans="1:6" x14ac:dyDescent="0.25">
      <c r="A649">
        <v>917</v>
      </c>
      <c r="B649" t="s">
        <v>4072</v>
      </c>
      <c r="C649">
        <v>17</v>
      </c>
      <c r="D649" t="s">
        <v>4082</v>
      </c>
      <c r="E649" t="s">
        <v>4084</v>
      </c>
      <c r="F649" t="s">
        <v>4076</v>
      </c>
    </row>
    <row r="650" spans="1:6" x14ac:dyDescent="0.25">
      <c r="A650">
        <v>918</v>
      </c>
      <c r="B650" t="s">
        <v>4072</v>
      </c>
      <c r="C650">
        <v>1</v>
      </c>
      <c r="D650" t="s">
        <v>2761</v>
      </c>
      <c r="E650" t="s">
        <v>4089</v>
      </c>
      <c r="F650" t="s">
        <v>4075</v>
      </c>
    </row>
    <row r="651" spans="1:6" x14ac:dyDescent="0.25">
      <c r="A651">
        <v>918</v>
      </c>
      <c r="B651" t="s">
        <v>4072</v>
      </c>
      <c r="C651">
        <v>38</v>
      </c>
      <c r="D651" t="s">
        <v>2761</v>
      </c>
      <c r="E651" t="s">
        <v>4089</v>
      </c>
      <c r="F651" t="s">
        <v>4076</v>
      </c>
    </row>
    <row r="652" spans="1:6" x14ac:dyDescent="0.25">
      <c r="A652">
        <v>933</v>
      </c>
      <c r="B652" t="s">
        <v>4072</v>
      </c>
      <c r="C652">
        <v>5</v>
      </c>
      <c r="D652" t="s">
        <v>4087</v>
      </c>
      <c r="E652" t="s">
        <v>4088</v>
      </c>
      <c r="F652" t="s">
        <v>4075</v>
      </c>
    </row>
    <row r="653" spans="1:6" x14ac:dyDescent="0.25">
      <c r="A653">
        <v>933</v>
      </c>
      <c r="B653" t="s">
        <v>4072</v>
      </c>
      <c r="C653">
        <v>15</v>
      </c>
      <c r="D653" t="s">
        <v>4080</v>
      </c>
      <c r="E653" t="s">
        <v>4081</v>
      </c>
      <c r="F653" t="s">
        <v>4076</v>
      </c>
    </row>
    <row r="654" spans="1:6" x14ac:dyDescent="0.25">
      <c r="A654">
        <v>933</v>
      </c>
      <c r="B654" t="s">
        <v>4072</v>
      </c>
      <c r="C654">
        <v>40</v>
      </c>
      <c r="D654" t="s">
        <v>4080</v>
      </c>
      <c r="E654" t="s">
        <v>4081</v>
      </c>
      <c r="F654" t="s">
        <v>4079</v>
      </c>
    </row>
    <row r="655" spans="1:6" x14ac:dyDescent="0.25">
      <c r="A655">
        <v>934</v>
      </c>
      <c r="B655" t="s">
        <v>4072</v>
      </c>
      <c r="C655">
        <v>5</v>
      </c>
      <c r="D655" t="s">
        <v>4087</v>
      </c>
      <c r="E655" t="s">
        <v>4088</v>
      </c>
      <c r="F655" t="s">
        <v>4075</v>
      </c>
    </row>
    <row r="656" spans="1:6" x14ac:dyDescent="0.25">
      <c r="A656">
        <v>934</v>
      </c>
      <c r="B656" t="s">
        <v>4072</v>
      </c>
      <c r="C656">
        <v>15</v>
      </c>
      <c r="D656" t="s">
        <v>4080</v>
      </c>
      <c r="E656" t="s">
        <v>4081</v>
      </c>
      <c r="F656" t="s">
        <v>4076</v>
      </c>
    </row>
    <row r="657" spans="1:6" x14ac:dyDescent="0.25">
      <c r="A657">
        <v>934</v>
      </c>
      <c r="B657" t="s">
        <v>4072</v>
      </c>
      <c r="C657">
        <v>40</v>
      </c>
      <c r="D657" t="s">
        <v>4080</v>
      </c>
      <c r="E657" t="s">
        <v>4081</v>
      </c>
      <c r="F657" t="s">
        <v>4079</v>
      </c>
    </row>
    <row r="658" spans="1:6" x14ac:dyDescent="0.25">
      <c r="A658">
        <v>935</v>
      </c>
      <c r="B658" t="s">
        <v>4072</v>
      </c>
      <c r="C658">
        <v>3</v>
      </c>
      <c r="D658" t="s">
        <v>4085</v>
      </c>
      <c r="E658" t="s">
        <v>4086</v>
      </c>
      <c r="F658" t="s">
        <v>4075</v>
      </c>
    </row>
    <row r="659" spans="1:6" x14ac:dyDescent="0.25">
      <c r="A659">
        <v>935</v>
      </c>
      <c r="B659" t="s">
        <v>4072</v>
      </c>
      <c r="C659">
        <v>15</v>
      </c>
      <c r="D659" t="s">
        <v>4080</v>
      </c>
      <c r="E659" t="s">
        <v>4081</v>
      </c>
      <c r="F659" t="s">
        <v>4076</v>
      </c>
    </row>
    <row r="660" spans="1:6" x14ac:dyDescent="0.25">
      <c r="A660">
        <v>935</v>
      </c>
      <c r="B660" t="s">
        <v>4072</v>
      </c>
      <c r="C660">
        <v>40</v>
      </c>
      <c r="D660" t="s">
        <v>4080</v>
      </c>
      <c r="E660" t="s">
        <v>4081</v>
      </c>
      <c r="F660" t="s">
        <v>4079</v>
      </c>
    </row>
    <row r="661" spans="1:6" x14ac:dyDescent="0.25">
      <c r="A661">
        <v>936</v>
      </c>
      <c r="B661" t="s">
        <v>4072</v>
      </c>
      <c r="C661">
        <v>5</v>
      </c>
      <c r="D661" t="s">
        <v>4087</v>
      </c>
      <c r="E661" t="s">
        <v>4088</v>
      </c>
      <c r="F661" t="s">
        <v>4075</v>
      </c>
    </row>
    <row r="662" spans="1:6" x14ac:dyDescent="0.25">
      <c r="A662">
        <v>936</v>
      </c>
      <c r="B662" t="s">
        <v>4072</v>
      </c>
      <c r="C662">
        <v>15</v>
      </c>
      <c r="D662" t="s">
        <v>4080</v>
      </c>
      <c r="E662" t="s">
        <v>4081</v>
      </c>
      <c r="F662" t="s">
        <v>4076</v>
      </c>
    </row>
    <row r="663" spans="1:6" x14ac:dyDescent="0.25">
      <c r="A663">
        <v>936</v>
      </c>
      <c r="B663" t="s">
        <v>4072</v>
      </c>
      <c r="C663">
        <v>40</v>
      </c>
      <c r="D663" t="s">
        <v>4080</v>
      </c>
      <c r="E663" t="s">
        <v>4081</v>
      </c>
      <c r="F663" t="s">
        <v>4079</v>
      </c>
    </row>
    <row r="664" spans="1:6" x14ac:dyDescent="0.25">
      <c r="A664">
        <v>937</v>
      </c>
      <c r="B664" t="s">
        <v>4072</v>
      </c>
      <c r="C664">
        <v>3</v>
      </c>
      <c r="D664" t="s">
        <v>4085</v>
      </c>
      <c r="E664" t="s">
        <v>4086</v>
      </c>
      <c r="F664" t="s">
        <v>4075</v>
      </c>
    </row>
    <row r="665" spans="1:6" x14ac:dyDescent="0.25">
      <c r="A665">
        <v>937</v>
      </c>
      <c r="B665" t="s">
        <v>4072</v>
      </c>
      <c r="C665">
        <v>15</v>
      </c>
      <c r="D665" t="s">
        <v>4080</v>
      </c>
      <c r="E665" t="s">
        <v>4081</v>
      </c>
      <c r="F665" t="s">
        <v>4076</v>
      </c>
    </row>
    <row r="666" spans="1:6" x14ac:dyDescent="0.25">
      <c r="A666">
        <v>937</v>
      </c>
      <c r="B666" t="s">
        <v>4072</v>
      </c>
      <c r="C666">
        <v>40</v>
      </c>
      <c r="D666" t="s">
        <v>4080</v>
      </c>
      <c r="E666" t="s">
        <v>4081</v>
      </c>
      <c r="F666" t="s">
        <v>4079</v>
      </c>
    </row>
    <row r="667" spans="1:6" x14ac:dyDescent="0.25">
      <c r="A667">
        <v>938</v>
      </c>
      <c r="B667" t="s">
        <v>4072</v>
      </c>
      <c r="C667">
        <v>3</v>
      </c>
      <c r="D667" t="s">
        <v>4085</v>
      </c>
      <c r="E667" t="s">
        <v>4086</v>
      </c>
      <c r="F667" t="s">
        <v>4075</v>
      </c>
    </row>
    <row r="668" spans="1:6" x14ac:dyDescent="0.25">
      <c r="A668">
        <v>938</v>
      </c>
      <c r="B668" t="s">
        <v>4072</v>
      </c>
      <c r="C668">
        <v>15</v>
      </c>
      <c r="D668" t="s">
        <v>4080</v>
      </c>
      <c r="E668" t="s">
        <v>4081</v>
      </c>
      <c r="F668" t="s">
        <v>4076</v>
      </c>
    </row>
    <row r="669" spans="1:6" x14ac:dyDescent="0.25">
      <c r="A669">
        <v>938</v>
      </c>
      <c r="B669" t="s">
        <v>4072</v>
      </c>
      <c r="C669">
        <v>40</v>
      </c>
      <c r="D669" t="s">
        <v>4080</v>
      </c>
      <c r="E669" t="s">
        <v>4081</v>
      </c>
      <c r="F669" t="s">
        <v>4079</v>
      </c>
    </row>
    <row r="670" spans="1:6" x14ac:dyDescent="0.25">
      <c r="A670">
        <v>947</v>
      </c>
      <c r="B670" t="s">
        <v>4072</v>
      </c>
      <c r="C670">
        <v>2</v>
      </c>
      <c r="D670" t="s">
        <v>4082</v>
      </c>
      <c r="E670" t="s">
        <v>4083</v>
      </c>
      <c r="F670" t="s">
        <v>4075</v>
      </c>
    </row>
    <row r="671" spans="1:6" x14ac:dyDescent="0.25">
      <c r="A671">
        <v>947</v>
      </c>
      <c r="B671" t="s">
        <v>4072</v>
      </c>
      <c r="C671">
        <v>17</v>
      </c>
      <c r="D671" t="s">
        <v>4082</v>
      </c>
      <c r="E671" t="s">
        <v>4084</v>
      </c>
      <c r="F671" t="s">
        <v>4076</v>
      </c>
    </row>
    <row r="672" spans="1:6" x14ac:dyDescent="0.25">
      <c r="A672">
        <v>951</v>
      </c>
      <c r="B672" t="s">
        <v>4072</v>
      </c>
      <c r="C672">
        <v>4</v>
      </c>
      <c r="D672" t="s">
        <v>4077</v>
      </c>
      <c r="E672" t="s">
        <v>4078</v>
      </c>
      <c r="F672" t="s">
        <v>4075</v>
      </c>
    </row>
    <row r="673" spans="1:6" x14ac:dyDescent="0.25">
      <c r="A673">
        <v>951</v>
      </c>
      <c r="B673" t="s">
        <v>4072</v>
      </c>
      <c r="C673">
        <v>16</v>
      </c>
      <c r="D673" t="s">
        <v>4077</v>
      </c>
      <c r="E673" t="s">
        <v>4078</v>
      </c>
      <c r="F673" t="s">
        <v>4076</v>
      </c>
    </row>
    <row r="674" spans="1:6" x14ac:dyDescent="0.25">
      <c r="A674">
        <v>951</v>
      </c>
      <c r="B674" t="s">
        <v>4072</v>
      </c>
      <c r="C674">
        <v>44</v>
      </c>
      <c r="D674" t="s">
        <v>4077</v>
      </c>
      <c r="E674" t="s">
        <v>4078</v>
      </c>
      <c r="F674" t="s">
        <v>4079</v>
      </c>
    </row>
    <row r="675" spans="1:6" x14ac:dyDescent="0.25">
      <c r="A675">
        <v>952</v>
      </c>
      <c r="B675" t="s">
        <v>4072</v>
      </c>
      <c r="C675">
        <v>1</v>
      </c>
      <c r="D675" t="s">
        <v>2761</v>
      </c>
      <c r="E675" t="s">
        <v>4089</v>
      </c>
      <c r="F675" t="s">
        <v>4075</v>
      </c>
    </row>
    <row r="676" spans="1:6" x14ac:dyDescent="0.25">
      <c r="A676">
        <v>952</v>
      </c>
      <c r="B676" t="s">
        <v>4072</v>
      </c>
      <c r="C676">
        <v>38</v>
      </c>
      <c r="D676" t="s">
        <v>2761</v>
      </c>
      <c r="E676" t="s">
        <v>4089</v>
      </c>
      <c r="F676" t="s">
        <v>4076</v>
      </c>
    </row>
    <row r="677" spans="1:6" x14ac:dyDescent="0.25">
      <c r="A677">
        <v>953</v>
      </c>
      <c r="B677" t="s">
        <v>4072</v>
      </c>
      <c r="C677">
        <v>2</v>
      </c>
      <c r="D677" t="s">
        <v>4082</v>
      </c>
      <c r="E677" t="s">
        <v>4083</v>
      </c>
      <c r="F677" t="s">
        <v>4075</v>
      </c>
    </row>
    <row r="678" spans="1:6" x14ac:dyDescent="0.25">
      <c r="A678">
        <v>953</v>
      </c>
      <c r="B678" t="s">
        <v>4072</v>
      </c>
      <c r="C678">
        <v>17</v>
      </c>
      <c r="D678" t="s">
        <v>4082</v>
      </c>
      <c r="E678" t="s">
        <v>4084</v>
      </c>
      <c r="F678" t="s">
        <v>4076</v>
      </c>
    </row>
    <row r="679" spans="1:6" x14ac:dyDescent="0.25">
      <c r="A679">
        <v>955</v>
      </c>
      <c r="B679" t="s">
        <v>4072</v>
      </c>
      <c r="C679">
        <v>4</v>
      </c>
      <c r="D679" t="s">
        <v>4077</v>
      </c>
      <c r="E679" t="s">
        <v>4078</v>
      </c>
      <c r="F679" t="s">
        <v>4075</v>
      </c>
    </row>
    <row r="680" spans="1:6" x14ac:dyDescent="0.25">
      <c r="A680">
        <v>955</v>
      </c>
      <c r="B680" t="s">
        <v>4072</v>
      </c>
      <c r="C680">
        <v>16</v>
      </c>
      <c r="D680" t="s">
        <v>4077</v>
      </c>
      <c r="E680" t="s">
        <v>4078</v>
      </c>
      <c r="F680" t="s">
        <v>4076</v>
      </c>
    </row>
    <row r="681" spans="1:6" x14ac:dyDescent="0.25">
      <c r="A681">
        <v>956</v>
      </c>
      <c r="B681" t="s">
        <v>4072</v>
      </c>
      <c r="C681">
        <v>5</v>
      </c>
      <c r="D681" t="s">
        <v>4087</v>
      </c>
      <c r="E681" t="s">
        <v>4088</v>
      </c>
      <c r="F681" t="s">
        <v>4075</v>
      </c>
    </row>
    <row r="682" spans="1:6" x14ac:dyDescent="0.25">
      <c r="A682">
        <v>956</v>
      </c>
      <c r="B682" t="s">
        <v>4072</v>
      </c>
      <c r="C682">
        <v>15</v>
      </c>
      <c r="D682" t="s">
        <v>4080</v>
      </c>
      <c r="E682" t="s">
        <v>4081</v>
      </c>
      <c r="F682" t="s">
        <v>4076</v>
      </c>
    </row>
    <row r="683" spans="1:6" x14ac:dyDescent="0.25">
      <c r="A683">
        <v>960</v>
      </c>
      <c r="B683" t="s">
        <v>4072</v>
      </c>
      <c r="C683">
        <v>6</v>
      </c>
      <c r="D683" t="s">
        <v>4073</v>
      </c>
      <c r="E683" t="s">
        <v>4074</v>
      </c>
      <c r="F683" t="s">
        <v>4075</v>
      </c>
    </row>
    <row r="684" spans="1:6" x14ac:dyDescent="0.25">
      <c r="A684">
        <v>960</v>
      </c>
      <c r="B684" t="s">
        <v>4072</v>
      </c>
      <c r="C684">
        <v>19</v>
      </c>
      <c r="D684" t="s">
        <v>4073</v>
      </c>
      <c r="E684" t="s">
        <v>4074</v>
      </c>
      <c r="F684" t="s">
        <v>4076</v>
      </c>
    </row>
    <row r="685" spans="1:6" x14ac:dyDescent="0.25">
      <c r="A685">
        <v>962</v>
      </c>
      <c r="B685" t="s">
        <v>4072</v>
      </c>
      <c r="C685">
        <v>5</v>
      </c>
      <c r="D685" t="s">
        <v>4087</v>
      </c>
      <c r="E685" t="s">
        <v>4088</v>
      </c>
      <c r="F685" t="s">
        <v>4075</v>
      </c>
    </row>
    <row r="686" spans="1:6" x14ac:dyDescent="0.25">
      <c r="A686">
        <v>962</v>
      </c>
      <c r="B686" t="s">
        <v>4072</v>
      </c>
      <c r="C686">
        <v>15</v>
      </c>
      <c r="D686" t="s">
        <v>4080</v>
      </c>
      <c r="E686" t="s">
        <v>4081</v>
      </c>
      <c r="F686" t="s">
        <v>4076</v>
      </c>
    </row>
    <row r="687" spans="1:6" x14ac:dyDescent="0.25">
      <c r="A687">
        <v>962</v>
      </c>
      <c r="B687" t="s">
        <v>4072</v>
      </c>
      <c r="C687">
        <v>40</v>
      </c>
      <c r="D687" t="s">
        <v>4080</v>
      </c>
      <c r="E687" t="s">
        <v>4081</v>
      </c>
      <c r="F687" t="s">
        <v>4079</v>
      </c>
    </row>
    <row r="688" spans="1:6" x14ac:dyDescent="0.25">
      <c r="A688">
        <v>963</v>
      </c>
      <c r="B688" t="s">
        <v>4072</v>
      </c>
      <c r="C688">
        <v>6</v>
      </c>
      <c r="D688" t="s">
        <v>4073</v>
      </c>
      <c r="E688" t="s">
        <v>4074</v>
      </c>
      <c r="F688" t="s">
        <v>4075</v>
      </c>
    </row>
    <row r="689" spans="1:6" x14ac:dyDescent="0.25">
      <c r="A689">
        <v>963</v>
      </c>
      <c r="B689" t="s">
        <v>4072</v>
      </c>
      <c r="C689">
        <v>19</v>
      </c>
      <c r="D689" t="s">
        <v>4073</v>
      </c>
      <c r="E689" t="s">
        <v>4074</v>
      </c>
      <c r="F689" t="s">
        <v>4076</v>
      </c>
    </row>
    <row r="690" spans="1:6" x14ac:dyDescent="0.25">
      <c r="A690">
        <v>963</v>
      </c>
      <c r="B690" t="s">
        <v>4072</v>
      </c>
      <c r="C690">
        <v>39</v>
      </c>
      <c r="D690" t="s">
        <v>4073</v>
      </c>
      <c r="E690" t="s">
        <v>4074</v>
      </c>
      <c r="F690" t="s">
        <v>4079</v>
      </c>
    </row>
    <row r="691" spans="1:6" x14ac:dyDescent="0.25">
      <c r="A691">
        <v>964</v>
      </c>
      <c r="B691" t="s">
        <v>4072</v>
      </c>
      <c r="C691">
        <v>5</v>
      </c>
      <c r="D691" t="s">
        <v>4087</v>
      </c>
      <c r="E691" t="s">
        <v>4088</v>
      </c>
      <c r="F691" t="s">
        <v>4075</v>
      </c>
    </row>
    <row r="692" spans="1:6" x14ac:dyDescent="0.25">
      <c r="A692">
        <v>964</v>
      </c>
      <c r="B692" t="s">
        <v>4072</v>
      </c>
      <c r="C692">
        <v>15</v>
      </c>
      <c r="D692" t="s">
        <v>4080</v>
      </c>
      <c r="E692" t="s">
        <v>4081</v>
      </c>
      <c r="F692" t="s">
        <v>4076</v>
      </c>
    </row>
    <row r="693" spans="1:6" x14ac:dyDescent="0.25">
      <c r="A693">
        <v>964</v>
      </c>
      <c r="B693" t="s">
        <v>4072</v>
      </c>
      <c r="C693">
        <v>40</v>
      </c>
      <c r="D693" t="s">
        <v>4080</v>
      </c>
      <c r="E693" t="s">
        <v>4081</v>
      </c>
      <c r="F693" t="s">
        <v>4079</v>
      </c>
    </row>
    <row r="694" spans="1:6" x14ac:dyDescent="0.25">
      <c r="A694">
        <v>977</v>
      </c>
      <c r="B694" t="s">
        <v>4072</v>
      </c>
      <c r="C694">
        <v>5</v>
      </c>
      <c r="D694" t="s">
        <v>4087</v>
      </c>
      <c r="E694" t="s">
        <v>4088</v>
      </c>
      <c r="F694" t="s">
        <v>4075</v>
      </c>
    </row>
    <row r="695" spans="1:6" x14ac:dyDescent="0.25">
      <c r="A695">
        <v>977</v>
      </c>
      <c r="B695" t="s">
        <v>4072</v>
      </c>
      <c r="C695">
        <v>15</v>
      </c>
      <c r="D695" t="s">
        <v>4080</v>
      </c>
      <c r="E695" t="s">
        <v>4081</v>
      </c>
      <c r="F695" t="s">
        <v>4076</v>
      </c>
    </row>
    <row r="696" spans="1:6" x14ac:dyDescent="0.25">
      <c r="A696">
        <v>977</v>
      </c>
      <c r="B696" t="s">
        <v>4072</v>
      </c>
      <c r="C696">
        <v>40</v>
      </c>
      <c r="D696" t="s">
        <v>4080</v>
      </c>
      <c r="E696" t="s">
        <v>4081</v>
      </c>
      <c r="F696" t="s">
        <v>4079</v>
      </c>
    </row>
    <row r="697" spans="1:6" x14ac:dyDescent="0.25">
      <c r="A697">
        <v>990</v>
      </c>
      <c r="B697" t="s">
        <v>4072</v>
      </c>
      <c r="C697">
        <v>2</v>
      </c>
      <c r="D697" t="s">
        <v>4082</v>
      </c>
      <c r="E697" t="s">
        <v>4083</v>
      </c>
      <c r="F697" t="s">
        <v>4075</v>
      </c>
    </row>
    <row r="698" spans="1:6" x14ac:dyDescent="0.25">
      <c r="A698">
        <v>990</v>
      </c>
      <c r="B698" t="s">
        <v>4072</v>
      </c>
      <c r="C698">
        <v>17</v>
      </c>
      <c r="D698" t="s">
        <v>4082</v>
      </c>
      <c r="E698" t="s">
        <v>4084</v>
      </c>
      <c r="F698" t="s">
        <v>4076</v>
      </c>
    </row>
    <row r="699" spans="1:6" x14ac:dyDescent="0.25">
      <c r="A699">
        <v>990</v>
      </c>
      <c r="B699" t="s">
        <v>4072</v>
      </c>
      <c r="C699">
        <v>42</v>
      </c>
      <c r="D699" t="s">
        <v>4082</v>
      </c>
      <c r="E699" t="s">
        <v>4083</v>
      </c>
      <c r="F699" t="s">
        <v>4079</v>
      </c>
    </row>
    <row r="700" spans="1:6" x14ac:dyDescent="0.25">
      <c r="A700">
        <v>992</v>
      </c>
      <c r="B700" t="s">
        <v>4072</v>
      </c>
      <c r="C700">
        <v>5</v>
      </c>
      <c r="D700" t="s">
        <v>4087</v>
      </c>
      <c r="E700" t="s">
        <v>4088</v>
      </c>
      <c r="F700" t="s">
        <v>4075</v>
      </c>
    </row>
    <row r="701" spans="1:6" x14ac:dyDescent="0.25">
      <c r="A701">
        <v>992</v>
      </c>
      <c r="B701" t="s">
        <v>4072</v>
      </c>
      <c r="C701">
        <v>15</v>
      </c>
      <c r="D701" t="s">
        <v>4080</v>
      </c>
      <c r="E701" t="s">
        <v>4081</v>
      </c>
      <c r="F701" t="s">
        <v>4076</v>
      </c>
    </row>
    <row r="702" spans="1:6" x14ac:dyDescent="0.25">
      <c r="A702">
        <v>992</v>
      </c>
      <c r="B702" t="s">
        <v>4072</v>
      </c>
      <c r="C702">
        <v>40</v>
      </c>
      <c r="D702" t="s">
        <v>4080</v>
      </c>
      <c r="E702" t="s">
        <v>4081</v>
      </c>
      <c r="F702" t="s">
        <v>4079</v>
      </c>
    </row>
    <row r="703" spans="1:6" x14ac:dyDescent="0.25">
      <c r="A703">
        <v>993</v>
      </c>
      <c r="B703" t="s">
        <v>4072</v>
      </c>
      <c r="C703">
        <v>5</v>
      </c>
      <c r="D703" t="s">
        <v>4087</v>
      </c>
      <c r="E703" t="s">
        <v>4088</v>
      </c>
      <c r="F703" t="s">
        <v>4075</v>
      </c>
    </row>
    <row r="704" spans="1:6" x14ac:dyDescent="0.25">
      <c r="A704">
        <v>993</v>
      </c>
      <c r="B704" t="s">
        <v>4072</v>
      </c>
      <c r="C704">
        <v>15</v>
      </c>
      <c r="D704" t="s">
        <v>4080</v>
      </c>
      <c r="E704" t="s">
        <v>4081</v>
      </c>
      <c r="F704" t="s">
        <v>4076</v>
      </c>
    </row>
    <row r="705" spans="1:6" x14ac:dyDescent="0.25">
      <c r="A705">
        <v>993</v>
      </c>
      <c r="B705" t="s">
        <v>4072</v>
      </c>
      <c r="C705">
        <v>40</v>
      </c>
      <c r="D705" t="s">
        <v>4080</v>
      </c>
      <c r="E705" t="s">
        <v>4081</v>
      </c>
      <c r="F705" t="s">
        <v>4079</v>
      </c>
    </row>
    <row r="706" spans="1:6" x14ac:dyDescent="0.25">
      <c r="A706">
        <v>999</v>
      </c>
      <c r="B706" t="s">
        <v>4072</v>
      </c>
      <c r="C706">
        <v>2</v>
      </c>
      <c r="D706" t="s">
        <v>4082</v>
      </c>
      <c r="E706" t="s">
        <v>4083</v>
      </c>
      <c r="F706" t="s">
        <v>4075</v>
      </c>
    </row>
    <row r="707" spans="1:6" x14ac:dyDescent="0.25">
      <c r="A707">
        <v>999</v>
      </c>
      <c r="B707" t="s">
        <v>4072</v>
      </c>
      <c r="C707">
        <v>17</v>
      </c>
      <c r="D707" t="s">
        <v>4082</v>
      </c>
      <c r="E707" t="s">
        <v>4084</v>
      </c>
      <c r="F707" t="s">
        <v>4076</v>
      </c>
    </row>
    <row r="708" spans="1:6" x14ac:dyDescent="0.25">
      <c r="A708">
        <v>1000</v>
      </c>
      <c r="B708" t="s">
        <v>4072</v>
      </c>
      <c r="C708">
        <v>3</v>
      </c>
      <c r="D708" t="s">
        <v>4085</v>
      </c>
      <c r="E708" t="s">
        <v>4086</v>
      </c>
      <c r="F708" t="s">
        <v>4075</v>
      </c>
    </row>
    <row r="709" spans="1:6" x14ac:dyDescent="0.25">
      <c r="A709">
        <v>1000</v>
      </c>
      <c r="B709" t="s">
        <v>4072</v>
      </c>
      <c r="C709">
        <v>15</v>
      </c>
      <c r="D709" t="s">
        <v>4080</v>
      </c>
      <c r="E709" t="s">
        <v>4081</v>
      </c>
      <c r="F709" t="s">
        <v>4076</v>
      </c>
    </row>
    <row r="710" spans="1:6" x14ac:dyDescent="0.25">
      <c r="A710">
        <v>1001</v>
      </c>
      <c r="B710" t="s">
        <v>4072</v>
      </c>
      <c r="C710">
        <v>6</v>
      </c>
      <c r="D710" t="s">
        <v>4073</v>
      </c>
      <c r="E710" t="s">
        <v>4074</v>
      </c>
      <c r="F710" t="s">
        <v>4075</v>
      </c>
    </row>
    <row r="711" spans="1:6" x14ac:dyDescent="0.25">
      <c r="A711">
        <v>1001</v>
      </c>
      <c r="B711" t="s">
        <v>4072</v>
      </c>
      <c r="C711">
        <v>19</v>
      </c>
      <c r="D711" t="s">
        <v>4073</v>
      </c>
      <c r="E711" t="s">
        <v>4074</v>
      </c>
      <c r="F711" t="s">
        <v>4076</v>
      </c>
    </row>
    <row r="712" spans="1:6" x14ac:dyDescent="0.25">
      <c r="A712">
        <v>1002</v>
      </c>
      <c r="B712" t="s">
        <v>4072</v>
      </c>
      <c r="C712">
        <v>4</v>
      </c>
      <c r="D712" t="s">
        <v>4077</v>
      </c>
      <c r="E712" t="s">
        <v>4078</v>
      </c>
      <c r="F712" t="s">
        <v>4075</v>
      </c>
    </row>
    <row r="713" spans="1:6" x14ac:dyDescent="0.25">
      <c r="A713">
        <v>1002</v>
      </c>
      <c r="B713" t="s">
        <v>4072</v>
      </c>
      <c r="C713">
        <v>16</v>
      </c>
      <c r="D713" t="s">
        <v>4077</v>
      </c>
      <c r="E713" t="s">
        <v>4078</v>
      </c>
      <c r="F713" t="s">
        <v>4076</v>
      </c>
    </row>
    <row r="714" spans="1:6" x14ac:dyDescent="0.25">
      <c r="A714">
        <v>1007</v>
      </c>
      <c r="B714" t="s">
        <v>4072</v>
      </c>
      <c r="C714">
        <v>2</v>
      </c>
      <c r="D714" t="s">
        <v>4082</v>
      </c>
      <c r="E714" t="s">
        <v>4083</v>
      </c>
      <c r="F714" t="s">
        <v>4075</v>
      </c>
    </row>
    <row r="715" spans="1:6" x14ac:dyDescent="0.25">
      <c r="A715">
        <v>1007</v>
      </c>
      <c r="B715" t="s">
        <v>4072</v>
      </c>
      <c r="C715">
        <v>17</v>
      </c>
      <c r="D715" t="s">
        <v>4082</v>
      </c>
      <c r="E715" t="s">
        <v>4084</v>
      </c>
      <c r="F715" t="s">
        <v>4076</v>
      </c>
    </row>
    <row r="716" spans="1:6" x14ac:dyDescent="0.25">
      <c r="A716">
        <v>1008</v>
      </c>
      <c r="B716" t="s">
        <v>4072</v>
      </c>
      <c r="C716">
        <v>5</v>
      </c>
      <c r="D716" t="s">
        <v>4087</v>
      </c>
      <c r="E716" t="s">
        <v>4088</v>
      </c>
      <c r="F716" t="s">
        <v>4075</v>
      </c>
    </row>
    <row r="717" spans="1:6" x14ac:dyDescent="0.25">
      <c r="A717">
        <v>1008</v>
      </c>
      <c r="B717" t="s">
        <v>4072</v>
      </c>
      <c r="C717">
        <v>15</v>
      </c>
      <c r="D717" t="s">
        <v>4080</v>
      </c>
      <c r="E717" t="s">
        <v>4081</v>
      </c>
      <c r="F717" t="s">
        <v>4076</v>
      </c>
    </row>
    <row r="718" spans="1:6" x14ac:dyDescent="0.25">
      <c r="A718">
        <v>1009</v>
      </c>
      <c r="B718" t="s">
        <v>4072</v>
      </c>
      <c r="C718">
        <v>5</v>
      </c>
      <c r="D718" t="s">
        <v>4087</v>
      </c>
      <c r="E718" t="s">
        <v>4088</v>
      </c>
      <c r="F718" t="s">
        <v>4075</v>
      </c>
    </row>
    <row r="719" spans="1:6" x14ac:dyDescent="0.25">
      <c r="A719">
        <v>1009</v>
      </c>
      <c r="B719" t="s">
        <v>4072</v>
      </c>
      <c r="C719">
        <v>15</v>
      </c>
      <c r="D719" t="s">
        <v>4080</v>
      </c>
      <c r="E719" t="s">
        <v>4081</v>
      </c>
      <c r="F719" t="s">
        <v>4076</v>
      </c>
    </row>
    <row r="720" spans="1:6" x14ac:dyDescent="0.25">
      <c r="A720">
        <v>1010</v>
      </c>
      <c r="B720" t="s">
        <v>4072</v>
      </c>
      <c r="C720">
        <v>3</v>
      </c>
      <c r="D720" t="s">
        <v>4085</v>
      </c>
      <c r="E720" t="s">
        <v>4086</v>
      </c>
      <c r="F720" t="s">
        <v>4075</v>
      </c>
    </row>
    <row r="721" spans="1:6" x14ac:dyDescent="0.25">
      <c r="A721">
        <v>1010</v>
      </c>
      <c r="B721" t="s">
        <v>4072</v>
      </c>
      <c r="C721">
        <v>15</v>
      </c>
      <c r="D721" t="s">
        <v>4080</v>
      </c>
      <c r="E721" t="s">
        <v>4081</v>
      </c>
      <c r="F721" t="s">
        <v>4076</v>
      </c>
    </row>
    <row r="722" spans="1:6" x14ac:dyDescent="0.25">
      <c r="A722">
        <v>1011</v>
      </c>
      <c r="B722" t="s">
        <v>4072</v>
      </c>
      <c r="C722">
        <v>10</v>
      </c>
      <c r="D722" t="s">
        <v>4095</v>
      </c>
      <c r="E722" t="s">
        <v>4096</v>
      </c>
      <c r="F722" t="s">
        <v>4075</v>
      </c>
    </row>
    <row r="723" spans="1:6" x14ac:dyDescent="0.25">
      <c r="A723">
        <v>1013</v>
      </c>
      <c r="B723" t="s">
        <v>4072</v>
      </c>
      <c r="C723">
        <v>6</v>
      </c>
      <c r="D723" t="s">
        <v>4073</v>
      </c>
      <c r="E723" t="s">
        <v>4074</v>
      </c>
      <c r="F723" t="s">
        <v>4075</v>
      </c>
    </row>
    <row r="724" spans="1:6" x14ac:dyDescent="0.25">
      <c r="A724">
        <v>1013</v>
      </c>
      <c r="B724" t="s">
        <v>4072</v>
      </c>
      <c r="C724">
        <v>19</v>
      </c>
      <c r="D724" t="s">
        <v>4073</v>
      </c>
      <c r="E724" t="s">
        <v>4074</v>
      </c>
      <c r="F724" t="s">
        <v>4076</v>
      </c>
    </row>
    <row r="725" spans="1:6" x14ac:dyDescent="0.25">
      <c r="A725">
        <v>1014</v>
      </c>
      <c r="B725" t="s">
        <v>4072</v>
      </c>
      <c r="C725">
        <v>6</v>
      </c>
      <c r="D725" t="s">
        <v>4073</v>
      </c>
      <c r="E725" t="s">
        <v>4074</v>
      </c>
      <c r="F725" t="s">
        <v>4075</v>
      </c>
    </row>
    <row r="726" spans="1:6" x14ac:dyDescent="0.25">
      <c r="A726">
        <v>1014</v>
      </c>
      <c r="B726" t="s">
        <v>4072</v>
      </c>
      <c r="C726">
        <v>19</v>
      </c>
      <c r="D726" t="s">
        <v>4073</v>
      </c>
      <c r="E726" t="s">
        <v>4074</v>
      </c>
      <c r="F726" t="s">
        <v>4076</v>
      </c>
    </row>
    <row r="727" spans="1:6" x14ac:dyDescent="0.25">
      <c r="A727">
        <v>1014</v>
      </c>
      <c r="B727" t="s">
        <v>4072</v>
      </c>
      <c r="C727">
        <v>39</v>
      </c>
      <c r="D727" t="s">
        <v>4073</v>
      </c>
      <c r="E727" t="s">
        <v>4074</v>
      </c>
      <c r="F727" t="s">
        <v>4079</v>
      </c>
    </row>
    <row r="728" spans="1:6" x14ac:dyDescent="0.25">
      <c r="A728">
        <v>1015</v>
      </c>
      <c r="B728" t="s">
        <v>4072</v>
      </c>
      <c r="C728">
        <v>5</v>
      </c>
      <c r="D728" t="s">
        <v>4087</v>
      </c>
      <c r="E728" t="s">
        <v>4088</v>
      </c>
      <c r="F728" t="s">
        <v>4075</v>
      </c>
    </row>
    <row r="729" spans="1:6" x14ac:dyDescent="0.25">
      <c r="A729">
        <v>1015</v>
      </c>
      <c r="B729" t="s">
        <v>4072</v>
      </c>
      <c r="C729">
        <v>15</v>
      </c>
      <c r="D729" t="s">
        <v>4080</v>
      </c>
      <c r="E729" t="s">
        <v>4081</v>
      </c>
      <c r="F729" t="s">
        <v>4076</v>
      </c>
    </row>
    <row r="730" spans="1:6" x14ac:dyDescent="0.25">
      <c r="A730">
        <v>1016</v>
      </c>
      <c r="B730" t="s">
        <v>4072</v>
      </c>
      <c r="C730">
        <v>5</v>
      </c>
      <c r="D730" t="s">
        <v>4087</v>
      </c>
      <c r="E730" t="s">
        <v>4088</v>
      </c>
      <c r="F730" t="s">
        <v>4075</v>
      </c>
    </row>
    <row r="731" spans="1:6" x14ac:dyDescent="0.25">
      <c r="A731">
        <v>1016</v>
      </c>
      <c r="B731" t="s">
        <v>4072</v>
      </c>
      <c r="C731">
        <v>15</v>
      </c>
      <c r="D731" t="s">
        <v>4080</v>
      </c>
      <c r="E731" t="s">
        <v>4081</v>
      </c>
      <c r="F731" t="s">
        <v>4076</v>
      </c>
    </row>
    <row r="732" spans="1:6" x14ac:dyDescent="0.25">
      <c r="A732">
        <v>1016</v>
      </c>
      <c r="B732" t="s">
        <v>4072</v>
      </c>
      <c r="C732">
        <v>40</v>
      </c>
      <c r="D732" t="s">
        <v>4080</v>
      </c>
      <c r="E732" t="s">
        <v>4081</v>
      </c>
      <c r="F732" t="s">
        <v>4079</v>
      </c>
    </row>
    <row r="733" spans="1:6" x14ac:dyDescent="0.25">
      <c r="A733">
        <v>1017</v>
      </c>
      <c r="B733" t="s">
        <v>4072</v>
      </c>
      <c r="C733">
        <v>4</v>
      </c>
      <c r="D733" t="s">
        <v>4077</v>
      </c>
      <c r="E733" t="s">
        <v>4078</v>
      </c>
      <c r="F733" t="s">
        <v>4075</v>
      </c>
    </row>
    <row r="734" spans="1:6" x14ac:dyDescent="0.25">
      <c r="A734">
        <v>1017</v>
      </c>
      <c r="B734" t="s">
        <v>4072</v>
      </c>
      <c r="C734">
        <v>16</v>
      </c>
      <c r="D734" t="s">
        <v>4077</v>
      </c>
      <c r="E734" t="s">
        <v>4078</v>
      </c>
      <c r="F734" t="s">
        <v>4076</v>
      </c>
    </row>
    <row r="735" spans="1:6" x14ac:dyDescent="0.25">
      <c r="A735">
        <v>1017</v>
      </c>
      <c r="B735" t="s">
        <v>4072</v>
      </c>
      <c r="C735">
        <v>44</v>
      </c>
      <c r="D735" t="s">
        <v>4077</v>
      </c>
      <c r="E735" t="s">
        <v>4078</v>
      </c>
      <c r="F735" t="s">
        <v>4079</v>
      </c>
    </row>
    <row r="736" spans="1:6" x14ac:dyDescent="0.25">
      <c r="A736">
        <v>1018</v>
      </c>
      <c r="B736" t="s">
        <v>4072</v>
      </c>
      <c r="C736">
        <v>6</v>
      </c>
      <c r="D736" t="s">
        <v>4073</v>
      </c>
      <c r="E736" t="s">
        <v>4074</v>
      </c>
      <c r="F736" t="s">
        <v>4075</v>
      </c>
    </row>
    <row r="737" spans="1:6" x14ac:dyDescent="0.25">
      <c r="A737">
        <v>1018</v>
      </c>
      <c r="B737" t="s">
        <v>4072</v>
      </c>
      <c r="C737">
        <v>19</v>
      </c>
      <c r="D737" t="s">
        <v>4073</v>
      </c>
      <c r="E737" t="s">
        <v>4074</v>
      </c>
      <c r="F737" t="s">
        <v>4076</v>
      </c>
    </row>
    <row r="738" spans="1:6" x14ac:dyDescent="0.25">
      <c r="A738">
        <v>1018</v>
      </c>
      <c r="B738" t="s">
        <v>4072</v>
      </c>
      <c r="C738">
        <v>39</v>
      </c>
      <c r="D738" t="s">
        <v>4073</v>
      </c>
      <c r="E738" t="s">
        <v>4074</v>
      </c>
      <c r="F738" t="s">
        <v>4079</v>
      </c>
    </row>
    <row r="739" spans="1:6" x14ac:dyDescent="0.25">
      <c r="A739">
        <v>1099</v>
      </c>
      <c r="B739" t="s">
        <v>4072</v>
      </c>
      <c r="C739">
        <v>6</v>
      </c>
      <c r="D739" t="s">
        <v>4073</v>
      </c>
      <c r="E739" t="s">
        <v>4074</v>
      </c>
      <c r="F739" t="s">
        <v>4075</v>
      </c>
    </row>
    <row r="740" spans="1:6" x14ac:dyDescent="0.25">
      <c r="A740">
        <v>1099</v>
      </c>
      <c r="B740" t="s">
        <v>4072</v>
      </c>
      <c r="C740">
        <v>19</v>
      </c>
      <c r="D740" t="s">
        <v>4073</v>
      </c>
      <c r="E740" t="s">
        <v>4074</v>
      </c>
      <c r="F740" t="s">
        <v>4076</v>
      </c>
    </row>
    <row r="741" spans="1:6" x14ac:dyDescent="0.25">
      <c r="A741">
        <v>1099</v>
      </c>
      <c r="B741" t="s">
        <v>4072</v>
      </c>
      <c r="C741">
        <v>39</v>
      </c>
      <c r="D741" t="s">
        <v>4073</v>
      </c>
      <c r="E741" t="s">
        <v>4074</v>
      </c>
      <c r="F741" t="s">
        <v>4079</v>
      </c>
    </row>
    <row r="742" spans="1:6" x14ac:dyDescent="0.25">
      <c r="A742">
        <v>1118</v>
      </c>
      <c r="B742" t="s">
        <v>4072</v>
      </c>
      <c r="C742">
        <v>6</v>
      </c>
      <c r="D742" t="s">
        <v>4073</v>
      </c>
      <c r="E742" t="s">
        <v>4074</v>
      </c>
      <c r="F742" t="s">
        <v>4075</v>
      </c>
    </row>
    <row r="743" spans="1:6" x14ac:dyDescent="0.25">
      <c r="A743">
        <v>1118</v>
      </c>
      <c r="B743" t="s">
        <v>4072</v>
      </c>
      <c r="C743">
        <v>19</v>
      </c>
      <c r="D743" t="s">
        <v>4073</v>
      </c>
      <c r="E743" t="s">
        <v>4074</v>
      </c>
      <c r="F743" t="s">
        <v>4076</v>
      </c>
    </row>
    <row r="744" spans="1:6" x14ac:dyDescent="0.25">
      <c r="A744">
        <v>1119</v>
      </c>
      <c r="B744" t="s">
        <v>4072</v>
      </c>
      <c r="C744">
        <v>10</v>
      </c>
      <c r="D744" t="s">
        <v>4095</v>
      </c>
      <c r="E744" t="s">
        <v>4096</v>
      </c>
      <c r="F744" t="s">
        <v>4075</v>
      </c>
    </row>
    <row r="745" spans="1:6" x14ac:dyDescent="0.25">
      <c r="A745">
        <v>1120</v>
      </c>
      <c r="B745" t="s">
        <v>4072</v>
      </c>
      <c r="C745">
        <v>5</v>
      </c>
      <c r="D745" t="s">
        <v>4087</v>
      </c>
      <c r="E745" t="s">
        <v>4088</v>
      </c>
      <c r="F745" t="s">
        <v>4075</v>
      </c>
    </row>
    <row r="746" spans="1:6" x14ac:dyDescent="0.25">
      <c r="A746">
        <v>1120</v>
      </c>
      <c r="B746" t="s">
        <v>4072</v>
      </c>
      <c r="C746">
        <v>15</v>
      </c>
      <c r="D746" t="s">
        <v>4080</v>
      </c>
      <c r="E746" t="s">
        <v>4081</v>
      </c>
      <c r="F746" t="s">
        <v>4076</v>
      </c>
    </row>
    <row r="747" spans="1:6" x14ac:dyDescent="0.25">
      <c r="A747">
        <v>1123</v>
      </c>
      <c r="B747" t="s">
        <v>4072</v>
      </c>
      <c r="C747">
        <v>4</v>
      </c>
      <c r="D747" t="s">
        <v>4077</v>
      </c>
      <c r="E747" t="s">
        <v>4078</v>
      </c>
      <c r="F747" t="s">
        <v>4075</v>
      </c>
    </row>
    <row r="748" spans="1:6" x14ac:dyDescent="0.25">
      <c r="A748">
        <v>1123</v>
      </c>
      <c r="B748" t="s">
        <v>4072</v>
      </c>
      <c r="C748">
        <v>16</v>
      </c>
      <c r="D748" t="s">
        <v>4077</v>
      </c>
      <c r="E748" t="s">
        <v>4078</v>
      </c>
      <c r="F748" t="s">
        <v>4076</v>
      </c>
    </row>
    <row r="749" spans="1:6" x14ac:dyDescent="0.25">
      <c r="A749">
        <v>1124</v>
      </c>
      <c r="B749" t="s">
        <v>4072</v>
      </c>
      <c r="C749">
        <v>3</v>
      </c>
      <c r="D749" t="s">
        <v>4085</v>
      </c>
      <c r="E749" t="s">
        <v>4086</v>
      </c>
      <c r="F749" t="s">
        <v>4075</v>
      </c>
    </row>
    <row r="750" spans="1:6" x14ac:dyDescent="0.25">
      <c r="A750">
        <v>1124</v>
      </c>
      <c r="B750" t="s">
        <v>4072</v>
      </c>
      <c r="C750">
        <v>15</v>
      </c>
      <c r="D750" t="s">
        <v>4080</v>
      </c>
      <c r="E750" t="s">
        <v>4081</v>
      </c>
      <c r="F750" t="s">
        <v>4076</v>
      </c>
    </row>
    <row r="751" spans="1:6" x14ac:dyDescent="0.25">
      <c r="A751">
        <v>1125</v>
      </c>
      <c r="B751" t="s">
        <v>4072</v>
      </c>
      <c r="C751">
        <v>6</v>
      </c>
      <c r="D751" t="s">
        <v>4073</v>
      </c>
      <c r="E751" t="s">
        <v>4074</v>
      </c>
      <c r="F751" t="s">
        <v>4075</v>
      </c>
    </row>
    <row r="752" spans="1:6" x14ac:dyDescent="0.25">
      <c r="A752">
        <v>1125</v>
      </c>
      <c r="B752" t="s">
        <v>4072</v>
      </c>
      <c r="C752">
        <v>19</v>
      </c>
      <c r="D752" t="s">
        <v>4073</v>
      </c>
      <c r="E752" t="s">
        <v>4074</v>
      </c>
      <c r="F752" t="s">
        <v>4076</v>
      </c>
    </row>
    <row r="753" spans="1:6" x14ac:dyDescent="0.25">
      <c r="A753">
        <v>1125</v>
      </c>
      <c r="B753" t="s">
        <v>4072</v>
      </c>
      <c r="C753">
        <v>39</v>
      </c>
      <c r="D753" t="s">
        <v>4073</v>
      </c>
      <c r="E753" t="s">
        <v>4074</v>
      </c>
      <c r="F753" t="s">
        <v>4079</v>
      </c>
    </row>
    <row r="754" spans="1:6" x14ac:dyDescent="0.25">
      <c r="A754">
        <v>1128</v>
      </c>
      <c r="B754" t="s">
        <v>4072</v>
      </c>
      <c r="C754">
        <v>3</v>
      </c>
      <c r="D754" t="s">
        <v>4085</v>
      </c>
      <c r="E754" t="s">
        <v>4086</v>
      </c>
      <c r="F754" t="s">
        <v>4075</v>
      </c>
    </row>
    <row r="755" spans="1:6" x14ac:dyDescent="0.25">
      <c r="A755">
        <v>1134</v>
      </c>
      <c r="B755" t="s">
        <v>4072</v>
      </c>
      <c r="C755">
        <v>3</v>
      </c>
      <c r="D755" t="s">
        <v>4085</v>
      </c>
      <c r="E755" t="s">
        <v>4086</v>
      </c>
      <c r="F755" t="s">
        <v>4075</v>
      </c>
    </row>
    <row r="756" spans="1:6" x14ac:dyDescent="0.25">
      <c r="A756">
        <v>1134</v>
      </c>
      <c r="B756" t="s">
        <v>4072</v>
      </c>
      <c r="C756">
        <v>15</v>
      </c>
      <c r="D756" t="s">
        <v>4080</v>
      </c>
      <c r="E756" t="s">
        <v>4081</v>
      </c>
      <c r="F756" t="s">
        <v>4076</v>
      </c>
    </row>
    <row r="757" spans="1:6" x14ac:dyDescent="0.25">
      <c r="A757">
        <v>1136</v>
      </c>
      <c r="B757" t="s">
        <v>4072</v>
      </c>
      <c r="C757">
        <v>5</v>
      </c>
      <c r="D757" t="s">
        <v>4087</v>
      </c>
      <c r="E757" t="s">
        <v>4088</v>
      </c>
      <c r="F757" t="s">
        <v>4075</v>
      </c>
    </row>
    <row r="758" spans="1:6" x14ac:dyDescent="0.25">
      <c r="A758">
        <v>1136</v>
      </c>
      <c r="B758" t="s">
        <v>4072</v>
      </c>
      <c r="C758">
        <v>14</v>
      </c>
      <c r="D758" t="s">
        <v>4090</v>
      </c>
      <c r="E758" t="s">
        <v>4091</v>
      </c>
      <c r="F758" t="s">
        <v>4076</v>
      </c>
    </row>
    <row r="759" spans="1:6" x14ac:dyDescent="0.25">
      <c r="A759">
        <v>1136</v>
      </c>
      <c r="B759" t="s">
        <v>4072</v>
      </c>
      <c r="C759">
        <v>15</v>
      </c>
      <c r="D759" t="s">
        <v>4080</v>
      </c>
      <c r="E759" t="s">
        <v>4081</v>
      </c>
      <c r="F759" t="s">
        <v>4076</v>
      </c>
    </row>
    <row r="760" spans="1:6" x14ac:dyDescent="0.25">
      <c r="A760">
        <v>1161</v>
      </c>
      <c r="B760" t="s">
        <v>4072</v>
      </c>
      <c r="C760">
        <v>6</v>
      </c>
      <c r="D760" t="s">
        <v>4073</v>
      </c>
      <c r="E760" t="s">
        <v>4074</v>
      </c>
      <c r="F760" t="s">
        <v>4075</v>
      </c>
    </row>
    <row r="761" spans="1:6" x14ac:dyDescent="0.25">
      <c r="A761">
        <v>1161</v>
      </c>
      <c r="B761" t="s">
        <v>4072</v>
      </c>
      <c r="C761">
        <v>19</v>
      </c>
      <c r="D761" t="s">
        <v>4073</v>
      </c>
      <c r="E761" t="s">
        <v>4074</v>
      </c>
      <c r="F761" t="s">
        <v>4076</v>
      </c>
    </row>
    <row r="762" spans="1:6" x14ac:dyDescent="0.25">
      <c r="A762">
        <v>1162</v>
      </c>
      <c r="B762" t="s">
        <v>4072</v>
      </c>
      <c r="C762">
        <v>2</v>
      </c>
      <c r="D762" t="s">
        <v>4082</v>
      </c>
      <c r="E762" t="s">
        <v>4083</v>
      </c>
      <c r="F762" t="s">
        <v>4075</v>
      </c>
    </row>
    <row r="763" spans="1:6" x14ac:dyDescent="0.25">
      <c r="A763">
        <v>1162</v>
      </c>
      <c r="B763" t="s">
        <v>4072</v>
      </c>
      <c r="C763">
        <v>17</v>
      </c>
      <c r="D763" t="s">
        <v>4082</v>
      </c>
      <c r="E763" t="s">
        <v>4084</v>
      </c>
      <c r="F763" t="s">
        <v>4076</v>
      </c>
    </row>
    <row r="764" spans="1:6" x14ac:dyDescent="0.25">
      <c r="A764">
        <v>1164</v>
      </c>
      <c r="B764" t="s">
        <v>4072</v>
      </c>
      <c r="C764">
        <v>6</v>
      </c>
      <c r="D764" t="s">
        <v>4073</v>
      </c>
      <c r="E764" t="s">
        <v>4074</v>
      </c>
      <c r="F764" t="s">
        <v>4075</v>
      </c>
    </row>
    <row r="765" spans="1:6" x14ac:dyDescent="0.25">
      <c r="A765">
        <v>1164</v>
      </c>
      <c r="B765" t="s">
        <v>4072</v>
      </c>
      <c r="C765">
        <v>19</v>
      </c>
      <c r="D765" t="s">
        <v>4073</v>
      </c>
      <c r="E765" t="s">
        <v>4074</v>
      </c>
      <c r="F765" t="s">
        <v>4076</v>
      </c>
    </row>
    <row r="766" spans="1:6" x14ac:dyDescent="0.25">
      <c r="A766">
        <v>1165</v>
      </c>
      <c r="B766" t="s">
        <v>4072</v>
      </c>
      <c r="C766">
        <v>5</v>
      </c>
      <c r="D766" t="s">
        <v>4087</v>
      </c>
      <c r="E766" t="s">
        <v>4088</v>
      </c>
      <c r="F766" t="s">
        <v>4075</v>
      </c>
    </row>
    <row r="767" spans="1:6" x14ac:dyDescent="0.25">
      <c r="A767">
        <v>1165</v>
      </c>
      <c r="B767" t="s">
        <v>4072</v>
      </c>
      <c r="C767">
        <v>15</v>
      </c>
      <c r="D767" t="s">
        <v>4080</v>
      </c>
      <c r="E767" t="s">
        <v>4081</v>
      </c>
      <c r="F767" t="s">
        <v>4076</v>
      </c>
    </row>
    <row r="768" spans="1:6" x14ac:dyDescent="0.25">
      <c r="A768">
        <v>1165</v>
      </c>
      <c r="B768" t="s">
        <v>4072</v>
      </c>
      <c r="C768">
        <v>40</v>
      </c>
      <c r="D768" t="s">
        <v>4080</v>
      </c>
      <c r="E768" t="s">
        <v>4081</v>
      </c>
      <c r="F768" t="s">
        <v>4079</v>
      </c>
    </row>
    <row r="769" spans="1:6" x14ac:dyDescent="0.25">
      <c r="A769">
        <v>1166</v>
      </c>
      <c r="B769" t="s">
        <v>4072</v>
      </c>
      <c r="C769">
        <v>4</v>
      </c>
      <c r="D769" t="s">
        <v>4077</v>
      </c>
      <c r="E769" t="s">
        <v>4078</v>
      </c>
      <c r="F769" t="s">
        <v>4075</v>
      </c>
    </row>
    <row r="770" spans="1:6" x14ac:dyDescent="0.25">
      <c r="A770">
        <v>1166</v>
      </c>
      <c r="B770" t="s">
        <v>4072</v>
      </c>
      <c r="C770">
        <v>16</v>
      </c>
      <c r="D770" t="s">
        <v>4077</v>
      </c>
      <c r="E770" t="s">
        <v>4078</v>
      </c>
      <c r="F770" t="s">
        <v>4076</v>
      </c>
    </row>
    <row r="771" spans="1:6" x14ac:dyDescent="0.25">
      <c r="A771">
        <v>1171</v>
      </c>
      <c r="B771" t="s">
        <v>4072</v>
      </c>
      <c r="C771">
        <v>4</v>
      </c>
      <c r="D771" t="s">
        <v>4077</v>
      </c>
      <c r="E771" t="s">
        <v>4078</v>
      </c>
      <c r="F771" t="s">
        <v>4075</v>
      </c>
    </row>
    <row r="772" spans="1:6" x14ac:dyDescent="0.25">
      <c r="A772">
        <v>1171</v>
      </c>
      <c r="B772" t="s">
        <v>4072</v>
      </c>
      <c r="C772">
        <v>16</v>
      </c>
      <c r="D772" t="s">
        <v>4077</v>
      </c>
      <c r="E772" t="s">
        <v>4078</v>
      </c>
      <c r="F772" t="s">
        <v>4076</v>
      </c>
    </row>
    <row r="773" spans="1:6" x14ac:dyDescent="0.25">
      <c r="A773">
        <v>1171</v>
      </c>
      <c r="B773" t="s">
        <v>4072</v>
      </c>
      <c r="C773">
        <v>44</v>
      </c>
      <c r="D773" t="s">
        <v>4077</v>
      </c>
      <c r="E773" t="s">
        <v>4078</v>
      </c>
      <c r="F773" t="s">
        <v>4079</v>
      </c>
    </row>
    <row r="774" spans="1:6" x14ac:dyDescent="0.25">
      <c r="A774">
        <v>1177</v>
      </c>
      <c r="B774" t="s">
        <v>4072</v>
      </c>
      <c r="C774">
        <v>2</v>
      </c>
      <c r="D774" t="s">
        <v>4082</v>
      </c>
      <c r="E774" t="s">
        <v>4083</v>
      </c>
      <c r="F774" t="s">
        <v>4075</v>
      </c>
    </row>
    <row r="775" spans="1:6" x14ac:dyDescent="0.25">
      <c r="A775">
        <v>1177</v>
      </c>
      <c r="B775" t="s">
        <v>4072</v>
      </c>
      <c r="C775">
        <v>17</v>
      </c>
      <c r="D775" t="s">
        <v>4082</v>
      </c>
      <c r="E775" t="s">
        <v>4084</v>
      </c>
      <c r="F775" t="s">
        <v>4076</v>
      </c>
    </row>
    <row r="776" spans="1:6" x14ac:dyDescent="0.25">
      <c r="A776">
        <v>1178</v>
      </c>
      <c r="B776" t="s">
        <v>4072</v>
      </c>
      <c r="C776">
        <v>2</v>
      </c>
      <c r="D776" t="s">
        <v>4082</v>
      </c>
      <c r="E776" t="s">
        <v>4083</v>
      </c>
      <c r="F776" t="s">
        <v>4075</v>
      </c>
    </row>
    <row r="777" spans="1:6" x14ac:dyDescent="0.25">
      <c r="A777">
        <v>1178</v>
      </c>
      <c r="B777" t="s">
        <v>4072</v>
      </c>
      <c r="C777">
        <v>17</v>
      </c>
      <c r="D777" t="s">
        <v>4082</v>
      </c>
      <c r="E777" t="s">
        <v>4084</v>
      </c>
      <c r="F777" t="s">
        <v>4076</v>
      </c>
    </row>
    <row r="778" spans="1:6" x14ac:dyDescent="0.25">
      <c r="A778">
        <v>1180</v>
      </c>
      <c r="B778" t="s">
        <v>4072</v>
      </c>
      <c r="C778">
        <v>6</v>
      </c>
      <c r="D778" t="s">
        <v>4073</v>
      </c>
      <c r="E778" t="s">
        <v>4074</v>
      </c>
      <c r="F778" t="s">
        <v>4075</v>
      </c>
    </row>
    <row r="779" spans="1:6" x14ac:dyDescent="0.25">
      <c r="A779">
        <v>1180</v>
      </c>
      <c r="B779" t="s">
        <v>4072</v>
      </c>
      <c r="C779">
        <v>19</v>
      </c>
      <c r="D779" t="s">
        <v>4073</v>
      </c>
      <c r="E779" t="s">
        <v>4074</v>
      </c>
      <c r="F779" t="s">
        <v>4076</v>
      </c>
    </row>
    <row r="780" spans="1:6" x14ac:dyDescent="0.25">
      <c r="A780">
        <v>1180</v>
      </c>
      <c r="B780" t="s">
        <v>4072</v>
      </c>
      <c r="C780">
        <v>39</v>
      </c>
      <c r="D780" t="s">
        <v>4073</v>
      </c>
      <c r="E780" t="s">
        <v>4074</v>
      </c>
      <c r="F780" t="s">
        <v>4079</v>
      </c>
    </row>
    <row r="781" spans="1:6" x14ac:dyDescent="0.25">
      <c r="A781">
        <v>1186</v>
      </c>
      <c r="B781" t="s">
        <v>4072</v>
      </c>
      <c r="C781">
        <v>5</v>
      </c>
      <c r="D781" t="s">
        <v>4087</v>
      </c>
      <c r="E781" t="s">
        <v>4088</v>
      </c>
      <c r="F781" t="s">
        <v>4075</v>
      </c>
    </row>
    <row r="782" spans="1:6" x14ac:dyDescent="0.25">
      <c r="A782">
        <v>1186</v>
      </c>
      <c r="B782" t="s">
        <v>4072</v>
      </c>
      <c r="C782">
        <v>15</v>
      </c>
      <c r="D782" t="s">
        <v>4080</v>
      </c>
      <c r="E782" t="s">
        <v>4081</v>
      </c>
      <c r="F782" t="s">
        <v>4076</v>
      </c>
    </row>
    <row r="783" spans="1:6" x14ac:dyDescent="0.25">
      <c r="A783">
        <v>1186</v>
      </c>
      <c r="B783" t="s">
        <v>4072</v>
      </c>
      <c r="C783">
        <v>40</v>
      </c>
      <c r="D783" t="s">
        <v>4080</v>
      </c>
      <c r="E783" t="s">
        <v>4081</v>
      </c>
      <c r="F783" t="s">
        <v>4079</v>
      </c>
    </row>
    <row r="784" spans="1:6" x14ac:dyDescent="0.25">
      <c r="A784">
        <v>1189</v>
      </c>
      <c r="B784" t="s">
        <v>4072</v>
      </c>
      <c r="C784">
        <v>4</v>
      </c>
      <c r="D784" t="s">
        <v>4077</v>
      </c>
      <c r="E784" t="s">
        <v>4078</v>
      </c>
      <c r="F784" t="s">
        <v>4075</v>
      </c>
    </row>
    <row r="785" spans="1:6" x14ac:dyDescent="0.25">
      <c r="A785">
        <v>1189</v>
      </c>
      <c r="B785" t="s">
        <v>4072</v>
      </c>
      <c r="C785">
        <v>16</v>
      </c>
      <c r="D785" t="s">
        <v>4077</v>
      </c>
      <c r="E785" t="s">
        <v>4078</v>
      </c>
      <c r="F785" t="s">
        <v>4076</v>
      </c>
    </row>
    <row r="786" spans="1:6" x14ac:dyDescent="0.25">
      <c r="A786">
        <v>1190</v>
      </c>
      <c r="B786" t="s">
        <v>4072</v>
      </c>
      <c r="C786">
        <v>4</v>
      </c>
      <c r="D786" t="s">
        <v>4077</v>
      </c>
      <c r="E786" t="s">
        <v>4078</v>
      </c>
      <c r="F786" t="s">
        <v>4075</v>
      </c>
    </row>
    <row r="787" spans="1:6" x14ac:dyDescent="0.25">
      <c r="A787">
        <v>1190</v>
      </c>
      <c r="B787" t="s">
        <v>4072</v>
      </c>
      <c r="C787">
        <v>16</v>
      </c>
      <c r="D787" t="s">
        <v>4077</v>
      </c>
      <c r="E787" t="s">
        <v>4078</v>
      </c>
      <c r="F787" t="s">
        <v>4076</v>
      </c>
    </row>
    <row r="788" spans="1:6" x14ac:dyDescent="0.25">
      <c r="A788">
        <v>1200</v>
      </c>
      <c r="B788" t="s">
        <v>4072</v>
      </c>
      <c r="C788">
        <v>6</v>
      </c>
      <c r="D788" t="s">
        <v>4073</v>
      </c>
      <c r="E788" t="s">
        <v>4074</v>
      </c>
      <c r="F788" t="s">
        <v>4075</v>
      </c>
    </row>
    <row r="789" spans="1:6" x14ac:dyDescent="0.25">
      <c r="A789">
        <v>1208</v>
      </c>
      <c r="B789" t="s">
        <v>4072</v>
      </c>
      <c r="C789">
        <v>2</v>
      </c>
      <c r="D789" t="s">
        <v>4082</v>
      </c>
      <c r="E789" t="s">
        <v>4083</v>
      </c>
      <c r="F789" t="s">
        <v>4075</v>
      </c>
    </row>
    <row r="790" spans="1:6" x14ac:dyDescent="0.25">
      <c r="A790">
        <v>1208</v>
      </c>
      <c r="B790" t="s">
        <v>4072</v>
      </c>
      <c r="C790">
        <v>17</v>
      </c>
      <c r="D790" t="s">
        <v>4082</v>
      </c>
      <c r="E790" t="s">
        <v>4084</v>
      </c>
      <c r="F790" t="s">
        <v>4076</v>
      </c>
    </row>
    <row r="791" spans="1:6" x14ac:dyDescent="0.25">
      <c r="A791">
        <v>1208</v>
      </c>
      <c r="B791" t="s">
        <v>4072</v>
      </c>
      <c r="C791">
        <v>42</v>
      </c>
      <c r="D791" t="s">
        <v>4082</v>
      </c>
      <c r="E791" t="s">
        <v>4083</v>
      </c>
      <c r="F791" t="s">
        <v>4079</v>
      </c>
    </row>
    <row r="792" spans="1:6" x14ac:dyDescent="0.25">
      <c r="A792">
        <v>1209</v>
      </c>
      <c r="B792" t="s">
        <v>4072</v>
      </c>
      <c r="C792">
        <v>6</v>
      </c>
      <c r="D792" t="s">
        <v>4073</v>
      </c>
      <c r="E792" t="s">
        <v>4074</v>
      </c>
      <c r="F792" t="s">
        <v>4075</v>
      </c>
    </row>
    <row r="793" spans="1:6" x14ac:dyDescent="0.25">
      <c r="A793">
        <v>1235</v>
      </c>
      <c r="B793" t="s">
        <v>4072</v>
      </c>
      <c r="C793">
        <v>4</v>
      </c>
      <c r="D793" t="s">
        <v>4077</v>
      </c>
      <c r="E793" t="s">
        <v>4078</v>
      </c>
      <c r="F793" t="s">
        <v>4075</v>
      </c>
    </row>
    <row r="794" spans="1:6" x14ac:dyDescent="0.25">
      <c r="A794">
        <v>1235</v>
      </c>
      <c r="B794" t="s">
        <v>4072</v>
      </c>
      <c r="C794">
        <v>16</v>
      </c>
      <c r="D794" t="s">
        <v>4077</v>
      </c>
      <c r="E794" t="s">
        <v>4078</v>
      </c>
      <c r="F794" t="s">
        <v>4076</v>
      </c>
    </row>
    <row r="795" spans="1:6" x14ac:dyDescent="0.25">
      <c r="A795">
        <v>1235</v>
      </c>
      <c r="B795" t="s">
        <v>4072</v>
      </c>
      <c r="C795">
        <v>44</v>
      </c>
      <c r="D795" t="s">
        <v>4077</v>
      </c>
      <c r="E795" t="s">
        <v>4078</v>
      </c>
      <c r="F795" t="s">
        <v>4079</v>
      </c>
    </row>
    <row r="796" spans="1:6" x14ac:dyDescent="0.25">
      <c r="A796">
        <v>1236</v>
      </c>
      <c r="B796" t="s">
        <v>4072</v>
      </c>
      <c r="C796">
        <v>5</v>
      </c>
      <c r="D796" t="s">
        <v>4087</v>
      </c>
      <c r="E796" t="s">
        <v>4088</v>
      </c>
      <c r="F796" t="s">
        <v>4075</v>
      </c>
    </row>
    <row r="797" spans="1:6" x14ac:dyDescent="0.25">
      <c r="A797">
        <v>1236</v>
      </c>
      <c r="B797" t="s">
        <v>4072</v>
      </c>
      <c r="C797">
        <v>15</v>
      </c>
      <c r="D797" t="s">
        <v>4080</v>
      </c>
      <c r="E797" t="s">
        <v>4081</v>
      </c>
      <c r="F797" t="s">
        <v>4076</v>
      </c>
    </row>
    <row r="798" spans="1:6" x14ac:dyDescent="0.25">
      <c r="A798">
        <v>1236</v>
      </c>
      <c r="B798" t="s">
        <v>4072</v>
      </c>
      <c r="C798">
        <v>40</v>
      </c>
      <c r="D798" t="s">
        <v>4080</v>
      </c>
      <c r="E798" t="s">
        <v>4081</v>
      </c>
      <c r="F798" t="s">
        <v>4079</v>
      </c>
    </row>
    <row r="799" spans="1:6" x14ac:dyDescent="0.25">
      <c r="A799">
        <v>1237</v>
      </c>
      <c r="B799" t="s">
        <v>4072</v>
      </c>
      <c r="C799">
        <v>3</v>
      </c>
      <c r="D799" t="s">
        <v>4085</v>
      </c>
      <c r="E799" t="s">
        <v>4086</v>
      </c>
      <c r="F799" t="s">
        <v>4075</v>
      </c>
    </row>
    <row r="800" spans="1:6" x14ac:dyDescent="0.25">
      <c r="A800">
        <v>1237</v>
      </c>
      <c r="B800" t="s">
        <v>4072</v>
      </c>
      <c r="C800">
        <v>15</v>
      </c>
      <c r="D800" t="s">
        <v>4080</v>
      </c>
      <c r="E800" t="s">
        <v>4081</v>
      </c>
      <c r="F800" t="s">
        <v>4076</v>
      </c>
    </row>
    <row r="801" spans="1:6" x14ac:dyDescent="0.25">
      <c r="A801">
        <v>1237</v>
      </c>
      <c r="B801" t="s">
        <v>4072</v>
      </c>
      <c r="C801">
        <v>40</v>
      </c>
      <c r="D801" t="s">
        <v>4080</v>
      </c>
      <c r="E801" t="s">
        <v>4081</v>
      </c>
      <c r="F801" t="s">
        <v>4079</v>
      </c>
    </row>
    <row r="802" spans="1:6" x14ac:dyDescent="0.25">
      <c r="A802">
        <v>1238</v>
      </c>
      <c r="B802" t="s">
        <v>4072</v>
      </c>
      <c r="C802">
        <v>5</v>
      </c>
      <c r="D802" t="s">
        <v>4087</v>
      </c>
      <c r="E802" t="s">
        <v>4088</v>
      </c>
      <c r="F802" t="s">
        <v>4075</v>
      </c>
    </row>
    <row r="803" spans="1:6" x14ac:dyDescent="0.25">
      <c r="A803">
        <v>1238</v>
      </c>
      <c r="B803" t="s">
        <v>4072</v>
      </c>
      <c r="C803">
        <v>15</v>
      </c>
      <c r="D803" t="s">
        <v>4080</v>
      </c>
      <c r="E803" t="s">
        <v>4081</v>
      </c>
      <c r="F803" t="s">
        <v>4076</v>
      </c>
    </row>
    <row r="804" spans="1:6" x14ac:dyDescent="0.25">
      <c r="A804">
        <v>1238</v>
      </c>
      <c r="B804" t="s">
        <v>4072</v>
      </c>
      <c r="C804">
        <v>40</v>
      </c>
      <c r="D804" t="s">
        <v>4080</v>
      </c>
      <c r="E804" t="s">
        <v>4081</v>
      </c>
      <c r="F804" t="s">
        <v>4079</v>
      </c>
    </row>
    <row r="805" spans="1:6" x14ac:dyDescent="0.25">
      <c r="A805">
        <v>1239</v>
      </c>
      <c r="B805" t="s">
        <v>4072</v>
      </c>
      <c r="C805">
        <v>5</v>
      </c>
      <c r="D805" t="s">
        <v>4087</v>
      </c>
      <c r="E805" t="s">
        <v>4088</v>
      </c>
      <c r="F805" t="s">
        <v>4075</v>
      </c>
    </row>
    <row r="806" spans="1:6" x14ac:dyDescent="0.25">
      <c r="A806">
        <v>1239</v>
      </c>
      <c r="B806" t="s">
        <v>4072</v>
      </c>
      <c r="C806">
        <v>15</v>
      </c>
      <c r="D806" t="s">
        <v>4080</v>
      </c>
      <c r="E806" t="s">
        <v>4081</v>
      </c>
      <c r="F806" t="s">
        <v>4076</v>
      </c>
    </row>
    <row r="807" spans="1:6" x14ac:dyDescent="0.25">
      <c r="A807">
        <v>1239</v>
      </c>
      <c r="B807" t="s">
        <v>4072</v>
      </c>
      <c r="C807">
        <v>40</v>
      </c>
      <c r="D807" t="s">
        <v>4080</v>
      </c>
      <c r="E807" t="s">
        <v>4081</v>
      </c>
      <c r="F807" t="s">
        <v>4079</v>
      </c>
    </row>
    <row r="808" spans="1:6" x14ac:dyDescent="0.25">
      <c r="A808">
        <v>1240</v>
      </c>
      <c r="B808" t="s">
        <v>4072</v>
      </c>
      <c r="C808">
        <v>5</v>
      </c>
      <c r="D808" t="s">
        <v>4087</v>
      </c>
      <c r="E808" t="s">
        <v>4088</v>
      </c>
      <c r="F808" t="s">
        <v>4075</v>
      </c>
    </row>
    <row r="809" spans="1:6" x14ac:dyDescent="0.25">
      <c r="A809">
        <v>1240</v>
      </c>
      <c r="B809" t="s">
        <v>4072</v>
      </c>
      <c r="C809">
        <v>15</v>
      </c>
      <c r="D809" t="s">
        <v>4080</v>
      </c>
      <c r="E809" t="s">
        <v>4081</v>
      </c>
      <c r="F809" t="s">
        <v>4076</v>
      </c>
    </row>
    <row r="810" spans="1:6" x14ac:dyDescent="0.25">
      <c r="A810">
        <v>1240</v>
      </c>
      <c r="B810" t="s">
        <v>4072</v>
      </c>
      <c r="C810">
        <v>40</v>
      </c>
      <c r="D810" t="s">
        <v>4080</v>
      </c>
      <c r="E810" t="s">
        <v>4081</v>
      </c>
      <c r="F810" t="s">
        <v>4079</v>
      </c>
    </row>
    <row r="811" spans="1:6" x14ac:dyDescent="0.25">
      <c r="A811">
        <v>1247</v>
      </c>
      <c r="B811" t="s">
        <v>4072</v>
      </c>
      <c r="C811">
        <v>4</v>
      </c>
      <c r="D811" t="s">
        <v>4077</v>
      </c>
      <c r="E811" t="s">
        <v>4078</v>
      </c>
      <c r="F811" t="s">
        <v>4075</v>
      </c>
    </row>
    <row r="812" spans="1:6" x14ac:dyDescent="0.25">
      <c r="A812">
        <v>1247</v>
      </c>
      <c r="B812" t="s">
        <v>4072</v>
      </c>
      <c r="C812">
        <v>16</v>
      </c>
      <c r="D812" t="s">
        <v>4077</v>
      </c>
      <c r="E812" t="s">
        <v>4078</v>
      </c>
      <c r="F812" t="s">
        <v>4076</v>
      </c>
    </row>
    <row r="813" spans="1:6" x14ac:dyDescent="0.25">
      <c r="A813">
        <v>1249</v>
      </c>
      <c r="B813" t="s">
        <v>4072</v>
      </c>
      <c r="C813">
        <v>6</v>
      </c>
      <c r="D813" t="s">
        <v>4073</v>
      </c>
      <c r="E813" t="s">
        <v>4074</v>
      </c>
      <c r="F813" t="s">
        <v>4075</v>
      </c>
    </row>
    <row r="814" spans="1:6" x14ac:dyDescent="0.25">
      <c r="A814">
        <v>1249</v>
      </c>
      <c r="B814" t="s">
        <v>4072</v>
      </c>
      <c r="C814">
        <v>19</v>
      </c>
      <c r="D814" t="s">
        <v>4073</v>
      </c>
      <c r="E814" t="s">
        <v>4074</v>
      </c>
      <c r="F814" t="s">
        <v>4076</v>
      </c>
    </row>
    <row r="815" spans="1:6" x14ac:dyDescent="0.25">
      <c r="A815">
        <v>1249</v>
      </c>
      <c r="B815" t="s">
        <v>4072</v>
      </c>
      <c r="C815">
        <v>39</v>
      </c>
      <c r="D815" t="s">
        <v>4073</v>
      </c>
      <c r="E815" t="s">
        <v>4074</v>
      </c>
      <c r="F815" t="s">
        <v>4079</v>
      </c>
    </row>
    <row r="816" spans="1:6" x14ac:dyDescent="0.25">
      <c r="A816">
        <v>1250</v>
      </c>
      <c r="B816" t="s">
        <v>4072</v>
      </c>
      <c r="C816">
        <v>1</v>
      </c>
      <c r="D816" t="s">
        <v>2761</v>
      </c>
      <c r="E816" t="s">
        <v>4089</v>
      </c>
      <c r="F816" t="s">
        <v>4075</v>
      </c>
    </row>
    <row r="817" spans="1:6" x14ac:dyDescent="0.25">
      <c r="A817">
        <v>1250</v>
      </c>
      <c r="B817" t="s">
        <v>4072</v>
      </c>
      <c r="C817">
        <v>38</v>
      </c>
      <c r="D817" t="s">
        <v>2761</v>
      </c>
      <c r="E817" t="s">
        <v>4089</v>
      </c>
      <c r="F817" t="s">
        <v>4076</v>
      </c>
    </row>
    <row r="818" spans="1:6" x14ac:dyDescent="0.25">
      <c r="A818">
        <v>1250</v>
      </c>
      <c r="B818" t="s">
        <v>4072</v>
      </c>
      <c r="C818">
        <v>43</v>
      </c>
      <c r="D818" t="s">
        <v>2761</v>
      </c>
      <c r="E818" t="s">
        <v>4089</v>
      </c>
      <c r="F818" t="s">
        <v>4079</v>
      </c>
    </row>
    <row r="819" spans="1:6" x14ac:dyDescent="0.25">
      <c r="A819">
        <v>1266</v>
      </c>
      <c r="B819" t="s">
        <v>4072</v>
      </c>
      <c r="C819">
        <v>6</v>
      </c>
      <c r="D819" t="s">
        <v>4073</v>
      </c>
      <c r="E819" t="s">
        <v>4074</v>
      </c>
      <c r="F819" t="s">
        <v>4075</v>
      </c>
    </row>
    <row r="820" spans="1:6" x14ac:dyDescent="0.25">
      <c r="A820">
        <v>1266</v>
      </c>
      <c r="B820" t="s">
        <v>4072</v>
      </c>
      <c r="C820">
        <v>19</v>
      </c>
      <c r="D820" t="s">
        <v>4073</v>
      </c>
      <c r="E820" t="s">
        <v>4074</v>
      </c>
      <c r="F820" t="s">
        <v>4076</v>
      </c>
    </row>
    <row r="821" spans="1:6" x14ac:dyDescent="0.25">
      <c r="A821">
        <v>1266</v>
      </c>
      <c r="B821" t="s">
        <v>4072</v>
      </c>
      <c r="C821">
        <v>39</v>
      </c>
      <c r="D821" t="s">
        <v>4073</v>
      </c>
      <c r="E821" t="s">
        <v>4074</v>
      </c>
      <c r="F821" t="s">
        <v>4079</v>
      </c>
    </row>
    <row r="822" spans="1:6" x14ac:dyDescent="0.25">
      <c r="A822">
        <v>1272</v>
      </c>
      <c r="B822" t="s">
        <v>4072</v>
      </c>
      <c r="C822">
        <v>1</v>
      </c>
      <c r="D822" t="s">
        <v>2761</v>
      </c>
      <c r="E822" t="s">
        <v>4089</v>
      </c>
      <c r="F822" t="s">
        <v>4075</v>
      </c>
    </row>
    <row r="823" spans="1:6" x14ac:dyDescent="0.25">
      <c r="A823">
        <v>1272</v>
      </c>
      <c r="B823" t="s">
        <v>4072</v>
      </c>
      <c r="C823">
        <v>38</v>
      </c>
      <c r="D823" t="s">
        <v>2761</v>
      </c>
      <c r="E823" t="s">
        <v>4089</v>
      </c>
      <c r="F823" t="s">
        <v>4076</v>
      </c>
    </row>
    <row r="824" spans="1:6" x14ac:dyDescent="0.25">
      <c r="A824">
        <v>1272</v>
      </c>
      <c r="B824" t="s">
        <v>4072</v>
      </c>
      <c r="C824">
        <v>43</v>
      </c>
      <c r="D824" t="s">
        <v>2761</v>
      </c>
      <c r="E824" t="s">
        <v>4089</v>
      </c>
      <c r="F824" t="s">
        <v>4079</v>
      </c>
    </row>
    <row r="825" spans="1:6" x14ac:dyDescent="0.25">
      <c r="A825">
        <v>1277</v>
      </c>
      <c r="B825" t="s">
        <v>4072</v>
      </c>
      <c r="C825">
        <v>2</v>
      </c>
      <c r="D825" t="s">
        <v>4082</v>
      </c>
      <c r="E825" t="s">
        <v>4083</v>
      </c>
      <c r="F825" t="s">
        <v>4075</v>
      </c>
    </row>
    <row r="826" spans="1:6" x14ac:dyDescent="0.25">
      <c r="A826">
        <v>1277</v>
      </c>
      <c r="B826" t="s">
        <v>4072</v>
      </c>
      <c r="C826">
        <v>17</v>
      </c>
      <c r="D826" t="s">
        <v>4082</v>
      </c>
      <c r="E826" t="s">
        <v>4084</v>
      </c>
      <c r="F826" t="s">
        <v>4076</v>
      </c>
    </row>
    <row r="827" spans="1:6" x14ac:dyDescent="0.25">
      <c r="A827">
        <v>1280</v>
      </c>
      <c r="B827" t="s">
        <v>4072</v>
      </c>
      <c r="C827">
        <v>3</v>
      </c>
      <c r="D827" t="s">
        <v>4085</v>
      </c>
      <c r="E827" t="s">
        <v>4086</v>
      </c>
      <c r="F827" t="s">
        <v>4075</v>
      </c>
    </row>
    <row r="828" spans="1:6" x14ac:dyDescent="0.25">
      <c r="A828">
        <v>1293</v>
      </c>
      <c r="B828" t="s">
        <v>4072</v>
      </c>
      <c r="C828">
        <v>4</v>
      </c>
      <c r="D828" t="s">
        <v>4077</v>
      </c>
      <c r="E828" t="s">
        <v>4078</v>
      </c>
      <c r="F828" t="s">
        <v>4075</v>
      </c>
    </row>
    <row r="829" spans="1:6" x14ac:dyDescent="0.25">
      <c r="A829">
        <v>1293</v>
      </c>
      <c r="B829" t="s">
        <v>4072</v>
      </c>
      <c r="C829">
        <v>16</v>
      </c>
      <c r="D829" t="s">
        <v>4077</v>
      </c>
      <c r="E829" t="s">
        <v>4078</v>
      </c>
      <c r="F829" t="s">
        <v>4076</v>
      </c>
    </row>
    <row r="830" spans="1:6" x14ac:dyDescent="0.25">
      <c r="A830">
        <v>1303</v>
      </c>
      <c r="B830" t="s">
        <v>4072</v>
      </c>
      <c r="C830">
        <v>13</v>
      </c>
      <c r="D830" t="s">
        <v>4097</v>
      </c>
      <c r="E830" t="s">
        <v>4098</v>
      </c>
      <c r="F830" t="s">
        <v>4076</v>
      </c>
    </row>
    <row r="831" spans="1:6" x14ac:dyDescent="0.25">
      <c r="A831">
        <v>1303</v>
      </c>
      <c r="B831" t="s">
        <v>4072</v>
      </c>
      <c r="C831">
        <v>46</v>
      </c>
      <c r="D831" t="s">
        <v>4099</v>
      </c>
      <c r="E831" t="s">
        <v>4100</v>
      </c>
      <c r="F831" t="s">
        <v>4079</v>
      </c>
    </row>
    <row r="832" spans="1:6" x14ac:dyDescent="0.25">
      <c r="A832">
        <v>1314</v>
      </c>
      <c r="B832" t="s">
        <v>4072</v>
      </c>
      <c r="C832">
        <v>5</v>
      </c>
      <c r="D832" t="s">
        <v>4087</v>
      </c>
      <c r="E832" t="s">
        <v>4088</v>
      </c>
      <c r="F832" t="s">
        <v>4075</v>
      </c>
    </row>
    <row r="833" spans="1:6" x14ac:dyDescent="0.25">
      <c r="A833">
        <v>1314</v>
      </c>
      <c r="B833" t="s">
        <v>4072</v>
      </c>
      <c r="C833">
        <v>15</v>
      </c>
      <c r="D833" t="s">
        <v>4080</v>
      </c>
      <c r="E833" t="s">
        <v>4081</v>
      </c>
      <c r="F833" t="s">
        <v>4076</v>
      </c>
    </row>
    <row r="834" spans="1:6" x14ac:dyDescent="0.25">
      <c r="A834">
        <v>1322</v>
      </c>
      <c r="B834" t="s">
        <v>4072</v>
      </c>
      <c r="C834">
        <v>3</v>
      </c>
      <c r="D834" t="s">
        <v>4085</v>
      </c>
      <c r="E834" t="s">
        <v>4086</v>
      </c>
      <c r="F834" t="s">
        <v>4075</v>
      </c>
    </row>
    <row r="835" spans="1:6" x14ac:dyDescent="0.25">
      <c r="A835">
        <v>1322</v>
      </c>
      <c r="B835" t="s">
        <v>4072</v>
      </c>
      <c r="C835">
        <v>15</v>
      </c>
      <c r="D835" t="s">
        <v>4080</v>
      </c>
      <c r="E835" t="s">
        <v>4081</v>
      </c>
      <c r="F835" t="s">
        <v>4076</v>
      </c>
    </row>
    <row r="836" spans="1:6" x14ac:dyDescent="0.25">
      <c r="A836">
        <v>1323</v>
      </c>
      <c r="B836" t="s">
        <v>4072</v>
      </c>
      <c r="C836">
        <v>2</v>
      </c>
      <c r="D836" t="s">
        <v>4082</v>
      </c>
      <c r="E836" t="s">
        <v>4083</v>
      </c>
      <c r="F836" t="s">
        <v>4075</v>
      </c>
    </row>
    <row r="837" spans="1:6" x14ac:dyDescent="0.25">
      <c r="A837">
        <v>1323</v>
      </c>
      <c r="B837" t="s">
        <v>4072</v>
      </c>
      <c r="C837">
        <v>17</v>
      </c>
      <c r="D837" t="s">
        <v>4082</v>
      </c>
      <c r="E837" t="s">
        <v>4084</v>
      </c>
      <c r="F837" t="s">
        <v>4076</v>
      </c>
    </row>
    <row r="838" spans="1:6" x14ac:dyDescent="0.25">
      <c r="A838">
        <v>1324</v>
      </c>
      <c r="B838" t="s">
        <v>4072</v>
      </c>
      <c r="C838">
        <v>5</v>
      </c>
      <c r="D838" t="s">
        <v>4087</v>
      </c>
      <c r="E838" t="s">
        <v>4088</v>
      </c>
      <c r="F838" t="s">
        <v>4075</v>
      </c>
    </row>
    <row r="839" spans="1:6" x14ac:dyDescent="0.25">
      <c r="A839">
        <v>1324</v>
      </c>
      <c r="B839" t="s">
        <v>4072</v>
      </c>
      <c r="C839">
        <v>15</v>
      </c>
      <c r="D839" t="s">
        <v>4080</v>
      </c>
      <c r="E839" t="s">
        <v>4081</v>
      </c>
      <c r="F839" t="s">
        <v>4076</v>
      </c>
    </row>
    <row r="840" spans="1:6" x14ac:dyDescent="0.25">
      <c r="A840">
        <v>1325</v>
      </c>
      <c r="B840" t="s">
        <v>4072</v>
      </c>
      <c r="C840">
        <v>5</v>
      </c>
      <c r="D840" t="s">
        <v>4087</v>
      </c>
      <c r="E840" t="s">
        <v>4088</v>
      </c>
      <c r="F840" t="s">
        <v>4075</v>
      </c>
    </row>
    <row r="841" spans="1:6" x14ac:dyDescent="0.25">
      <c r="A841">
        <v>1325</v>
      </c>
      <c r="B841" t="s">
        <v>4072</v>
      </c>
      <c r="C841">
        <v>15</v>
      </c>
      <c r="D841" t="s">
        <v>4080</v>
      </c>
      <c r="E841" t="s">
        <v>4081</v>
      </c>
      <c r="F841" t="s">
        <v>4076</v>
      </c>
    </row>
    <row r="842" spans="1:6" x14ac:dyDescent="0.25">
      <c r="A842">
        <v>1342</v>
      </c>
      <c r="B842" t="s">
        <v>4072</v>
      </c>
      <c r="C842">
        <v>10</v>
      </c>
      <c r="D842" t="s">
        <v>4095</v>
      </c>
      <c r="E842" t="s">
        <v>4096</v>
      </c>
      <c r="F842" t="s">
        <v>4075</v>
      </c>
    </row>
    <row r="843" spans="1:6" x14ac:dyDescent="0.25">
      <c r="A843">
        <v>1342</v>
      </c>
      <c r="B843" t="s">
        <v>4072</v>
      </c>
      <c r="C843">
        <v>14</v>
      </c>
      <c r="D843" t="s">
        <v>4090</v>
      </c>
      <c r="E843" t="s">
        <v>4091</v>
      </c>
      <c r="F843" t="s">
        <v>4076</v>
      </c>
    </row>
    <row r="844" spans="1:6" x14ac:dyDescent="0.25">
      <c r="A844">
        <v>1343</v>
      </c>
      <c r="B844" t="s">
        <v>4072</v>
      </c>
      <c r="C844">
        <v>3</v>
      </c>
      <c r="D844" t="s">
        <v>4085</v>
      </c>
      <c r="E844" t="s">
        <v>4086</v>
      </c>
      <c r="F844" t="s">
        <v>4075</v>
      </c>
    </row>
    <row r="845" spans="1:6" x14ac:dyDescent="0.25">
      <c r="A845">
        <v>1343</v>
      </c>
      <c r="B845" t="s">
        <v>4072</v>
      </c>
      <c r="C845">
        <v>15</v>
      </c>
      <c r="D845" t="s">
        <v>4080</v>
      </c>
      <c r="E845" t="s">
        <v>4081</v>
      </c>
      <c r="F845" t="s">
        <v>4076</v>
      </c>
    </row>
    <row r="846" spans="1:6" x14ac:dyDescent="0.25">
      <c r="A846">
        <v>1344</v>
      </c>
      <c r="B846" t="s">
        <v>4072</v>
      </c>
      <c r="C846">
        <v>4</v>
      </c>
      <c r="D846" t="s">
        <v>4077</v>
      </c>
      <c r="E846" t="s">
        <v>4078</v>
      </c>
      <c r="F846" t="s">
        <v>4075</v>
      </c>
    </row>
    <row r="847" spans="1:6" x14ac:dyDescent="0.25">
      <c r="A847">
        <v>1344</v>
      </c>
      <c r="B847" t="s">
        <v>4072</v>
      </c>
      <c r="C847">
        <v>16</v>
      </c>
      <c r="D847" t="s">
        <v>4077</v>
      </c>
      <c r="E847" t="s">
        <v>4078</v>
      </c>
      <c r="F847" t="s">
        <v>4076</v>
      </c>
    </row>
    <row r="848" spans="1:6" x14ac:dyDescent="0.25">
      <c r="A848">
        <v>1345</v>
      </c>
      <c r="B848" t="s">
        <v>4072</v>
      </c>
      <c r="C848">
        <v>3</v>
      </c>
      <c r="D848" t="s">
        <v>4085</v>
      </c>
      <c r="E848" t="s">
        <v>4086</v>
      </c>
      <c r="F848" t="s">
        <v>4075</v>
      </c>
    </row>
    <row r="849" spans="1:6" x14ac:dyDescent="0.25">
      <c r="A849">
        <v>1345</v>
      </c>
      <c r="B849" t="s">
        <v>4072</v>
      </c>
      <c r="C849">
        <v>15</v>
      </c>
      <c r="D849" t="s">
        <v>4080</v>
      </c>
      <c r="E849" t="s">
        <v>4081</v>
      </c>
      <c r="F849" t="s">
        <v>4076</v>
      </c>
    </row>
    <row r="850" spans="1:6" x14ac:dyDescent="0.25">
      <c r="A850">
        <v>1345</v>
      </c>
      <c r="B850" t="s">
        <v>4072</v>
      </c>
      <c r="C850">
        <v>40</v>
      </c>
      <c r="D850" t="s">
        <v>4080</v>
      </c>
      <c r="E850" t="s">
        <v>4081</v>
      </c>
      <c r="F850" t="s">
        <v>4079</v>
      </c>
    </row>
    <row r="851" spans="1:6" x14ac:dyDescent="0.25">
      <c r="A851">
        <v>1346</v>
      </c>
      <c r="B851" t="s">
        <v>4072</v>
      </c>
      <c r="C851">
        <v>6</v>
      </c>
      <c r="D851" t="s">
        <v>4073</v>
      </c>
      <c r="E851" t="s">
        <v>4074</v>
      </c>
      <c r="F851" t="s">
        <v>4075</v>
      </c>
    </row>
    <row r="852" spans="1:6" x14ac:dyDescent="0.25">
      <c r="A852">
        <v>1347</v>
      </c>
      <c r="B852" t="s">
        <v>4092</v>
      </c>
      <c r="C852">
        <v>23</v>
      </c>
      <c r="D852" t="s">
        <v>2757</v>
      </c>
      <c r="E852" t="s">
        <v>4093</v>
      </c>
      <c r="F852" t="s">
        <v>4075</v>
      </c>
    </row>
    <row r="853" spans="1:6" x14ac:dyDescent="0.25">
      <c r="A853">
        <v>1347</v>
      </c>
      <c r="B853" t="s">
        <v>4092</v>
      </c>
      <c r="C853">
        <v>25</v>
      </c>
      <c r="D853" t="s">
        <v>4102</v>
      </c>
      <c r="E853" t="s">
        <v>4103</v>
      </c>
      <c r="F853" t="s">
        <v>4075</v>
      </c>
    </row>
    <row r="854" spans="1:6" x14ac:dyDescent="0.25">
      <c r="A854">
        <v>1347</v>
      </c>
      <c r="B854" t="s">
        <v>4092</v>
      </c>
      <c r="C854">
        <v>28</v>
      </c>
      <c r="D854" t="s">
        <v>2757</v>
      </c>
      <c r="E854" t="s">
        <v>4093</v>
      </c>
      <c r="F854" t="s">
        <v>4076</v>
      </c>
    </row>
    <row r="855" spans="1:6" x14ac:dyDescent="0.25">
      <c r="A855">
        <v>1347</v>
      </c>
      <c r="B855" t="s">
        <v>4092</v>
      </c>
      <c r="C855">
        <v>30</v>
      </c>
      <c r="D855" t="s">
        <v>4102</v>
      </c>
      <c r="E855" t="s">
        <v>4103</v>
      </c>
      <c r="F855" t="s">
        <v>4076</v>
      </c>
    </row>
    <row r="856" spans="1:6" x14ac:dyDescent="0.25">
      <c r="A856">
        <v>1351</v>
      </c>
      <c r="B856" t="s">
        <v>4072</v>
      </c>
      <c r="C856">
        <v>2</v>
      </c>
      <c r="D856" t="s">
        <v>4082</v>
      </c>
      <c r="E856" t="s">
        <v>4083</v>
      </c>
      <c r="F856" t="s">
        <v>4075</v>
      </c>
    </row>
    <row r="857" spans="1:6" x14ac:dyDescent="0.25">
      <c r="A857">
        <v>1351</v>
      </c>
      <c r="B857" t="s">
        <v>4072</v>
      </c>
      <c r="C857">
        <v>17</v>
      </c>
      <c r="D857" t="s">
        <v>4082</v>
      </c>
      <c r="E857" t="s">
        <v>4084</v>
      </c>
      <c r="F857" t="s">
        <v>4076</v>
      </c>
    </row>
    <row r="858" spans="1:6" x14ac:dyDescent="0.25">
      <c r="A858">
        <v>1351</v>
      </c>
      <c r="B858" t="s">
        <v>4072</v>
      </c>
      <c r="C858">
        <v>42</v>
      </c>
      <c r="D858" t="s">
        <v>4082</v>
      </c>
      <c r="E858" t="s">
        <v>4083</v>
      </c>
      <c r="F858" t="s">
        <v>4079</v>
      </c>
    </row>
    <row r="859" spans="1:6" x14ac:dyDescent="0.25">
      <c r="A859">
        <v>1353</v>
      </c>
      <c r="B859" t="s">
        <v>4072</v>
      </c>
      <c r="C859">
        <v>5</v>
      </c>
      <c r="D859" t="s">
        <v>4087</v>
      </c>
      <c r="E859" t="s">
        <v>4088</v>
      </c>
      <c r="F859" t="s">
        <v>4075</v>
      </c>
    </row>
    <row r="860" spans="1:6" x14ac:dyDescent="0.25">
      <c r="A860">
        <v>1353</v>
      </c>
      <c r="B860" t="s">
        <v>4072</v>
      </c>
      <c r="C860">
        <v>15</v>
      </c>
      <c r="D860" t="s">
        <v>4080</v>
      </c>
      <c r="E860" t="s">
        <v>4081</v>
      </c>
      <c r="F860" t="s">
        <v>4076</v>
      </c>
    </row>
    <row r="861" spans="1:6" x14ac:dyDescent="0.25">
      <c r="A861">
        <v>1358</v>
      </c>
      <c r="B861" t="s">
        <v>4072</v>
      </c>
      <c r="C861">
        <v>5</v>
      </c>
      <c r="D861" t="s">
        <v>4087</v>
      </c>
      <c r="E861" t="s">
        <v>4088</v>
      </c>
      <c r="F861" t="s">
        <v>4075</v>
      </c>
    </row>
    <row r="862" spans="1:6" x14ac:dyDescent="0.25">
      <c r="A862">
        <v>1358</v>
      </c>
      <c r="B862" t="s">
        <v>4072</v>
      </c>
      <c r="C862">
        <v>15</v>
      </c>
      <c r="D862" t="s">
        <v>4080</v>
      </c>
      <c r="E862" t="s">
        <v>4081</v>
      </c>
      <c r="F862" t="s">
        <v>4076</v>
      </c>
    </row>
    <row r="863" spans="1:6" x14ac:dyDescent="0.25">
      <c r="A863">
        <v>1360</v>
      </c>
      <c r="B863" t="s">
        <v>4072</v>
      </c>
      <c r="C863">
        <v>4</v>
      </c>
      <c r="D863" t="s">
        <v>4077</v>
      </c>
      <c r="E863" t="s">
        <v>4078</v>
      </c>
      <c r="F863" t="s">
        <v>4075</v>
      </c>
    </row>
    <row r="864" spans="1:6" x14ac:dyDescent="0.25">
      <c r="A864">
        <v>1360</v>
      </c>
      <c r="B864" t="s">
        <v>4072</v>
      </c>
      <c r="C864">
        <v>16</v>
      </c>
      <c r="D864" t="s">
        <v>4077</v>
      </c>
      <c r="E864" t="s">
        <v>4078</v>
      </c>
      <c r="F864" t="s">
        <v>4076</v>
      </c>
    </row>
    <row r="865" spans="1:6" x14ac:dyDescent="0.25">
      <c r="A865">
        <v>1362</v>
      </c>
      <c r="B865" t="s">
        <v>4072</v>
      </c>
      <c r="C865">
        <v>4</v>
      </c>
      <c r="D865" t="s">
        <v>4077</v>
      </c>
      <c r="E865" t="s">
        <v>4078</v>
      </c>
      <c r="F865" t="s">
        <v>4075</v>
      </c>
    </row>
    <row r="866" spans="1:6" x14ac:dyDescent="0.25">
      <c r="A866">
        <v>1362</v>
      </c>
      <c r="B866" t="s">
        <v>4072</v>
      </c>
      <c r="C866">
        <v>16</v>
      </c>
      <c r="D866" t="s">
        <v>4077</v>
      </c>
      <c r="E866" t="s">
        <v>4078</v>
      </c>
      <c r="F866" t="s">
        <v>4076</v>
      </c>
    </row>
    <row r="867" spans="1:6" x14ac:dyDescent="0.25">
      <c r="A867">
        <v>1362</v>
      </c>
      <c r="B867" t="s">
        <v>4072</v>
      </c>
      <c r="C867">
        <v>44</v>
      </c>
      <c r="D867" t="s">
        <v>4077</v>
      </c>
      <c r="E867" t="s">
        <v>4078</v>
      </c>
      <c r="F867" t="s">
        <v>4079</v>
      </c>
    </row>
    <row r="868" spans="1:6" x14ac:dyDescent="0.25">
      <c r="A868">
        <v>1364</v>
      </c>
      <c r="B868" t="s">
        <v>4072</v>
      </c>
      <c r="C868">
        <v>2</v>
      </c>
      <c r="D868" t="s">
        <v>4082</v>
      </c>
      <c r="E868" t="s">
        <v>4083</v>
      </c>
      <c r="F868" t="s">
        <v>4075</v>
      </c>
    </row>
    <row r="869" spans="1:6" x14ac:dyDescent="0.25">
      <c r="A869">
        <v>1364</v>
      </c>
      <c r="B869" t="s">
        <v>4072</v>
      </c>
      <c r="C869">
        <v>17</v>
      </c>
      <c r="D869" t="s">
        <v>4082</v>
      </c>
      <c r="E869" t="s">
        <v>4084</v>
      </c>
      <c r="F869" t="s">
        <v>4076</v>
      </c>
    </row>
    <row r="870" spans="1:6" x14ac:dyDescent="0.25">
      <c r="A870">
        <v>1365</v>
      </c>
      <c r="B870" t="s">
        <v>4072</v>
      </c>
      <c r="C870">
        <v>2</v>
      </c>
      <c r="D870" t="s">
        <v>4082</v>
      </c>
      <c r="E870" t="s">
        <v>4083</v>
      </c>
      <c r="F870" t="s">
        <v>4075</v>
      </c>
    </row>
    <row r="871" spans="1:6" x14ac:dyDescent="0.25">
      <c r="A871">
        <v>1365</v>
      </c>
      <c r="B871" t="s">
        <v>4072</v>
      </c>
      <c r="C871">
        <v>17</v>
      </c>
      <c r="D871" t="s">
        <v>4082</v>
      </c>
      <c r="E871" t="s">
        <v>4084</v>
      </c>
      <c r="F871" t="s">
        <v>4076</v>
      </c>
    </row>
    <row r="872" spans="1:6" x14ac:dyDescent="0.25">
      <c r="A872">
        <v>1366</v>
      </c>
      <c r="B872" t="s">
        <v>4072</v>
      </c>
      <c r="C872">
        <v>5</v>
      </c>
      <c r="D872" t="s">
        <v>4087</v>
      </c>
      <c r="E872" t="s">
        <v>4088</v>
      </c>
      <c r="F872" t="s">
        <v>4075</v>
      </c>
    </row>
    <row r="873" spans="1:6" x14ac:dyDescent="0.25">
      <c r="A873">
        <v>1366</v>
      </c>
      <c r="B873" t="s">
        <v>4072</v>
      </c>
      <c r="C873">
        <v>15</v>
      </c>
      <c r="D873" t="s">
        <v>4080</v>
      </c>
      <c r="E873" t="s">
        <v>4081</v>
      </c>
      <c r="F873" t="s">
        <v>4076</v>
      </c>
    </row>
    <row r="874" spans="1:6" x14ac:dyDescent="0.25">
      <c r="A874">
        <v>1367</v>
      </c>
      <c r="B874" t="s">
        <v>4072</v>
      </c>
      <c r="C874">
        <v>5</v>
      </c>
      <c r="D874" t="s">
        <v>4087</v>
      </c>
      <c r="E874" t="s">
        <v>4088</v>
      </c>
      <c r="F874" t="s">
        <v>4075</v>
      </c>
    </row>
    <row r="875" spans="1:6" x14ac:dyDescent="0.25">
      <c r="A875">
        <v>1367</v>
      </c>
      <c r="B875" t="s">
        <v>4072</v>
      </c>
      <c r="C875">
        <v>15</v>
      </c>
      <c r="D875" t="s">
        <v>4080</v>
      </c>
      <c r="E875" t="s">
        <v>4081</v>
      </c>
      <c r="F875" t="s">
        <v>4076</v>
      </c>
    </row>
    <row r="876" spans="1:6" x14ac:dyDescent="0.25">
      <c r="A876">
        <v>1367</v>
      </c>
      <c r="B876" t="s">
        <v>4072</v>
      </c>
      <c r="C876">
        <v>40</v>
      </c>
      <c r="D876" t="s">
        <v>4080</v>
      </c>
      <c r="E876" t="s">
        <v>4081</v>
      </c>
      <c r="F876" t="s">
        <v>4079</v>
      </c>
    </row>
    <row r="877" spans="1:6" x14ac:dyDescent="0.25">
      <c r="A877">
        <v>1368</v>
      </c>
      <c r="B877" t="s">
        <v>4072</v>
      </c>
      <c r="C877">
        <v>5</v>
      </c>
      <c r="D877" t="s">
        <v>4087</v>
      </c>
      <c r="E877" t="s">
        <v>4088</v>
      </c>
      <c r="F877" t="s">
        <v>4075</v>
      </c>
    </row>
    <row r="878" spans="1:6" x14ac:dyDescent="0.25">
      <c r="A878">
        <v>1368</v>
      </c>
      <c r="B878" t="s">
        <v>4072</v>
      </c>
      <c r="C878">
        <v>15</v>
      </c>
      <c r="D878" t="s">
        <v>4080</v>
      </c>
      <c r="E878" t="s">
        <v>4081</v>
      </c>
      <c r="F878" t="s">
        <v>4076</v>
      </c>
    </row>
    <row r="879" spans="1:6" x14ac:dyDescent="0.25">
      <c r="A879">
        <v>1376</v>
      </c>
      <c r="B879" t="s">
        <v>4072</v>
      </c>
      <c r="C879">
        <v>5</v>
      </c>
      <c r="D879" t="s">
        <v>4087</v>
      </c>
      <c r="E879" t="s">
        <v>4088</v>
      </c>
      <c r="F879" t="s">
        <v>4075</v>
      </c>
    </row>
    <row r="880" spans="1:6" x14ac:dyDescent="0.25">
      <c r="A880">
        <v>1376</v>
      </c>
      <c r="B880" t="s">
        <v>4072</v>
      </c>
      <c r="C880">
        <v>15</v>
      </c>
      <c r="D880" t="s">
        <v>4080</v>
      </c>
      <c r="E880" t="s">
        <v>4081</v>
      </c>
      <c r="F880" t="s">
        <v>4076</v>
      </c>
    </row>
    <row r="881" spans="1:6" x14ac:dyDescent="0.25">
      <c r="A881">
        <v>1376</v>
      </c>
      <c r="B881" t="s">
        <v>4072</v>
      </c>
      <c r="C881">
        <v>40</v>
      </c>
      <c r="D881" t="s">
        <v>4080</v>
      </c>
      <c r="E881" t="s">
        <v>4081</v>
      </c>
      <c r="F881" t="s">
        <v>4079</v>
      </c>
    </row>
    <row r="882" spans="1:6" x14ac:dyDescent="0.25">
      <c r="A882">
        <v>1377</v>
      </c>
      <c r="B882" t="s">
        <v>4072</v>
      </c>
      <c r="C882">
        <v>5</v>
      </c>
      <c r="D882" t="s">
        <v>4087</v>
      </c>
      <c r="E882" t="s">
        <v>4088</v>
      </c>
      <c r="F882" t="s">
        <v>4075</v>
      </c>
    </row>
    <row r="883" spans="1:6" x14ac:dyDescent="0.25">
      <c r="A883">
        <v>1377</v>
      </c>
      <c r="B883" t="s">
        <v>4072</v>
      </c>
      <c r="C883">
        <v>15</v>
      </c>
      <c r="D883" t="s">
        <v>4080</v>
      </c>
      <c r="E883" t="s">
        <v>4081</v>
      </c>
      <c r="F883" t="s">
        <v>4076</v>
      </c>
    </row>
    <row r="884" spans="1:6" x14ac:dyDescent="0.25">
      <c r="A884">
        <v>1377</v>
      </c>
      <c r="B884" t="s">
        <v>4072</v>
      </c>
      <c r="C884">
        <v>40</v>
      </c>
      <c r="D884" t="s">
        <v>4080</v>
      </c>
      <c r="E884" t="s">
        <v>4081</v>
      </c>
      <c r="F884" t="s">
        <v>4079</v>
      </c>
    </row>
    <row r="885" spans="1:6" x14ac:dyDescent="0.25">
      <c r="A885">
        <v>1380</v>
      </c>
      <c r="B885" t="s">
        <v>4072</v>
      </c>
      <c r="C885">
        <v>6</v>
      </c>
      <c r="D885" t="s">
        <v>4073</v>
      </c>
      <c r="E885" t="s">
        <v>4074</v>
      </c>
      <c r="F885" t="s">
        <v>4075</v>
      </c>
    </row>
    <row r="886" spans="1:6" x14ac:dyDescent="0.25">
      <c r="A886">
        <v>1380</v>
      </c>
      <c r="B886" t="s">
        <v>4072</v>
      </c>
      <c r="C886">
        <v>19</v>
      </c>
      <c r="D886" t="s">
        <v>4073</v>
      </c>
      <c r="E886" t="s">
        <v>4074</v>
      </c>
      <c r="F886" t="s">
        <v>4076</v>
      </c>
    </row>
    <row r="887" spans="1:6" x14ac:dyDescent="0.25">
      <c r="A887">
        <v>1380</v>
      </c>
      <c r="B887" t="s">
        <v>4072</v>
      </c>
      <c r="C887">
        <v>39</v>
      </c>
      <c r="D887" t="s">
        <v>4073</v>
      </c>
      <c r="E887" t="s">
        <v>4074</v>
      </c>
      <c r="F887" t="s">
        <v>4079</v>
      </c>
    </row>
    <row r="888" spans="1:6" x14ac:dyDescent="0.25">
      <c r="A888">
        <v>1384</v>
      </c>
      <c r="B888" t="s">
        <v>4072</v>
      </c>
      <c r="C888">
        <v>4</v>
      </c>
      <c r="D888" t="s">
        <v>4077</v>
      </c>
      <c r="E888" t="s">
        <v>4078</v>
      </c>
      <c r="F888" t="s">
        <v>4075</v>
      </c>
    </row>
    <row r="889" spans="1:6" x14ac:dyDescent="0.25">
      <c r="A889">
        <v>1384</v>
      </c>
      <c r="B889" t="s">
        <v>4072</v>
      </c>
      <c r="C889">
        <v>16</v>
      </c>
      <c r="D889" t="s">
        <v>4077</v>
      </c>
      <c r="E889" t="s">
        <v>4078</v>
      </c>
      <c r="F889" t="s">
        <v>4076</v>
      </c>
    </row>
    <row r="890" spans="1:6" x14ac:dyDescent="0.25">
      <c r="A890">
        <v>1385</v>
      </c>
      <c r="B890" t="s">
        <v>4072</v>
      </c>
      <c r="C890">
        <v>5</v>
      </c>
      <c r="D890" t="s">
        <v>4087</v>
      </c>
      <c r="E890" t="s">
        <v>4088</v>
      </c>
      <c r="F890" t="s">
        <v>4075</v>
      </c>
    </row>
    <row r="891" spans="1:6" x14ac:dyDescent="0.25">
      <c r="A891">
        <v>1387</v>
      </c>
      <c r="B891" t="s">
        <v>4072</v>
      </c>
      <c r="C891">
        <v>3</v>
      </c>
      <c r="D891" t="s">
        <v>4085</v>
      </c>
      <c r="E891" t="s">
        <v>4086</v>
      </c>
      <c r="F891" t="s">
        <v>4075</v>
      </c>
    </row>
    <row r="892" spans="1:6" x14ac:dyDescent="0.25">
      <c r="A892">
        <v>1387</v>
      </c>
      <c r="B892" t="s">
        <v>4072</v>
      </c>
      <c r="C892">
        <v>15</v>
      </c>
      <c r="D892" t="s">
        <v>4080</v>
      </c>
      <c r="E892" t="s">
        <v>4081</v>
      </c>
      <c r="F892" t="s">
        <v>4076</v>
      </c>
    </row>
    <row r="893" spans="1:6" x14ac:dyDescent="0.25">
      <c r="A893">
        <v>1387</v>
      </c>
      <c r="B893" t="s">
        <v>4072</v>
      </c>
      <c r="C893">
        <v>40</v>
      </c>
      <c r="D893" t="s">
        <v>4080</v>
      </c>
      <c r="E893" t="s">
        <v>4081</v>
      </c>
      <c r="F893" t="s">
        <v>4079</v>
      </c>
    </row>
    <row r="894" spans="1:6" x14ac:dyDescent="0.25">
      <c r="A894">
        <v>1388</v>
      </c>
      <c r="B894" t="s">
        <v>4072</v>
      </c>
      <c r="C894">
        <v>6</v>
      </c>
      <c r="D894" t="s">
        <v>4073</v>
      </c>
      <c r="E894" t="s">
        <v>4074</v>
      </c>
      <c r="F894" t="s">
        <v>4075</v>
      </c>
    </row>
    <row r="895" spans="1:6" x14ac:dyDescent="0.25">
      <c r="A895">
        <v>1388</v>
      </c>
      <c r="B895" t="s">
        <v>4072</v>
      </c>
      <c r="C895">
        <v>19</v>
      </c>
      <c r="D895" t="s">
        <v>4073</v>
      </c>
      <c r="E895" t="s">
        <v>4074</v>
      </c>
      <c r="F895" t="s">
        <v>4076</v>
      </c>
    </row>
    <row r="896" spans="1:6" x14ac:dyDescent="0.25">
      <c r="A896">
        <v>1388</v>
      </c>
      <c r="B896" t="s">
        <v>4072</v>
      </c>
      <c r="C896">
        <v>39</v>
      </c>
      <c r="D896" t="s">
        <v>4073</v>
      </c>
      <c r="E896" t="s">
        <v>4074</v>
      </c>
      <c r="F896" t="s">
        <v>4079</v>
      </c>
    </row>
    <row r="897" spans="1:6" x14ac:dyDescent="0.25">
      <c r="A897">
        <v>1389</v>
      </c>
      <c r="B897" t="s">
        <v>4072</v>
      </c>
      <c r="C897">
        <v>2</v>
      </c>
      <c r="D897" t="s">
        <v>4082</v>
      </c>
      <c r="E897" t="s">
        <v>4083</v>
      </c>
      <c r="F897" t="s">
        <v>4075</v>
      </c>
    </row>
    <row r="898" spans="1:6" x14ac:dyDescent="0.25">
      <c r="A898">
        <v>1389</v>
      </c>
      <c r="B898" t="s">
        <v>4072</v>
      </c>
      <c r="C898">
        <v>17</v>
      </c>
      <c r="D898" t="s">
        <v>4082</v>
      </c>
      <c r="E898" t="s">
        <v>4084</v>
      </c>
      <c r="F898" t="s">
        <v>4076</v>
      </c>
    </row>
    <row r="899" spans="1:6" x14ac:dyDescent="0.25">
      <c r="A899">
        <v>1389</v>
      </c>
      <c r="B899" t="s">
        <v>4072</v>
      </c>
      <c r="C899">
        <v>42</v>
      </c>
      <c r="D899" t="s">
        <v>4082</v>
      </c>
      <c r="E899" t="s">
        <v>4083</v>
      </c>
      <c r="F899" t="s">
        <v>4079</v>
      </c>
    </row>
    <row r="900" spans="1:6" x14ac:dyDescent="0.25">
      <c r="A900">
        <v>1390</v>
      </c>
      <c r="B900" t="s">
        <v>4072</v>
      </c>
      <c r="C900">
        <v>1</v>
      </c>
      <c r="D900" t="s">
        <v>2761</v>
      </c>
      <c r="E900" t="s">
        <v>4089</v>
      </c>
      <c r="F900" t="s">
        <v>4075</v>
      </c>
    </row>
    <row r="901" spans="1:6" x14ac:dyDescent="0.25">
      <c r="A901">
        <v>1390</v>
      </c>
      <c r="B901" t="s">
        <v>4072</v>
      </c>
      <c r="C901">
        <v>38</v>
      </c>
      <c r="D901" t="s">
        <v>2761</v>
      </c>
      <c r="E901" t="s">
        <v>4089</v>
      </c>
      <c r="F901" t="s">
        <v>4076</v>
      </c>
    </row>
    <row r="902" spans="1:6" x14ac:dyDescent="0.25">
      <c r="A902">
        <v>1390</v>
      </c>
      <c r="B902" t="s">
        <v>4072</v>
      </c>
      <c r="C902">
        <v>43</v>
      </c>
      <c r="D902" t="s">
        <v>2761</v>
      </c>
      <c r="E902" t="s">
        <v>4089</v>
      </c>
      <c r="F902" t="s">
        <v>4079</v>
      </c>
    </row>
    <row r="903" spans="1:6" x14ac:dyDescent="0.25">
      <c r="A903">
        <v>1395</v>
      </c>
      <c r="B903" t="s">
        <v>4072</v>
      </c>
      <c r="C903">
        <v>2</v>
      </c>
      <c r="D903" t="s">
        <v>4082</v>
      </c>
      <c r="E903" t="s">
        <v>4083</v>
      </c>
      <c r="F903" t="s">
        <v>4075</v>
      </c>
    </row>
    <row r="904" spans="1:6" x14ac:dyDescent="0.25">
      <c r="A904">
        <v>1395</v>
      </c>
      <c r="B904" t="s">
        <v>4072</v>
      </c>
      <c r="C904">
        <v>17</v>
      </c>
      <c r="D904" t="s">
        <v>4082</v>
      </c>
      <c r="E904" t="s">
        <v>4084</v>
      </c>
      <c r="F904" t="s">
        <v>4076</v>
      </c>
    </row>
    <row r="905" spans="1:6" x14ac:dyDescent="0.25">
      <c r="A905">
        <v>1409</v>
      </c>
      <c r="B905" t="s">
        <v>4072</v>
      </c>
      <c r="C905">
        <v>5</v>
      </c>
      <c r="D905" t="s">
        <v>4087</v>
      </c>
      <c r="E905" t="s">
        <v>4088</v>
      </c>
      <c r="F905" t="s">
        <v>4075</v>
      </c>
    </row>
    <row r="906" spans="1:6" x14ac:dyDescent="0.25">
      <c r="A906">
        <v>1409</v>
      </c>
      <c r="B906" t="s">
        <v>4072</v>
      </c>
      <c r="C906">
        <v>15</v>
      </c>
      <c r="D906" t="s">
        <v>4080</v>
      </c>
      <c r="E906" t="s">
        <v>4081</v>
      </c>
      <c r="F906" t="s">
        <v>4076</v>
      </c>
    </row>
    <row r="907" spans="1:6" x14ac:dyDescent="0.25">
      <c r="A907">
        <v>1409</v>
      </c>
      <c r="B907" t="s">
        <v>4072</v>
      </c>
      <c r="C907">
        <v>40</v>
      </c>
      <c r="D907" t="s">
        <v>4080</v>
      </c>
      <c r="E907" t="s">
        <v>4081</v>
      </c>
      <c r="F907" t="s">
        <v>4079</v>
      </c>
    </row>
    <row r="908" spans="1:6" x14ac:dyDescent="0.25">
      <c r="A908">
        <v>1419</v>
      </c>
      <c r="B908" t="s">
        <v>4072</v>
      </c>
      <c r="C908">
        <v>5</v>
      </c>
      <c r="D908" t="s">
        <v>4087</v>
      </c>
      <c r="E908" t="s">
        <v>4088</v>
      </c>
      <c r="F908" t="s">
        <v>4075</v>
      </c>
    </row>
    <row r="909" spans="1:6" x14ac:dyDescent="0.25">
      <c r="A909">
        <v>1419</v>
      </c>
      <c r="B909" t="s">
        <v>4072</v>
      </c>
      <c r="C909">
        <v>15</v>
      </c>
      <c r="D909" t="s">
        <v>4080</v>
      </c>
      <c r="E909" t="s">
        <v>4081</v>
      </c>
      <c r="F909" t="s">
        <v>4076</v>
      </c>
    </row>
    <row r="910" spans="1:6" x14ac:dyDescent="0.25">
      <c r="A910">
        <v>1419</v>
      </c>
      <c r="B910" t="s">
        <v>4072</v>
      </c>
      <c r="C910">
        <v>40</v>
      </c>
      <c r="D910" t="s">
        <v>4080</v>
      </c>
      <c r="E910" t="s">
        <v>4081</v>
      </c>
      <c r="F910" t="s">
        <v>4079</v>
      </c>
    </row>
    <row r="911" spans="1:6" x14ac:dyDescent="0.25">
      <c r="A911">
        <v>1420</v>
      </c>
      <c r="B911" t="s">
        <v>4072</v>
      </c>
      <c r="C911">
        <v>5</v>
      </c>
      <c r="D911" t="s">
        <v>4087</v>
      </c>
      <c r="E911" t="s">
        <v>4088</v>
      </c>
      <c r="F911" t="s">
        <v>4075</v>
      </c>
    </row>
    <row r="912" spans="1:6" x14ac:dyDescent="0.25">
      <c r="A912">
        <v>1420</v>
      </c>
      <c r="B912" t="s">
        <v>4072</v>
      </c>
      <c r="C912">
        <v>15</v>
      </c>
      <c r="D912" t="s">
        <v>4080</v>
      </c>
      <c r="E912" t="s">
        <v>4081</v>
      </c>
      <c r="F912" t="s">
        <v>4076</v>
      </c>
    </row>
    <row r="913" spans="1:6" x14ac:dyDescent="0.25">
      <c r="A913">
        <v>1420</v>
      </c>
      <c r="B913" t="s">
        <v>4072</v>
      </c>
      <c r="C913">
        <v>40</v>
      </c>
      <c r="D913" t="s">
        <v>4080</v>
      </c>
      <c r="E913" t="s">
        <v>4081</v>
      </c>
      <c r="F913" t="s">
        <v>4079</v>
      </c>
    </row>
    <row r="914" spans="1:6" x14ac:dyDescent="0.25">
      <c r="A914">
        <v>1426</v>
      </c>
      <c r="B914" t="s">
        <v>4072</v>
      </c>
      <c r="C914">
        <v>5</v>
      </c>
      <c r="D914" t="s">
        <v>4087</v>
      </c>
      <c r="E914" t="s">
        <v>4088</v>
      </c>
      <c r="F914" t="s">
        <v>4075</v>
      </c>
    </row>
    <row r="915" spans="1:6" x14ac:dyDescent="0.25">
      <c r="A915">
        <v>1426</v>
      </c>
      <c r="B915" t="s">
        <v>4072</v>
      </c>
      <c r="C915">
        <v>15</v>
      </c>
      <c r="D915" t="s">
        <v>4080</v>
      </c>
      <c r="E915" t="s">
        <v>4081</v>
      </c>
      <c r="F915" t="s">
        <v>4076</v>
      </c>
    </row>
    <row r="916" spans="1:6" x14ac:dyDescent="0.25">
      <c r="A916">
        <v>1426</v>
      </c>
      <c r="B916" t="s">
        <v>4072</v>
      </c>
      <c r="C916">
        <v>40</v>
      </c>
      <c r="D916" t="s">
        <v>4080</v>
      </c>
      <c r="E916" t="s">
        <v>4081</v>
      </c>
      <c r="F916" t="s">
        <v>4079</v>
      </c>
    </row>
    <row r="917" spans="1:6" x14ac:dyDescent="0.25">
      <c r="A917">
        <v>1430</v>
      </c>
      <c r="B917" t="s">
        <v>4072</v>
      </c>
      <c r="C917">
        <v>2</v>
      </c>
      <c r="D917" t="s">
        <v>4082</v>
      </c>
      <c r="E917" t="s">
        <v>4083</v>
      </c>
      <c r="F917" t="s">
        <v>4075</v>
      </c>
    </row>
    <row r="918" spans="1:6" x14ac:dyDescent="0.25">
      <c r="A918">
        <v>1430</v>
      </c>
      <c r="B918" t="s">
        <v>4072</v>
      </c>
      <c r="C918">
        <v>17</v>
      </c>
      <c r="D918" t="s">
        <v>4082</v>
      </c>
      <c r="E918" t="s">
        <v>4084</v>
      </c>
      <c r="F918" t="s">
        <v>4076</v>
      </c>
    </row>
    <row r="919" spans="1:6" x14ac:dyDescent="0.25">
      <c r="A919">
        <v>1431</v>
      </c>
      <c r="B919" t="s">
        <v>4072</v>
      </c>
      <c r="C919">
        <v>1</v>
      </c>
      <c r="D919" t="s">
        <v>2761</v>
      </c>
      <c r="E919" t="s">
        <v>4089</v>
      </c>
      <c r="F919" t="s">
        <v>4075</v>
      </c>
    </row>
    <row r="920" spans="1:6" x14ac:dyDescent="0.25">
      <c r="A920">
        <v>1431</v>
      </c>
      <c r="B920" t="s">
        <v>4072</v>
      </c>
      <c r="C920">
        <v>38</v>
      </c>
      <c r="D920" t="s">
        <v>2761</v>
      </c>
      <c r="E920" t="s">
        <v>4089</v>
      </c>
      <c r="F920" t="s">
        <v>4076</v>
      </c>
    </row>
    <row r="921" spans="1:6" x14ac:dyDescent="0.25">
      <c r="A921">
        <v>1432</v>
      </c>
      <c r="B921" t="s">
        <v>4072</v>
      </c>
      <c r="C921">
        <v>5</v>
      </c>
      <c r="D921" t="s">
        <v>4087</v>
      </c>
      <c r="E921" t="s">
        <v>4088</v>
      </c>
      <c r="F921" t="s">
        <v>4075</v>
      </c>
    </row>
    <row r="922" spans="1:6" x14ac:dyDescent="0.25">
      <c r="A922">
        <v>1432</v>
      </c>
      <c r="B922" t="s">
        <v>4072</v>
      </c>
      <c r="C922">
        <v>15</v>
      </c>
      <c r="D922" t="s">
        <v>4080</v>
      </c>
      <c r="E922" t="s">
        <v>4081</v>
      </c>
      <c r="F922" t="s">
        <v>4076</v>
      </c>
    </row>
    <row r="923" spans="1:6" x14ac:dyDescent="0.25">
      <c r="A923">
        <v>1433</v>
      </c>
      <c r="B923" t="s">
        <v>4072</v>
      </c>
      <c r="C923">
        <v>4</v>
      </c>
      <c r="D923" t="s">
        <v>4077</v>
      </c>
      <c r="E923" t="s">
        <v>4078</v>
      </c>
      <c r="F923" t="s">
        <v>4075</v>
      </c>
    </row>
    <row r="924" spans="1:6" x14ac:dyDescent="0.25">
      <c r="A924">
        <v>1433</v>
      </c>
      <c r="B924" t="s">
        <v>4072</v>
      </c>
      <c r="C924">
        <v>16</v>
      </c>
      <c r="D924" t="s">
        <v>4077</v>
      </c>
      <c r="E924" t="s">
        <v>4078</v>
      </c>
      <c r="F924" t="s">
        <v>4076</v>
      </c>
    </row>
    <row r="925" spans="1:6" x14ac:dyDescent="0.25">
      <c r="A925">
        <v>1434</v>
      </c>
      <c r="B925" t="s">
        <v>4072</v>
      </c>
      <c r="C925">
        <v>5</v>
      </c>
      <c r="D925" t="s">
        <v>4087</v>
      </c>
      <c r="E925" t="s">
        <v>4088</v>
      </c>
      <c r="F925" t="s">
        <v>4075</v>
      </c>
    </row>
    <row r="926" spans="1:6" x14ac:dyDescent="0.25">
      <c r="A926">
        <v>1434</v>
      </c>
      <c r="B926" t="s">
        <v>4072</v>
      </c>
      <c r="C926">
        <v>15</v>
      </c>
      <c r="D926" t="s">
        <v>4080</v>
      </c>
      <c r="E926" t="s">
        <v>4081</v>
      </c>
      <c r="F926" t="s">
        <v>4076</v>
      </c>
    </row>
    <row r="927" spans="1:6" x14ac:dyDescent="0.25">
      <c r="A927">
        <v>1435</v>
      </c>
      <c r="B927" t="s">
        <v>4072</v>
      </c>
      <c r="C927">
        <v>5</v>
      </c>
      <c r="D927" t="s">
        <v>4087</v>
      </c>
      <c r="E927" t="s">
        <v>4088</v>
      </c>
      <c r="F927" t="s">
        <v>4075</v>
      </c>
    </row>
    <row r="928" spans="1:6" x14ac:dyDescent="0.25">
      <c r="A928">
        <v>1435</v>
      </c>
      <c r="B928" t="s">
        <v>4072</v>
      </c>
      <c r="C928">
        <v>15</v>
      </c>
      <c r="D928" t="s">
        <v>4080</v>
      </c>
      <c r="E928" t="s">
        <v>4081</v>
      </c>
      <c r="F928" t="s">
        <v>4076</v>
      </c>
    </row>
    <row r="929" spans="1:6" x14ac:dyDescent="0.25">
      <c r="A929">
        <v>1436</v>
      </c>
      <c r="B929" t="s">
        <v>4072</v>
      </c>
      <c r="C929">
        <v>3</v>
      </c>
      <c r="D929" t="s">
        <v>4085</v>
      </c>
      <c r="E929" t="s">
        <v>4086</v>
      </c>
      <c r="F929" t="s">
        <v>4075</v>
      </c>
    </row>
    <row r="930" spans="1:6" x14ac:dyDescent="0.25">
      <c r="A930">
        <v>1436</v>
      </c>
      <c r="B930" t="s">
        <v>4072</v>
      </c>
      <c r="C930">
        <v>15</v>
      </c>
      <c r="D930" t="s">
        <v>4080</v>
      </c>
      <c r="E930" t="s">
        <v>4081</v>
      </c>
      <c r="F930" t="s">
        <v>4076</v>
      </c>
    </row>
    <row r="931" spans="1:6" x14ac:dyDescent="0.25">
      <c r="A931">
        <v>1437</v>
      </c>
      <c r="B931" t="s">
        <v>4072</v>
      </c>
      <c r="C931">
        <v>5</v>
      </c>
      <c r="D931" t="s">
        <v>4087</v>
      </c>
      <c r="E931" t="s">
        <v>4088</v>
      </c>
      <c r="F931" t="s">
        <v>4075</v>
      </c>
    </row>
    <row r="932" spans="1:6" x14ac:dyDescent="0.25">
      <c r="A932">
        <v>1437</v>
      </c>
      <c r="B932" t="s">
        <v>4072</v>
      </c>
      <c r="C932">
        <v>14</v>
      </c>
      <c r="D932" t="s">
        <v>4090</v>
      </c>
      <c r="E932" t="s">
        <v>4091</v>
      </c>
      <c r="F932" t="s">
        <v>4076</v>
      </c>
    </row>
    <row r="933" spans="1:6" x14ac:dyDescent="0.25">
      <c r="A933">
        <v>1441</v>
      </c>
      <c r="B933" t="s">
        <v>4072</v>
      </c>
      <c r="C933">
        <v>6</v>
      </c>
      <c r="D933" t="s">
        <v>4073</v>
      </c>
      <c r="E933" t="s">
        <v>4074</v>
      </c>
      <c r="F933" t="s">
        <v>4075</v>
      </c>
    </row>
    <row r="934" spans="1:6" x14ac:dyDescent="0.25">
      <c r="A934">
        <v>1441</v>
      </c>
      <c r="B934" t="s">
        <v>4072</v>
      </c>
      <c r="C934">
        <v>19</v>
      </c>
      <c r="D934" t="s">
        <v>4073</v>
      </c>
      <c r="E934" t="s">
        <v>4074</v>
      </c>
      <c r="F934" t="s">
        <v>4076</v>
      </c>
    </row>
    <row r="935" spans="1:6" x14ac:dyDescent="0.25">
      <c r="A935">
        <v>1442</v>
      </c>
      <c r="B935" t="s">
        <v>4072</v>
      </c>
      <c r="C935">
        <v>19</v>
      </c>
      <c r="D935" t="s">
        <v>4073</v>
      </c>
      <c r="E935" t="s">
        <v>4074</v>
      </c>
      <c r="F935" t="s">
        <v>4076</v>
      </c>
    </row>
    <row r="936" spans="1:6" x14ac:dyDescent="0.25">
      <c r="A936">
        <v>1447</v>
      </c>
      <c r="B936" t="s">
        <v>4072</v>
      </c>
      <c r="C936">
        <v>2</v>
      </c>
      <c r="D936" t="s">
        <v>4082</v>
      </c>
      <c r="E936" t="s">
        <v>4083</v>
      </c>
      <c r="F936" t="s">
        <v>4075</v>
      </c>
    </row>
    <row r="937" spans="1:6" x14ac:dyDescent="0.25">
      <c r="A937">
        <v>1447</v>
      </c>
      <c r="B937" t="s">
        <v>4072</v>
      </c>
      <c r="C937">
        <v>17</v>
      </c>
      <c r="D937" t="s">
        <v>4082</v>
      </c>
      <c r="E937" t="s">
        <v>4084</v>
      </c>
      <c r="F937" t="s">
        <v>4076</v>
      </c>
    </row>
    <row r="938" spans="1:6" x14ac:dyDescent="0.25">
      <c r="A938">
        <v>1447</v>
      </c>
      <c r="B938" t="s">
        <v>4072</v>
      </c>
      <c r="C938">
        <v>42</v>
      </c>
      <c r="D938" t="s">
        <v>4082</v>
      </c>
      <c r="E938" t="s">
        <v>4083</v>
      </c>
      <c r="F938" t="s">
        <v>4079</v>
      </c>
    </row>
    <row r="939" spans="1:6" x14ac:dyDescent="0.25">
      <c r="A939">
        <v>1460</v>
      </c>
      <c r="B939" t="s">
        <v>4072</v>
      </c>
      <c r="C939">
        <v>5</v>
      </c>
      <c r="D939" t="s">
        <v>4087</v>
      </c>
      <c r="E939" t="s">
        <v>4088</v>
      </c>
      <c r="F939" t="s">
        <v>4075</v>
      </c>
    </row>
    <row r="940" spans="1:6" x14ac:dyDescent="0.25">
      <c r="A940">
        <v>1460</v>
      </c>
      <c r="B940" t="s">
        <v>4072</v>
      </c>
      <c r="C940">
        <v>15</v>
      </c>
      <c r="D940" t="s">
        <v>4080</v>
      </c>
      <c r="E940" t="s">
        <v>4081</v>
      </c>
      <c r="F940" t="s">
        <v>4076</v>
      </c>
    </row>
    <row r="941" spans="1:6" x14ac:dyDescent="0.25">
      <c r="A941">
        <v>1469</v>
      </c>
      <c r="B941" t="s">
        <v>4072</v>
      </c>
      <c r="C941">
        <v>5</v>
      </c>
      <c r="D941" t="s">
        <v>4087</v>
      </c>
      <c r="E941" t="s">
        <v>4088</v>
      </c>
      <c r="F941" t="s">
        <v>4075</v>
      </c>
    </row>
    <row r="942" spans="1:6" x14ac:dyDescent="0.25">
      <c r="A942">
        <v>1469</v>
      </c>
      <c r="B942" t="s">
        <v>4072</v>
      </c>
      <c r="C942">
        <v>15</v>
      </c>
      <c r="D942" t="s">
        <v>4080</v>
      </c>
      <c r="E942" t="s">
        <v>4081</v>
      </c>
      <c r="F942" t="s">
        <v>4076</v>
      </c>
    </row>
    <row r="943" spans="1:6" x14ac:dyDescent="0.25">
      <c r="A943">
        <v>1474</v>
      </c>
      <c r="B943" t="s">
        <v>4072</v>
      </c>
      <c r="C943">
        <v>5</v>
      </c>
      <c r="D943" t="s">
        <v>4087</v>
      </c>
      <c r="E943" t="s">
        <v>4088</v>
      </c>
      <c r="F943" t="s">
        <v>4075</v>
      </c>
    </row>
    <row r="944" spans="1:6" x14ac:dyDescent="0.25">
      <c r="A944">
        <v>1474</v>
      </c>
      <c r="B944" t="s">
        <v>4072</v>
      </c>
      <c r="C944">
        <v>15</v>
      </c>
      <c r="D944" t="s">
        <v>4080</v>
      </c>
      <c r="E944" t="s">
        <v>4081</v>
      </c>
      <c r="F944" t="s">
        <v>4076</v>
      </c>
    </row>
    <row r="945" spans="1:6" x14ac:dyDescent="0.25">
      <c r="A945">
        <v>1474</v>
      </c>
      <c r="B945" t="s">
        <v>4072</v>
      </c>
      <c r="C945">
        <v>40</v>
      </c>
      <c r="D945" t="s">
        <v>4080</v>
      </c>
      <c r="E945" t="s">
        <v>4081</v>
      </c>
      <c r="F945" t="s">
        <v>4079</v>
      </c>
    </row>
    <row r="946" spans="1:6" x14ac:dyDescent="0.25">
      <c r="A946">
        <v>1475</v>
      </c>
      <c r="B946" t="s">
        <v>4072</v>
      </c>
      <c r="C946">
        <v>6</v>
      </c>
      <c r="D946" t="s">
        <v>4073</v>
      </c>
      <c r="E946" t="s">
        <v>4074</v>
      </c>
      <c r="F946" t="s">
        <v>4075</v>
      </c>
    </row>
    <row r="947" spans="1:6" x14ac:dyDescent="0.25">
      <c r="A947">
        <v>1475</v>
      </c>
      <c r="B947" t="s">
        <v>4072</v>
      </c>
      <c r="C947">
        <v>19</v>
      </c>
      <c r="D947" t="s">
        <v>4073</v>
      </c>
      <c r="E947" t="s">
        <v>4074</v>
      </c>
      <c r="F947" t="s">
        <v>4076</v>
      </c>
    </row>
    <row r="948" spans="1:6" x14ac:dyDescent="0.25">
      <c r="A948">
        <v>1476</v>
      </c>
      <c r="B948" t="s">
        <v>4072</v>
      </c>
      <c r="C948">
        <v>6</v>
      </c>
      <c r="D948" t="s">
        <v>4073</v>
      </c>
      <c r="E948" t="s">
        <v>4074</v>
      </c>
      <c r="F948" t="s">
        <v>4075</v>
      </c>
    </row>
    <row r="949" spans="1:6" x14ac:dyDescent="0.25">
      <c r="A949">
        <v>1476</v>
      </c>
      <c r="B949" t="s">
        <v>4072</v>
      </c>
      <c r="C949">
        <v>19</v>
      </c>
      <c r="D949" t="s">
        <v>4073</v>
      </c>
      <c r="E949" t="s">
        <v>4074</v>
      </c>
      <c r="F949" t="s">
        <v>4076</v>
      </c>
    </row>
    <row r="950" spans="1:6" x14ac:dyDescent="0.25">
      <c r="A950">
        <v>1476</v>
      </c>
      <c r="B950" t="s">
        <v>4072</v>
      </c>
      <c r="C950">
        <v>39</v>
      </c>
      <c r="D950" t="s">
        <v>4073</v>
      </c>
      <c r="E950" t="s">
        <v>4074</v>
      </c>
      <c r="F950" t="s">
        <v>4079</v>
      </c>
    </row>
    <row r="951" spans="1:6" x14ac:dyDescent="0.25">
      <c r="A951">
        <v>1481</v>
      </c>
      <c r="B951" t="s">
        <v>4072</v>
      </c>
      <c r="C951">
        <v>4</v>
      </c>
      <c r="D951" t="s">
        <v>4077</v>
      </c>
      <c r="E951" t="s">
        <v>4078</v>
      </c>
      <c r="F951" t="s">
        <v>4075</v>
      </c>
    </row>
    <row r="952" spans="1:6" x14ac:dyDescent="0.25">
      <c r="A952">
        <v>1481</v>
      </c>
      <c r="B952" t="s">
        <v>4072</v>
      </c>
      <c r="C952">
        <v>16</v>
      </c>
      <c r="D952" t="s">
        <v>4077</v>
      </c>
      <c r="E952" t="s">
        <v>4078</v>
      </c>
      <c r="F952" t="s">
        <v>4076</v>
      </c>
    </row>
    <row r="953" spans="1:6" x14ac:dyDescent="0.25">
      <c r="A953">
        <v>1481</v>
      </c>
      <c r="B953" t="s">
        <v>4072</v>
      </c>
      <c r="C953">
        <v>44</v>
      </c>
      <c r="D953" t="s">
        <v>4077</v>
      </c>
      <c r="E953" t="s">
        <v>4078</v>
      </c>
      <c r="F953" t="s">
        <v>4079</v>
      </c>
    </row>
    <row r="954" spans="1:6" x14ac:dyDescent="0.25">
      <c r="A954">
        <v>1483</v>
      </c>
      <c r="B954" t="s">
        <v>4072</v>
      </c>
      <c r="C954">
        <v>5</v>
      </c>
      <c r="D954" t="s">
        <v>4087</v>
      </c>
      <c r="E954" t="s">
        <v>4088</v>
      </c>
      <c r="F954" t="s">
        <v>4075</v>
      </c>
    </row>
    <row r="955" spans="1:6" x14ac:dyDescent="0.25">
      <c r="A955">
        <v>1483</v>
      </c>
      <c r="B955" t="s">
        <v>4072</v>
      </c>
      <c r="C955">
        <v>15</v>
      </c>
      <c r="D955" t="s">
        <v>4080</v>
      </c>
      <c r="E955" t="s">
        <v>4081</v>
      </c>
      <c r="F955" t="s">
        <v>4076</v>
      </c>
    </row>
    <row r="956" spans="1:6" x14ac:dyDescent="0.25">
      <c r="A956">
        <v>1483</v>
      </c>
      <c r="B956" t="s">
        <v>4072</v>
      </c>
      <c r="C956">
        <v>40</v>
      </c>
      <c r="D956" t="s">
        <v>4080</v>
      </c>
      <c r="E956" t="s">
        <v>4081</v>
      </c>
      <c r="F956" t="s">
        <v>4079</v>
      </c>
    </row>
    <row r="957" spans="1:6" x14ac:dyDescent="0.25">
      <c r="A957">
        <v>1486</v>
      </c>
      <c r="B957" t="s">
        <v>4072</v>
      </c>
      <c r="C957">
        <v>4</v>
      </c>
      <c r="D957" t="s">
        <v>4077</v>
      </c>
      <c r="E957" t="s">
        <v>4078</v>
      </c>
      <c r="F957" t="s">
        <v>4075</v>
      </c>
    </row>
    <row r="958" spans="1:6" x14ac:dyDescent="0.25">
      <c r="A958">
        <v>1486</v>
      </c>
      <c r="B958" t="s">
        <v>4072</v>
      </c>
      <c r="C958">
        <v>5</v>
      </c>
      <c r="D958" t="s">
        <v>4087</v>
      </c>
      <c r="E958" t="s">
        <v>4088</v>
      </c>
      <c r="F958" t="s">
        <v>4075</v>
      </c>
    </row>
    <row r="959" spans="1:6" x14ac:dyDescent="0.25">
      <c r="A959">
        <v>1486</v>
      </c>
      <c r="B959" t="s">
        <v>4072</v>
      </c>
      <c r="C959">
        <v>15</v>
      </c>
      <c r="D959" t="s">
        <v>4080</v>
      </c>
      <c r="E959" t="s">
        <v>4081</v>
      </c>
      <c r="F959" t="s">
        <v>4076</v>
      </c>
    </row>
    <row r="960" spans="1:6" x14ac:dyDescent="0.25">
      <c r="A960">
        <v>1486</v>
      </c>
      <c r="B960" t="s">
        <v>4072</v>
      </c>
      <c r="C960">
        <v>16</v>
      </c>
      <c r="D960" t="s">
        <v>4077</v>
      </c>
      <c r="E960" t="s">
        <v>4078</v>
      </c>
      <c r="F960" t="s">
        <v>4076</v>
      </c>
    </row>
    <row r="961" spans="1:6" x14ac:dyDescent="0.25">
      <c r="A961">
        <v>1486</v>
      </c>
      <c r="B961" t="s">
        <v>4072</v>
      </c>
      <c r="C961">
        <v>40</v>
      </c>
      <c r="D961" t="s">
        <v>4080</v>
      </c>
      <c r="E961" t="s">
        <v>4081</v>
      </c>
      <c r="F961" t="s">
        <v>4079</v>
      </c>
    </row>
    <row r="962" spans="1:6" x14ac:dyDescent="0.25">
      <c r="A962">
        <v>1486</v>
      </c>
      <c r="B962" t="s">
        <v>4072</v>
      </c>
      <c r="C962">
        <v>44</v>
      </c>
      <c r="D962" t="s">
        <v>4077</v>
      </c>
      <c r="E962" t="s">
        <v>4078</v>
      </c>
      <c r="F962" t="s">
        <v>4079</v>
      </c>
    </row>
    <row r="963" spans="1:6" x14ac:dyDescent="0.25">
      <c r="A963">
        <v>1487</v>
      </c>
      <c r="B963" t="s">
        <v>4072</v>
      </c>
      <c r="C963">
        <v>6</v>
      </c>
      <c r="D963" t="s">
        <v>4073</v>
      </c>
      <c r="E963" t="s">
        <v>4074</v>
      </c>
      <c r="F963" t="s">
        <v>4075</v>
      </c>
    </row>
    <row r="964" spans="1:6" x14ac:dyDescent="0.25">
      <c r="A964">
        <v>1487</v>
      </c>
      <c r="B964" t="s">
        <v>4072</v>
      </c>
      <c r="C964">
        <v>19</v>
      </c>
      <c r="D964" t="s">
        <v>4073</v>
      </c>
      <c r="E964" t="s">
        <v>4074</v>
      </c>
      <c r="F964" t="s">
        <v>4076</v>
      </c>
    </row>
    <row r="965" spans="1:6" x14ac:dyDescent="0.25">
      <c r="A965">
        <v>1487</v>
      </c>
      <c r="B965" t="s">
        <v>4072</v>
      </c>
      <c r="C965">
        <v>39</v>
      </c>
      <c r="D965" t="s">
        <v>4073</v>
      </c>
      <c r="E965" t="s">
        <v>4074</v>
      </c>
      <c r="F965" t="s">
        <v>4079</v>
      </c>
    </row>
    <row r="966" spans="1:6" x14ac:dyDescent="0.25">
      <c r="A966">
        <v>1489</v>
      </c>
      <c r="B966" t="s">
        <v>4072</v>
      </c>
      <c r="C966">
        <v>10</v>
      </c>
      <c r="D966" t="s">
        <v>4095</v>
      </c>
      <c r="E966" t="s">
        <v>4096</v>
      </c>
      <c r="F966" t="s">
        <v>4075</v>
      </c>
    </row>
    <row r="967" spans="1:6" x14ac:dyDescent="0.25">
      <c r="A967">
        <v>1492</v>
      </c>
      <c r="B967" t="s">
        <v>4072</v>
      </c>
      <c r="C967">
        <v>12</v>
      </c>
      <c r="D967" t="s">
        <v>2159</v>
      </c>
      <c r="E967" t="s">
        <v>4094</v>
      </c>
      <c r="F967" t="s">
        <v>4076</v>
      </c>
    </row>
    <row r="968" spans="1:6" x14ac:dyDescent="0.25">
      <c r="A968">
        <v>1492</v>
      </c>
      <c r="B968" t="s">
        <v>4072</v>
      </c>
      <c r="C968">
        <v>13</v>
      </c>
      <c r="D968" t="s">
        <v>4097</v>
      </c>
      <c r="E968" t="s">
        <v>4098</v>
      </c>
      <c r="F968" t="s">
        <v>4076</v>
      </c>
    </row>
    <row r="969" spans="1:6" x14ac:dyDescent="0.25">
      <c r="A969">
        <v>1492</v>
      </c>
      <c r="B969" t="s">
        <v>4072</v>
      </c>
      <c r="C969">
        <v>14</v>
      </c>
      <c r="D969" t="s">
        <v>4090</v>
      </c>
      <c r="E969" t="s">
        <v>4091</v>
      </c>
      <c r="F969" t="s">
        <v>4076</v>
      </c>
    </row>
    <row r="970" spans="1:6" x14ac:dyDescent="0.25">
      <c r="A970">
        <v>1492</v>
      </c>
      <c r="B970" t="s">
        <v>4072</v>
      </c>
      <c r="C970">
        <v>15</v>
      </c>
      <c r="D970" t="s">
        <v>4080</v>
      </c>
      <c r="E970" t="s">
        <v>4081</v>
      </c>
      <c r="F970" t="s">
        <v>4076</v>
      </c>
    </row>
    <row r="971" spans="1:6" x14ac:dyDescent="0.25">
      <c r="A971">
        <v>1492</v>
      </c>
      <c r="B971" t="s">
        <v>4072</v>
      </c>
      <c r="C971">
        <v>16</v>
      </c>
      <c r="D971" t="s">
        <v>4077</v>
      </c>
      <c r="E971" t="s">
        <v>4078</v>
      </c>
      <c r="F971" t="s">
        <v>4076</v>
      </c>
    </row>
    <row r="972" spans="1:6" x14ac:dyDescent="0.25">
      <c r="A972">
        <v>1492</v>
      </c>
      <c r="B972" t="s">
        <v>4072</v>
      </c>
      <c r="C972">
        <v>40</v>
      </c>
      <c r="D972" t="s">
        <v>4080</v>
      </c>
      <c r="E972" t="s">
        <v>4081</v>
      </c>
      <c r="F972" t="s">
        <v>4079</v>
      </c>
    </row>
    <row r="973" spans="1:6" x14ac:dyDescent="0.25">
      <c r="A973">
        <v>1492</v>
      </c>
      <c r="B973" t="s">
        <v>4072</v>
      </c>
      <c r="C973">
        <v>41</v>
      </c>
      <c r="D973" t="s">
        <v>4090</v>
      </c>
      <c r="E973" t="s">
        <v>4091</v>
      </c>
      <c r="F973" t="s">
        <v>4079</v>
      </c>
    </row>
    <row r="974" spans="1:6" x14ac:dyDescent="0.25">
      <c r="A974">
        <v>1492</v>
      </c>
      <c r="B974" t="s">
        <v>4072</v>
      </c>
      <c r="C974">
        <v>44</v>
      </c>
      <c r="D974" t="s">
        <v>4077</v>
      </c>
      <c r="E974" t="s">
        <v>4078</v>
      </c>
      <c r="F974" t="s">
        <v>4079</v>
      </c>
    </row>
    <row r="975" spans="1:6" x14ac:dyDescent="0.25">
      <c r="A975">
        <v>1492</v>
      </c>
      <c r="B975" t="s">
        <v>4072</v>
      </c>
      <c r="C975">
        <v>45</v>
      </c>
      <c r="D975" t="s">
        <v>2159</v>
      </c>
      <c r="E975" t="s">
        <v>4094</v>
      </c>
      <c r="F975" t="s">
        <v>4079</v>
      </c>
    </row>
    <row r="976" spans="1:6" x14ac:dyDescent="0.25">
      <c r="A976">
        <v>1492</v>
      </c>
      <c r="B976" t="s">
        <v>4072</v>
      </c>
      <c r="C976">
        <v>46</v>
      </c>
      <c r="D976" t="s">
        <v>4099</v>
      </c>
      <c r="E976" t="s">
        <v>4100</v>
      </c>
      <c r="F976" t="s">
        <v>4079</v>
      </c>
    </row>
    <row r="977" spans="1:6" x14ac:dyDescent="0.25">
      <c r="A977">
        <v>1498</v>
      </c>
      <c r="B977" t="s">
        <v>4072</v>
      </c>
      <c r="C977">
        <v>19</v>
      </c>
      <c r="D977" t="s">
        <v>4073</v>
      </c>
      <c r="E977" t="s">
        <v>4074</v>
      </c>
      <c r="F977" t="s">
        <v>4076</v>
      </c>
    </row>
    <row r="978" spans="1:6" x14ac:dyDescent="0.25">
      <c r="A978">
        <v>1498</v>
      </c>
      <c r="B978" t="s">
        <v>4072</v>
      </c>
      <c r="C978">
        <v>39</v>
      </c>
      <c r="D978" t="s">
        <v>4073</v>
      </c>
      <c r="E978" t="s">
        <v>4074</v>
      </c>
      <c r="F978" t="s">
        <v>4079</v>
      </c>
    </row>
    <row r="979" spans="1:6" x14ac:dyDescent="0.25">
      <c r="A979">
        <v>1504</v>
      </c>
      <c r="B979" t="s">
        <v>4072</v>
      </c>
      <c r="C979">
        <v>2</v>
      </c>
      <c r="D979" t="s">
        <v>4082</v>
      </c>
      <c r="E979" t="s">
        <v>4083</v>
      </c>
      <c r="F979" t="s">
        <v>4075</v>
      </c>
    </row>
    <row r="980" spans="1:6" x14ac:dyDescent="0.25">
      <c r="A980">
        <v>1504</v>
      </c>
      <c r="B980" t="s">
        <v>4072</v>
      </c>
      <c r="C980">
        <v>17</v>
      </c>
      <c r="D980" t="s">
        <v>4082</v>
      </c>
      <c r="E980" t="s">
        <v>4084</v>
      </c>
      <c r="F980" t="s">
        <v>4076</v>
      </c>
    </row>
    <row r="981" spans="1:6" x14ac:dyDescent="0.25">
      <c r="A981">
        <v>1504</v>
      </c>
      <c r="B981" t="s">
        <v>4072</v>
      </c>
      <c r="C981">
        <v>42</v>
      </c>
      <c r="D981" t="s">
        <v>4082</v>
      </c>
      <c r="E981" t="s">
        <v>4083</v>
      </c>
      <c r="F981" t="s">
        <v>4079</v>
      </c>
    </row>
    <row r="982" spans="1:6" x14ac:dyDescent="0.25">
      <c r="A982">
        <v>1517</v>
      </c>
      <c r="B982" t="s">
        <v>4072</v>
      </c>
      <c r="C982">
        <v>19</v>
      </c>
      <c r="D982" t="s">
        <v>4073</v>
      </c>
      <c r="E982" t="s">
        <v>4074</v>
      </c>
      <c r="F982" t="s">
        <v>4076</v>
      </c>
    </row>
    <row r="983" spans="1:6" x14ac:dyDescent="0.25">
      <c r="A983">
        <v>1517</v>
      </c>
      <c r="B983" t="s">
        <v>4072</v>
      </c>
      <c r="C983">
        <v>39</v>
      </c>
      <c r="D983" t="s">
        <v>4073</v>
      </c>
      <c r="E983" t="s">
        <v>4074</v>
      </c>
      <c r="F983" t="s">
        <v>4079</v>
      </c>
    </row>
    <row r="984" spans="1:6" x14ac:dyDescent="0.25">
      <c r="A984">
        <v>1525</v>
      </c>
      <c r="B984" t="s">
        <v>4072</v>
      </c>
      <c r="C984">
        <v>14</v>
      </c>
      <c r="D984" t="s">
        <v>4090</v>
      </c>
      <c r="E984" t="s">
        <v>4091</v>
      </c>
      <c r="F984" t="s">
        <v>4076</v>
      </c>
    </row>
    <row r="985" spans="1:6" x14ac:dyDescent="0.25">
      <c r="A985">
        <v>1525</v>
      </c>
      <c r="B985" t="s">
        <v>4072</v>
      </c>
      <c r="C985">
        <v>41</v>
      </c>
      <c r="D985" t="s">
        <v>4090</v>
      </c>
      <c r="E985" t="s">
        <v>4091</v>
      </c>
      <c r="F985" t="s">
        <v>4079</v>
      </c>
    </row>
    <row r="986" spans="1:6" x14ac:dyDescent="0.25">
      <c r="A986">
        <v>1544</v>
      </c>
      <c r="B986" t="s">
        <v>4072</v>
      </c>
      <c r="C986">
        <v>19</v>
      </c>
      <c r="D986" t="s">
        <v>4073</v>
      </c>
      <c r="E986" t="s">
        <v>4074</v>
      </c>
      <c r="F986" t="s">
        <v>4076</v>
      </c>
    </row>
    <row r="987" spans="1:6" x14ac:dyDescent="0.25">
      <c r="A987">
        <v>1544</v>
      </c>
      <c r="B987" t="s">
        <v>4072</v>
      </c>
      <c r="C987">
        <v>39</v>
      </c>
      <c r="D987" t="s">
        <v>4073</v>
      </c>
      <c r="E987" t="s">
        <v>4074</v>
      </c>
      <c r="F987" t="s">
        <v>4079</v>
      </c>
    </row>
    <row r="988" spans="1:6" x14ac:dyDescent="0.25">
      <c r="A988">
        <v>1550</v>
      </c>
      <c r="B988" t="s">
        <v>4072</v>
      </c>
      <c r="C988">
        <v>19</v>
      </c>
      <c r="D988" t="s">
        <v>4073</v>
      </c>
      <c r="E988" t="s">
        <v>4074</v>
      </c>
      <c r="F988" t="s">
        <v>4076</v>
      </c>
    </row>
    <row r="989" spans="1:6" x14ac:dyDescent="0.25">
      <c r="A989">
        <v>1555</v>
      </c>
      <c r="B989" t="s">
        <v>4072</v>
      </c>
      <c r="C989">
        <v>3</v>
      </c>
      <c r="D989" t="s">
        <v>4085</v>
      </c>
      <c r="E989" t="s">
        <v>4086</v>
      </c>
      <c r="F989" t="s">
        <v>4075</v>
      </c>
    </row>
    <row r="990" spans="1:6" x14ac:dyDescent="0.25">
      <c r="A990">
        <v>1555</v>
      </c>
      <c r="B990" t="s">
        <v>4072</v>
      </c>
      <c r="C990">
        <v>15</v>
      </c>
      <c r="D990" t="s">
        <v>4080</v>
      </c>
      <c r="E990" t="s">
        <v>4081</v>
      </c>
      <c r="F990" t="s">
        <v>4076</v>
      </c>
    </row>
    <row r="991" spans="1:6" x14ac:dyDescent="0.25">
      <c r="A991">
        <v>1555</v>
      </c>
      <c r="B991" t="s">
        <v>4072</v>
      </c>
      <c r="C991">
        <v>40</v>
      </c>
      <c r="D991" t="s">
        <v>4080</v>
      </c>
      <c r="E991" t="s">
        <v>4081</v>
      </c>
      <c r="F991" t="s">
        <v>4079</v>
      </c>
    </row>
    <row r="992" spans="1:6" x14ac:dyDescent="0.25">
      <c r="A992">
        <v>1566</v>
      </c>
      <c r="B992" t="s">
        <v>4072</v>
      </c>
      <c r="C992">
        <v>1</v>
      </c>
      <c r="D992" t="s">
        <v>2761</v>
      </c>
      <c r="E992" t="s">
        <v>4089</v>
      </c>
      <c r="F992" t="s">
        <v>4075</v>
      </c>
    </row>
    <row r="993" spans="1:6" x14ac:dyDescent="0.25">
      <c r="A993">
        <v>1566</v>
      </c>
      <c r="B993" t="s">
        <v>4072</v>
      </c>
      <c r="C993">
        <v>38</v>
      </c>
      <c r="D993" t="s">
        <v>2761</v>
      </c>
      <c r="E993" t="s">
        <v>4089</v>
      </c>
      <c r="F993" t="s">
        <v>4076</v>
      </c>
    </row>
    <row r="994" spans="1:6" x14ac:dyDescent="0.25">
      <c r="A994">
        <v>1566</v>
      </c>
      <c r="B994" t="s">
        <v>4072</v>
      </c>
      <c r="C994">
        <v>43</v>
      </c>
      <c r="D994" t="s">
        <v>2761</v>
      </c>
      <c r="E994" t="s">
        <v>4089</v>
      </c>
      <c r="F994" t="s">
        <v>4079</v>
      </c>
    </row>
    <row r="995" spans="1:6" x14ac:dyDescent="0.25">
      <c r="A995">
        <v>1567</v>
      </c>
      <c r="B995" t="s">
        <v>4072</v>
      </c>
      <c r="C995">
        <v>2</v>
      </c>
      <c r="D995" t="s">
        <v>4082</v>
      </c>
      <c r="E995" t="s">
        <v>4083</v>
      </c>
      <c r="F995" t="s">
        <v>4075</v>
      </c>
    </row>
    <row r="996" spans="1:6" x14ac:dyDescent="0.25">
      <c r="A996">
        <v>1567</v>
      </c>
      <c r="B996" t="s">
        <v>4072</v>
      </c>
      <c r="C996">
        <v>3</v>
      </c>
      <c r="D996" t="s">
        <v>4085</v>
      </c>
      <c r="E996" t="s">
        <v>4086</v>
      </c>
      <c r="F996" t="s">
        <v>4075</v>
      </c>
    </row>
    <row r="997" spans="1:6" x14ac:dyDescent="0.25">
      <c r="A997">
        <v>1567</v>
      </c>
      <c r="B997" t="s">
        <v>4072</v>
      </c>
      <c r="C997">
        <v>4</v>
      </c>
      <c r="D997" t="s">
        <v>4077</v>
      </c>
      <c r="E997" t="s">
        <v>4078</v>
      </c>
      <c r="F997" t="s">
        <v>4075</v>
      </c>
    </row>
    <row r="998" spans="1:6" x14ac:dyDescent="0.25">
      <c r="A998">
        <v>1567</v>
      </c>
      <c r="B998" t="s">
        <v>4072</v>
      </c>
      <c r="C998">
        <v>5</v>
      </c>
      <c r="D998" t="s">
        <v>4087</v>
      </c>
      <c r="E998" t="s">
        <v>4088</v>
      </c>
      <c r="F998" t="s">
        <v>4075</v>
      </c>
    </row>
    <row r="999" spans="1:6" x14ac:dyDescent="0.25">
      <c r="A999">
        <v>1567</v>
      </c>
      <c r="B999" t="s">
        <v>4072</v>
      </c>
      <c r="C999">
        <v>15</v>
      </c>
      <c r="D999" t="s">
        <v>4080</v>
      </c>
      <c r="E999" t="s">
        <v>4081</v>
      </c>
      <c r="F999" t="s">
        <v>4076</v>
      </c>
    </row>
    <row r="1000" spans="1:6" x14ac:dyDescent="0.25">
      <c r="A1000">
        <v>1567</v>
      </c>
      <c r="B1000" t="s">
        <v>4072</v>
      </c>
      <c r="C1000">
        <v>16</v>
      </c>
      <c r="D1000" t="s">
        <v>4077</v>
      </c>
      <c r="E1000" t="s">
        <v>4078</v>
      </c>
      <c r="F1000" t="s">
        <v>4076</v>
      </c>
    </row>
    <row r="1001" spans="1:6" x14ac:dyDescent="0.25">
      <c r="A1001">
        <v>1567</v>
      </c>
      <c r="B1001" t="s">
        <v>4072</v>
      </c>
      <c r="C1001">
        <v>17</v>
      </c>
      <c r="D1001" t="s">
        <v>4082</v>
      </c>
      <c r="E1001" t="s">
        <v>4084</v>
      </c>
      <c r="F1001" t="s">
        <v>4076</v>
      </c>
    </row>
    <row r="1002" spans="1:6" x14ac:dyDescent="0.25">
      <c r="A1002">
        <v>1574</v>
      </c>
      <c r="B1002" t="s">
        <v>4072</v>
      </c>
      <c r="C1002">
        <v>19</v>
      </c>
      <c r="D1002" t="s">
        <v>4073</v>
      </c>
      <c r="E1002" t="s">
        <v>4074</v>
      </c>
      <c r="F1002" t="s">
        <v>4076</v>
      </c>
    </row>
    <row r="1003" spans="1:6" x14ac:dyDescent="0.25">
      <c r="A1003">
        <v>1577</v>
      </c>
      <c r="B1003" t="s">
        <v>4092</v>
      </c>
      <c r="C1003">
        <v>27</v>
      </c>
      <c r="D1003" t="s">
        <v>4104</v>
      </c>
      <c r="E1003" t="s">
        <v>4105</v>
      </c>
      <c r="F1003" t="s">
        <v>4076</v>
      </c>
    </row>
    <row r="1004" spans="1:6" x14ac:dyDescent="0.25">
      <c r="A1004">
        <v>1582</v>
      </c>
      <c r="B1004" t="s">
        <v>4072</v>
      </c>
      <c r="C1004">
        <v>2</v>
      </c>
      <c r="D1004" t="s">
        <v>4082</v>
      </c>
      <c r="E1004" t="s">
        <v>4083</v>
      </c>
      <c r="F1004" t="s">
        <v>4075</v>
      </c>
    </row>
    <row r="1005" spans="1:6" x14ac:dyDescent="0.25">
      <c r="A1005">
        <v>1582</v>
      </c>
      <c r="B1005" t="s">
        <v>4072</v>
      </c>
      <c r="C1005">
        <v>6</v>
      </c>
      <c r="D1005" t="s">
        <v>4073</v>
      </c>
      <c r="E1005" t="s">
        <v>4074</v>
      </c>
      <c r="F1005" t="s">
        <v>4075</v>
      </c>
    </row>
    <row r="1006" spans="1:6" x14ac:dyDescent="0.25">
      <c r="A1006">
        <v>1582</v>
      </c>
      <c r="B1006" t="s">
        <v>4072</v>
      </c>
      <c r="C1006">
        <v>17</v>
      </c>
      <c r="D1006" t="s">
        <v>4082</v>
      </c>
      <c r="E1006" t="s">
        <v>4084</v>
      </c>
      <c r="F1006" t="s">
        <v>4076</v>
      </c>
    </row>
    <row r="1007" spans="1:6" x14ac:dyDescent="0.25">
      <c r="A1007">
        <v>1582</v>
      </c>
      <c r="B1007" t="s">
        <v>4072</v>
      </c>
      <c r="C1007">
        <v>19</v>
      </c>
      <c r="D1007" t="s">
        <v>4073</v>
      </c>
      <c r="E1007" t="s">
        <v>4074</v>
      </c>
      <c r="F1007" t="s">
        <v>4076</v>
      </c>
    </row>
    <row r="1008" spans="1:6" x14ac:dyDescent="0.25">
      <c r="A1008">
        <v>1582</v>
      </c>
      <c r="B1008" t="s">
        <v>4072</v>
      </c>
      <c r="C1008">
        <v>39</v>
      </c>
      <c r="D1008" t="s">
        <v>4073</v>
      </c>
      <c r="E1008" t="s">
        <v>4074</v>
      </c>
      <c r="F1008" t="s">
        <v>4079</v>
      </c>
    </row>
    <row r="1009" spans="1:6" x14ac:dyDescent="0.25">
      <c r="A1009">
        <v>1582</v>
      </c>
      <c r="B1009" t="s">
        <v>4072</v>
      </c>
      <c r="C1009">
        <v>42</v>
      </c>
      <c r="D1009" t="s">
        <v>4082</v>
      </c>
      <c r="E1009" t="s">
        <v>4083</v>
      </c>
      <c r="F1009" t="s">
        <v>4079</v>
      </c>
    </row>
    <row r="1010" spans="1:6" x14ac:dyDescent="0.25">
      <c r="A1010">
        <v>1583</v>
      </c>
      <c r="B1010" t="s">
        <v>4072</v>
      </c>
      <c r="C1010">
        <v>5</v>
      </c>
      <c r="D1010" t="s">
        <v>4087</v>
      </c>
      <c r="E1010" t="s">
        <v>4088</v>
      </c>
      <c r="F1010" t="s">
        <v>4075</v>
      </c>
    </row>
    <row r="1011" spans="1:6" x14ac:dyDescent="0.25">
      <c r="A1011">
        <v>1583</v>
      </c>
      <c r="B1011" t="s">
        <v>4072</v>
      </c>
      <c r="C1011">
        <v>13</v>
      </c>
      <c r="D1011" t="s">
        <v>4097</v>
      </c>
      <c r="E1011" t="s">
        <v>4098</v>
      </c>
      <c r="F1011" t="s">
        <v>4076</v>
      </c>
    </row>
    <row r="1012" spans="1:6" x14ac:dyDescent="0.25">
      <c r="A1012">
        <v>1583</v>
      </c>
      <c r="B1012" t="s">
        <v>4072</v>
      </c>
      <c r="C1012">
        <v>46</v>
      </c>
      <c r="D1012" t="s">
        <v>4099</v>
      </c>
      <c r="E1012" t="s">
        <v>4100</v>
      </c>
      <c r="F1012" t="s">
        <v>4079</v>
      </c>
    </row>
    <row r="1013" spans="1:6" x14ac:dyDescent="0.25">
      <c r="A1013">
        <v>1584</v>
      </c>
      <c r="B1013" t="s">
        <v>4072</v>
      </c>
      <c r="C1013">
        <v>5</v>
      </c>
      <c r="D1013" t="s">
        <v>4087</v>
      </c>
      <c r="E1013" t="s">
        <v>4088</v>
      </c>
      <c r="F1013" t="s">
        <v>4075</v>
      </c>
    </row>
    <row r="1014" spans="1:6" x14ac:dyDescent="0.25">
      <c r="A1014">
        <v>1584</v>
      </c>
      <c r="B1014" t="s">
        <v>4072</v>
      </c>
      <c r="C1014">
        <v>15</v>
      </c>
      <c r="D1014" t="s">
        <v>4080</v>
      </c>
      <c r="E1014" t="s">
        <v>4081</v>
      </c>
      <c r="F1014" t="s">
        <v>4076</v>
      </c>
    </row>
    <row r="1015" spans="1:6" x14ac:dyDescent="0.25">
      <c r="A1015">
        <v>1586</v>
      </c>
      <c r="B1015" t="s">
        <v>4072</v>
      </c>
      <c r="C1015">
        <v>6</v>
      </c>
      <c r="D1015" t="s">
        <v>4073</v>
      </c>
      <c r="E1015" t="s">
        <v>4074</v>
      </c>
      <c r="F1015" t="s">
        <v>4075</v>
      </c>
    </row>
    <row r="1016" spans="1:6" x14ac:dyDescent="0.25">
      <c r="A1016">
        <v>1586</v>
      </c>
      <c r="B1016" t="s">
        <v>4072</v>
      </c>
      <c r="C1016">
        <v>19</v>
      </c>
      <c r="D1016" t="s">
        <v>4073</v>
      </c>
      <c r="E1016" t="s">
        <v>4074</v>
      </c>
      <c r="F1016" t="s">
        <v>4076</v>
      </c>
    </row>
    <row r="1017" spans="1:6" x14ac:dyDescent="0.25">
      <c r="A1017">
        <v>1587</v>
      </c>
      <c r="B1017" t="s">
        <v>4072</v>
      </c>
      <c r="C1017">
        <v>5</v>
      </c>
      <c r="D1017" t="s">
        <v>4087</v>
      </c>
      <c r="E1017" t="s">
        <v>4088</v>
      </c>
      <c r="F1017" t="s">
        <v>4075</v>
      </c>
    </row>
    <row r="1018" spans="1:6" x14ac:dyDescent="0.25">
      <c r="A1018">
        <v>1588</v>
      </c>
      <c r="B1018" t="s">
        <v>4072</v>
      </c>
      <c r="C1018">
        <v>6</v>
      </c>
      <c r="D1018" t="s">
        <v>4073</v>
      </c>
      <c r="E1018" t="s">
        <v>4074</v>
      </c>
      <c r="F1018" t="s">
        <v>4075</v>
      </c>
    </row>
    <row r="1019" spans="1:6" x14ac:dyDescent="0.25">
      <c r="A1019">
        <v>1588</v>
      </c>
      <c r="B1019" t="s">
        <v>4072</v>
      </c>
      <c r="C1019">
        <v>19</v>
      </c>
      <c r="D1019" t="s">
        <v>4073</v>
      </c>
      <c r="E1019" t="s">
        <v>4074</v>
      </c>
      <c r="F1019" t="s">
        <v>4076</v>
      </c>
    </row>
    <row r="1020" spans="1:6" x14ac:dyDescent="0.25">
      <c r="A1020">
        <v>1588</v>
      </c>
      <c r="B1020" t="s">
        <v>4072</v>
      </c>
      <c r="C1020">
        <v>39</v>
      </c>
      <c r="D1020" t="s">
        <v>4073</v>
      </c>
      <c r="E1020" t="s">
        <v>4074</v>
      </c>
      <c r="F1020" t="s">
        <v>4079</v>
      </c>
    </row>
    <row r="1021" spans="1:6" x14ac:dyDescent="0.25">
      <c r="A1021">
        <v>1617</v>
      </c>
      <c r="B1021" t="s">
        <v>4072</v>
      </c>
      <c r="C1021">
        <v>3</v>
      </c>
      <c r="D1021" t="s">
        <v>4085</v>
      </c>
      <c r="E1021" t="s">
        <v>4086</v>
      </c>
      <c r="F1021" t="s">
        <v>4075</v>
      </c>
    </row>
    <row r="1022" spans="1:6" x14ac:dyDescent="0.25">
      <c r="A1022">
        <v>1617</v>
      </c>
      <c r="B1022" t="s">
        <v>4072</v>
      </c>
      <c r="C1022">
        <v>5</v>
      </c>
      <c r="D1022" t="s">
        <v>4087</v>
      </c>
      <c r="E1022" t="s">
        <v>4088</v>
      </c>
      <c r="F1022" t="s">
        <v>4075</v>
      </c>
    </row>
    <row r="1023" spans="1:6" x14ac:dyDescent="0.25">
      <c r="A1023">
        <v>1617</v>
      </c>
      <c r="B1023" t="s">
        <v>4072</v>
      </c>
      <c r="C1023">
        <v>15</v>
      </c>
      <c r="D1023" t="s">
        <v>4080</v>
      </c>
      <c r="E1023" t="s">
        <v>4081</v>
      </c>
      <c r="F1023" t="s">
        <v>4076</v>
      </c>
    </row>
    <row r="1024" spans="1:6" x14ac:dyDescent="0.25">
      <c r="A1024">
        <v>1618</v>
      </c>
      <c r="B1024" t="s">
        <v>4072</v>
      </c>
      <c r="C1024">
        <v>3</v>
      </c>
      <c r="D1024" t="s">
        <v>4085</v>
      </c>
      <c r="E1024" t="s">
        <v>4086</v>
      </c>
      <c r="F1024" t="s">
        <v>4075</v>
      </c>
    </row>
    <row r="1025" spans="1:6" x14ac:dyDescent="0.25">
      <c r="A1025">
        <v>1618</v>
      </c>
      <c r="B1025" t="s">
        <v>4072</v>
      </c>
      <c r="C1025">
        <v>5</v>
      </c>
      <c r="D1025" t="s">
        <v>4087</v>
      </c>
      <c r="E1025" t="s">
        <v>4088</v>
      </c>
      <c r="F1025" t="s">
        <v>4075</v>
      </c>
    </row>
    <row r="1026" spans="1:6" x14ac:dyDescent="0.25">
      <c r="A1026">
        <v>1618</v>
      </c>
      <c r="B1026" t="s">
        <v>4072</v>
      </c>
      <c r="C1026">
        <v>15</v>
      </c>
      <c r="D1026" t="s">
        <v>4080</v>
      </c>
      <c r="E1026" t="s">
        <v>4081</v>
      </c>
      <c r="F1026" t="s">
        <v>4076</v>
      </c>
    </row>
    <row r="1027" spans="1:6" x14ac:dyDescent="0.25">
      <c r="A1027">
        <v>1620</v>
      </c>
      <c r="B1027" t="s">
        <v>4072</v>
      </c>
      <c r="C1027">
        <v>6</v>
      </c>
      <c r="D1027" t="s">
        <v>4073</v>
      </c>
      <c r="E1027" t="s">
        <v>4074</v>
      </c>
      <c r="F1027" t="s">
        <v>4075</v>
      </c>
    </row>
    <row r="1028" spans="1:6" x14ac:dyDescent="0.25">
      <c r="A1028">
        <v>1620</v>
      </c>
      <c r="B1028" t="s">
        <v>4072</v>
      </c>
      <c r="C1028">
        <v>19</v>
      </c>
      <c r="D1028" t="s">
        <v>4073</v>
      </c>
      <c r="E1028" t="s">
        <v>4074</v>
      </c>
      <c r="F1028" t="s">
        <v>4076</v>
      </c>
    </row>
    <row r="1029" spans="1:6" x14ac:dyDescent="0.25">
      <c r="A1029">
        <v>1623</v>
      </c>
      <c r="B1029" t="s">
        <v>4072</v>
      </c>
      <c r="C1029">
        <v>6</v>
      </c>
      <c r="D1029" t="s">
        <v>4073</v>
      </c>
      <c r="E1029" t="s">
        <v>4074</v>
      </c>
      <c r="F1029" t="s">
        <v>4075</v>
      </c>
    </row>
    <row r="1030" spans="1:6" x14ac:dyDescent="0.25">
      <c r="A1030">
        <v>1624</v>
      </c>
      <c r="B1030" t="s">
        <v>4072</v>
      </c>
      <c r="C1030">
        <v>4</v>
      </c>
      <c r="D1030" t="s">
        <v>4077</v>
      </c>
      <c r="E1030" t="s">
        <v>4078</v>
      </c>
      <c r="F1030" t="s">
        <v>4075</v>
      </c>
    </row>
    <row r="1031" spans="1:6" x14ac:dyDescent="0.25">
      <c r="A1031">
        <v>1624</v>
      </c>
      <c r="B1031" t="s">
        <v>4072</v>
      </c>
      <c r="C1031">
        <v>16</v>
      </c>
      <c r="D1031" t="s">
        <v>4077</v>
      </c>
      <c r="E1031" t="s">
        <v>4078</v>
      </c>
      <c r="F1031" t="s">
        <v>4076</v>
      </c>
    </row>
    <row r="1032" spans="1:6" x14ac:dyDescent="0.25">
      <c r="A1032">
        <v>1625</v>
      </c>
      <c r="B1032" t="s">
        <v>4072</v>
      </c>
      <c r="C1032">
        <v>5</v>
      </c>
      <c r="D1032" t="s">
        <v>4087</v>
      </c>
      <c r="E1032" t="s">
        <v>4088</v>
      </c>
      <c r="F1032" t="s">
        <v>4075</v>
      </c>
    </row>
    <row r="1033" spans="1:6" x14ac:dyDescent="0.25">
      <c r="A1033">
        <v>1625</v>
      </c>
      <c r="B1033" t="s">
        <v>4072</v>
      </c>
      <c r="C1033">
        <v>15</v>
      </c>
      <c r="D1033" t="s">
        <v>4080</v>
      </c>
      <c r="E1033" t="s">
        <v>4081</v>
      </c>
      <c r="F1033" t="s">
        <v>4076</v>
      </c>
    </row>
    <row r="1034" spans="1:6" x14ac:dyDescent="0.25">
      <c r="A1034">
        <v>1625</v>
      </c>
      <c r="B1034" t="s">
        <v>4072</v>
      </c>
      <c r="C1034">
        <v>40</v>
      </c>
      <c r="D1034" t="s">
        <v>4080</v>
      </c>
      <c r="E1034" t="s">
        <v>4081</v>
      </c>
      <c r="F1034" t="s">
        <v>4079</v>
      </c>
    </row>
    <row r="1035" spans="1:6" x14ac:dyDescent="0.25">
      <c r="A1035">
        <v>1626</v>
      </c>
      <c r="B1035" t="s">
        <v>4072</v>
      </c>
      <c r="C1035">
        <v>4</v>
      </c>
      <c r="D1035" t="s">
        <v>4077</v>
      </c>
      <c r="E1035" t="s">
        <v>4078</v>
      </c>
      <c r="F1035" t="s">
        <v>4075</v>
      </c>
    </row>
    <row r="1036" spans="1:6" x14ac:dyDescent="0.25">
      <c r="A1036">
        <v>1626</v>
      </c>
      <c r="B1036" t="s">
        <v>4072</v>
      </c>
      <c r="C1036">
        <v>16</v>
      </c>
      <c r="D1036" t="s">
        <v>4077</v>
      </c>
      <c r="E1036" t="s">
        <v>4078</v>
      </c>
      <c r="F1036" t="s">
        <v>4076</v>
      </c>
    </row>
    <row r="1037" spans="1:6" x14ac:dyDescent="0.25">
      <c r="A1037">
        <v>1626</v>
      </c>
      <c r="B1037" t="s">
        <v>4072</v>
      </c>
      <c r="C1037">
        <v>44</v>
      </c>
      <c r="D1037" t="s">
        <v>4077</v>
      </c>
      <c r="E1037" t="s">
        <v>4078</v>
      </c>
      <c r="F1037" t="s">
        <v>4079</v>
      </c>
    </row>
    <row r="1038" spans="1:6" x14ac:dyDescent="0.25">
      <c r="A1038">
        <v>1631</v>
      </c>
      <c r="B1038" t="s">
        <v>4072</v>
      </c>
      <c r="C1038">
        <v>2</v>
      </c>
      <c r="D1038" t="s">
        <v>4082</v>
      </c>
      <c r="E1038" t="s">
        <v>4083</v>
      </c>
      <c r="F1038" t="s">
        <v>4075</v>
      </c>
    </row>
    <row r="1039" spans="1:6" x14ac:dyDescent="0.25">
      <c r="A1039">
        <v>1631</v>
      </c>
      <c r="B1039" t="s">
        <v>4072</v>
      </c>
      <c r="C1039">
        <v>17</v>
      </c>
      <c r="D1039" t="s">
        <v>4082</v>
      </c>
      <c r="E1039" t="s">
        <v>4084</v>
      </c>
      <c r="F1039" t="s">
        <v>4076</v>
      </c>
    </row>
    <row r="1040" spans="1:6" x14ac:dyDescent="0.25">
      <c r="A1040">
        <v>1631</v>
      </c>
      <c r="B1040" t="s">
        <v>4072</v>
      </c>
      <c r="C1040">
        <v>42</v>
      </c>
      <c r="D1040" t="s">
        <v>4082</v>
      </c>
      <c r="E1040" t="s">
        <v>4083</v>
      </c>
      <c r="F1040" t="s">
        <v>4079</v>
      </c>
    </row>
    <row r="1041" spans="1:6" x14ac:dyDescent="0.25">
      <c r="A1041">
        <v>1632</v>
      </c>
      <c r="B1041" t="s">
        <v>4072</v>
      </c>
      <c r="C1041">
        <v>5</v>
      </c>
      <c r="D1041" t="s">
        <v>4087</v>
      </c>
      <c r="E1041" t="s">
        <v>4088</v>
      </c>
      <c r="F1041" t="s">
        <v>4075</v>
      </c>
    </row>
    <row r="1042" spans="1:6" x14ac:dyDescent="0.25">
      <c r="A1042">
        <v>1632</v>
      </c>
      <c r="B1042" t="s">
        <v>4072</v>
      </c>
      <c r="C1042">
        <v>15</v>
      </c>
      <c r="D1042" t="s">
        <v>4080</v>
      </c>
      <c r="E1042" t="s">
        <v>4081</v>
      </c>
      <c r="F1042" t="s">
        <v>4076</v>
      </c>
    </row>
    <row r="1043" spans="1:6" x14ac:dyDescent="0.25">
      <c r="A1043">
        <v>1632</v>
      </c>
      <c r="B1043" t="s">
        <v>4072</v>
      </c>
      <c r="C1043">
        <v>40</v>
      </c>
      <c r="D1043" t="s">
        <v>4080</v>
      </c>
      <c r="E1043" t="s">
        <v>4081</v>
      </c>
      <c r="F1043" t="s">
        <v>4079</v>
      </c>
    </row>
    <row r="1044" spans="1:6" x14ac:dyDescent="0.25">
      <c r="A1044">
        <v>1635</v>
      </c>
      <c r="B1044" t="s">
        <v>4072</v>
      </c>
      <c r="C1044">
        <v>19</v>
      </c>
      <c r="D1044" t="s">
        <v>4073</v>
      </c>
      <c r="E1044" t="s">
        <v>4074</v>
      </c>
      <c r="F1044" t="s">
        <v>4076</v>
      </c>
    </row>
    <row r="1045" spans="1:6" x14ac:dyDescent="0.25">
      <c r="A1045">
        <v>1635</v>
      </c>
      <c r="B1045" t="s">
        <v>4072</v>
      </c>
      <c r="C1045">
        <v>39</v>
      </c>
      <c r="D1045" t="s">
        <v>4073</v>
      </c>
      <c r="E1045" t="s">
        <v>4074</v>
      </c>
      <c r="F1045" t="s">
        <v>4079</v>
      </c>
    </row>
    <row r="1046" spans="1:6" x14ac:dyDescent="0.25">
      <c r="A1046">
        <v>1636</v>
      </c>
      <c r="B1046" t="s">
        <v>4092</v>
      </c>
      <c r="C1046">
        <v>32</v>
      </c>
      <c r="D1046" t="s">
        <v>4106</v>
      </c>
      <c r="E1046" t="s">
        <v>4107</v>
      </c>
      <c r="F1046" t="s">
        <v>4076</v>
      </c>
    </row>
    <row r="1047" spans="1:6" x14ac:dyDescent="0.25">
      <c r="A1047">
        <v>1636</v>
      </c>
      <c r="B1047" t="s">
        <v>4092</v>
      </c>
      <c r="C1047">
        <v>52</v>
      </c>
      <c r="D1047" t="s">
        <v>4106</v>
      </c>
      <c r="E1047" t="s">
        <v>4107</v>
      </c>
      <c r="F1047" t="s">
        <v>4079</v>
      </c>
    </row>
    <row r="1048" spans="1:6" x14ac:dyDescent="0.25">
      <c r="A1048">
        <v>1637</v>
      </c>
      <c r="B1048" t="s">
        <v>4072</v>
      </c>
      <c r="C1048">
        <v>6</v>
      </c>
      <c r="D1048" t="s">
        <v>4073</v>
      </c>
      <c r="E1048" t="s">
        <v>4074</v>
      </c>
      <c r="F1048" t="s">
        <v>4075</v>
      </c>
    </row>
    <row r="1049" spans="1:6" x14ac:dyDescent="0.25">
      <c r="A1049">
        <v>1638</v>
      </c>
      <c r="B1049" t="s">
        <v>4072</v>
      </c>
      <c r="C1049">
        <v>1</v>
      </c>
      <c r="D1049" t="s">
        <v>2761</v>
      </c>
      <c r="E1049" t="s">
        <v>4089</v>
      </c>
      <c r="F1049" t="s">
        <v>4075</v>
      </c>
    </row>
    <row r="1050" spans="1:6" x14ac:dyDescent="0.25">
      <c r="A1050">
        <v>1639</v>
      </c>
      <c r="B1050" t="s">
        <v>4072</v>
      </c>
      <c r="C1050">
        <v>2</v>
      </c>
      <c r="D1050" t="s">
        <v>4082</v>
      </c>
      <c r="E1050" t="s">
        <v>4083</v>
      </c>
      <c r="F1050" t="s">
        <v>4075</v>
      </c>
    </row>
    <row r="1051" spans="1:6" x14ac:dyDescent="0.25">
      <c r="A1051">
        <v>1639</v>
      </c>
      <c r="B1051" t="s">
        <v>4072</v>
      </c>
      <c r="C1051">
        <v>17</v>
      </c>
      <c r="D1051" t="s">
        <v>4082</v>
      </c>
      <c r="E1051" t="s">
        <v>4084</v>
      </c>
      <c r="F1051" t="s">
        <v>4076</v>
      </c>
    </row>
    <row r="1052" spans="1:6" x14ac:dyDescent="0.25">
      <c r="A1052">
        <v>1639</v>
      </c>
      <c r="B1052" t="s">
        <v>4072</v>
      </c>
      <c r="C1052">
        <v>42</v>
      </c>
      <c r="D1052" t="s">
        <v>4082</v>
      </c>
      <c r="E1052" t="s">
        <v>4083</v>
      </c>
      <c r="F1052" t="s">
        <v>4079</v>
      </c>
    </row>
    <row r="1053" spans="1:6" x14ac:dyDescent="0.25">
      <c r="A1053">
        <v>1640</v>
      </c>
      <c r="B1053" t="s">
        <v>4072</v>
      </c>
      <c r="C1053">
        <v>10</v>
      </c>
      <c r="D1053" t="s">
        <v>4095</v>
      </c>
      <c r="E1053" t="s">
        <v>4096</v>
      </c>
      <c r="F1053" t="s">
        <v>4075</v>
      </c>
    </row>
    <row r="1054" spans="1:6" x14ac:dyDescent="0.25">
      <c r="A1054">
        <v>1641</v>
      </c>
      <c r="B1054" t="s">
        <v>4072</v>
      </c>
      <c r="C1054">
        <v>5</v>
      </c>
      <c r="D1054" t="s">
        <v>4087</v>
      </c>
      <c r="E1054" t="s">
        <v>4088</v>
      </c>
      <c r="F1054" t="s">
        <v>4075</v>
      </c>
    </row>
    <row r="1055" spans="1:6" x14ac:dyDescent="0.25">
      <c r="A1055">
        <v>1641</v>
      </c>
      <c r="B1055" t="s">
        <v>4072</v>
      </c>
      <c r="C1055">
        <v>15</v>
      </c>
      <c r="D1055" t="s">
        <v>4080</v>
      </c>
      <c r="E1055" t="s">
        <v>4081</v>
      </c>
      <c r="F1055" t="s">
        <v>4076</v>
      </c>
    </row>
    <row r="1056" spans="1:6" x14ac:dyDescent="0.25">
      <c r="A1056">
        <v>1641</v>
      </c>
      <c r="B1056" t="s">
        <v>4072</v>
      </c>
      <c r="C1056">
        <v>40</v>
      </c>
      <c r="D1056" t="s">
        <v>4080</v>
      </c>
      <c r="E1056" t="s">
        <v>4081</v>
      </c>
      <c r="F1056" t="s">
        <v>4079</v>
      </c>
    </row>
    <row r="1057" spans="1:6" x14ac:dyDescent="0.25">
      <c r="A1057">
        <v>1643</v>
      </c>
      <c r="B1057" t="s">
        <v>4072</v>
      </c>
      <c r="C1057">
        <v>1</v>
      </c>
      <c r="D1057" t="s">
        <v>2761</v>
      </c>
      <c r="E1057" t="s">
        <v>4089</v>
      </c>
      <c r="F1057" t="s">
        <v>4075</v>
      </c>
    </row>
    <row r="1058" spans="1:6" x14ac:dyDescent="0.25">
      <c r="A1058">
        <v>1643</v>
      </c>
      <c r="B1058" t="s">
        <v>4072</v>
      </c>
      <c r="C1058">
        <v>2</v>
      </c>
      <c r="D1058" t="s">
        <v>4082</v>
      </c>
      <c r="E1058" t="s">
        <v>4083</v>
      </c>
      <c r="F1058" t="s">
        <v>4075</v>
      </c>
    </row>
    <row r="1059" spans="1:6" x14ac:dyDescent="0.25">
      <c r="A1059">
        <v>1643</v>
      </c>
      <c r="B1059" t="s">
        <v>4072</v>
      </c>
      <c r="C1059">
        <v>17</v>
      </c>
      <c r="D1059" t="s">
        <v>4082</v>
      </c>
      <c r="E1059" t="s">
        <v>4084</v>
      </c>
      <c r="F1059" t="s">
        <v>4076</v>
      </c>
    </row>
    <row r="1060" spans="1:6" x14ac:dyDescent="0.25">
      <c r="A1060">
        <v>1643</v>
      </c>
      <c r="B1060" t="s">
        <v>4072</v>
      </c>
      <c r="C1060">
        <v>38</v>
      </c>
      <c r="D1060" t="s">
        <v>2761</v>
      </c>
      <c r="E1060" t="s">
        <v>4089</v>
      </c>
      <c r="F1060" t="s">
        <v>4076</v>
      </c>
    </row>
    <row r="1061" spans="1:6" x14ac:dyDescent="0.25">
      <c r="A1061">
        <v>1655</v>
      </c>
      <c r="B1061" t="s">
        <v>4072</v>
      </c>
      <c r="C1061">
        <v>4</v>
      </c>
      <c r="D1061" t="s">
        <v>4077</v>
      </c>
      <c r="E1061" t="s">
        <v>4078</v>
      </c>
      <c r="F1061" t="s">
        <v>4075</v>
      </c>
    </row>
    <row r="1062" spans="1:6" x14ac:dyDescent="0.25">
      <c r="A1062">
        <v>1655</v>
      </c>
      <c r="B1062" t="s">
        <v>4072</v>
      </c>
      <c r="C1062">
        <v>16</v>
      </c>
      <c r="D1062" t="s">
        <v>4077</v>
      </c>
      <c r="E1062" t="s">
        <v>4078</v>
      </c>
      <c r="F1062" t="s">
        <v>4076</v>
      </c>
    </row>
    <row r="1063" spans="1:6" x14ac:dyDescent="0.25">
      <c r="A1063">
        <v>1659</v>
      </c>
      <c r="B1063" t="s">
        <v>4072</v>
      </c>
      <c r="C1063">
        <v>15</v>
      </c>
      <c r="D1063" t="s">
        <v>4080</v>
      </c>
      <c r="E1063" t="s">
        <v>4081</v>
      </c>
      <c r="F1063" t="s">
        <v>4076</v>
      </c>
    </row>
    <row r="1064" spans="1:6" x14ac:dyDescent="0.25">
      <c r="A1064">
        <v>1659</v>
      </c>
      <c r="B1064" t="s">
        <v>4072</v>
      </c>
      <c r="C1064">
        <v>40</v>
      </c>
      <c r="D1064" t="s">
        <v>4080</v>
      </c>
      <c r="E1064" t="s">
        <v>4081</v>
      </c>
      <c r="F1064" t="s">
        <v>4079</v>
      </c>
    </row>
    <row r="1065" spans="1:6" x14ac:dyDescent="0.25">
      <c r="A1065">
        <v>1665</v>
      </c>
      <c r="B1065" t="s">
        <v>4072</v>
      </c>
      <c r="C1065">
        <v>4</v>
      </c>
      <c r="D1065" t="s">
        <v>4077</v>
      </c>
      <c r="E1065" t="s">
        <v>4078</v>
      </c>
      <c r="F1065" t="s">
        <v>4075</v>
      </c>
    </row>
    <row r="1066" spans="1:6" x14ac:dyDescent="0.25">
      <c r="A1066">
        <v>1665</v>
      </c>
      <c r="B1066" t="s">
        <v>4072</v>
      </c>
      <c r="C1066">
        <v>16</v>
      </c>
      <c r="D1066" t="s">
        <v>4077</v>
      </c>
      <c r="E1066" t="s">
        <v>4078</v>
      </c>
      <c r="F1066" t="s">
        <v>4076</v>
      </c>
    </row>
    <row r="1067" spans="1:6" x14ac:dyDescent="0.25">
      <c r="A1067">
        <v>1665</v>
      </c>
      <c r="B1067" t="s">
        <v>4072</v>
      </c>
      <c r="C1067">
        <v>40</v>
      </c>
      <c r="D1067" t="s">
        <v>4080</v>
      </c>
      <c r="E1067" t="s">
        <v>4081</v>
      </c>
      <c r="F1067" t="s">
        <v>4079</v>
      </c>
    </row>
    <row r="1068" spans="1:6" x14ac:dyDescent="0.25">
      <c r="A1068">
        <v>1667</v>
      </c>
      <c r="B1068" t="s">
        <v>4072</v>
      </c>
      <c r="C1068">
        <v>15</v>
      </c>
      <c r="D1068" t="s">
        <v>4080</v>
      </c>
      <c r="E1068" t="s">
        <v>4081</v>
      </c>
      <c r="F1068" t="s">
        <v>4076</v>
      </c>
    </row>
    <row r="1069" spans="1:6" x14ac:dyDescent="0.25">
      <c r="A1069">
        <v>1667</v>
      </c>
      <c r="B1069" t="s">
        <v>4072</v>
      </c>
      <c r="C1069">
        <v>40</v>
      </c>
      <c r="D1069" t="s">
        <v>4080</v>
      </c>
      <c r="E1069" t="s">
        <v>4081</v>
      </c>
      <c r="F1069" t="s">
        <v>4079</v>
      </c>
    </row>
    <row r="1070" spans="1:6" x14ac:dyDescent="0.25">
      <c r="A1070">
        <v>1681</v>
      </c>
      <c r="B1070" t="s">
        <v>4072</v>
      </c>
      <c r="C1070">
        <v>13</v>
      </c>
      <c r="D1070" t="s">
        <v>4097</v>
      </c>
      <c r="E1070" t="s">
        <v>4098</v>
      </c>
      <c r="F1070" t="s">
        <v>4076</v>
      </c>
    </row>
    <row r="1071" spans="1:6" x14ac:dyDescent="0.25">
      <c r="A1071">
        <v>1682</v>
      </c>
      <c r="B1071" t="s">
        <v>4072</v>
      </c>
      <c r="C1071">
        <v>2</v>
      </c>
      <c r="D1071" t="s">
        <v>4082</v>
      </c>
      <c r="E1071" t="s">
        <v>4083</v>
      </c>
      <c r="F1071" t="s">
        <v>4075</v>
      </c>
    </row>
    <row r="1072" spans="1:6" x14ac:dyDescent="0.25">
      <c r="A1072">
        <v>1682</v>
      </c>
      <c r="B1072" t="s">
        <v>4072</v>
      </c>
      <c r="C1072">
        <v>17</v>
      </c>
      <c r="D1072" t="s">
        <v>4082</v>
      </c>
      <c r="E1072" t="s">
        <v>4084</v>
      </c>
      <c r="F1072" t="s">
        <v>4076</v>
      </c>
    </row>
    <row r="1073" spans="1:6" x14ac:dyDescent="0.25">
      <c r="A1073">
        <v>1682</v>
      </c>
      <c r="B1073" t="s">
        <v>4072</v>
      </c>
      <c r="C1073">
        <v>42</v>
      </c>
      <c r="D1073" t="s">
        <v>4082</v>
      </c>
      <c r="E1073" t="s">
        <v>4083</v>
      </c>
      <c r="F1073" t="s">
        <v>4079</v>
      </c>
    </row>
    <row r="1074" spans="1:6" x14ac:dyDescent="0.25">
      <c r="A1074">
        <v>1684</v>
      </c>
      <c r="B1074" t="s">
        <v>4072</v>
      </c>
      <c r="C1074">
        <v>2</v>
      </c>
      <c r="D1074" t="s">
        <v>4082</v>
      </c>
      <c r="E1074" t="s">
        <v>4083</v>
      </c>
      <c r="F1074" t="s">
        <v>4075</v>
      </c>
    </row>
    <row r="1075" spans="1:6" x14ac:dyDescent="0.25">
      <c r="A1075">
        <v>1684</v>
      </c>
      <c r="B1075" t="s">
        <v>4072</v>
      </c>
      <c r="C1075">
        <v>17</v>
      </c>
      <c r="D1075" t="s">
        <v>4082</v>
      </c>
      <c r="E1075" t="s">
        <v>4084</v>
      </c>
      <c r="F1075" t="s">
        <v>4076</v>
      </c>
    </row>
    <row r="1076" spans="1:6" x14ac:dyDescent="0.25">
      <c r="A1076">
        <v>1684</v>
      </c>
      <c r="B1076" t="s">
        <v>4072</v>
      </c>
      <c r="C1076">
        <v>42</v>
      </c>
      <c r="D1076" t="s">
        <v>4082</v>
      </c>
      <c r="E1076" t="s">
        <v>4083</v>
      </c>
      <c r="F1076" t="s">
        <v>4079</v>
      </c>
    </row>
    <row r="1077" spans="1:6" x14ac:dyDescent="0.25">
      <c r="A1077">
        <v>1687</v>
      </c>
      <c r="B1077" t="s">
        <v>4072</v>
      </c>
      <c r="C1077">
        <v>5</v>
      </c>
      <c r="D1077" t="s">
        <v>4087</v>
      </c>
      <c r="E1077" t="s">
        <v>4088</v>
      </c>
      <c r="F1077" t="s">
        <v>4075</v>
      </c>
    </row>
    <row r="1078" spans="1:6" x14ac:dyDescent="0.25">
      <c r="A1078">
        <v>1687</v>
      </c>
      <c r="B1078" t="s">
        <v>4072</v>
      </c>
      <c r="C1078">
        <v>15</v>
      </c>
      <c r="D1078" t="s">
        <v>4080</v>
      </c>
      <c r="E1078" t="s">
        <v>4081</v>
      </c>
      <c r="F1078" t="s">
        <v>4076</v>
      </c>
    </row>
    <row r="1079" spans="1:6" x14ac:dyDescent="0.25">
      <c r="A1079">
        <v>1687</v>
      </c>
      <c r="B1079" t="s">
        <v>4072</v>
      </c>
      <c r="C1079">
        <v>40</v>
      </c>
      <c r="D1079" t="s">
        <v>4080</v>
      </c>
      <c r="E1079" t="s">
        <v>4081</v>
      </c>
      <c r="F1079" t="s">
        <v>4079</v>
      </c>
    </row>
    <row r="1080" spans="1:6" x14ac:dyDescent="0.25">
      <c r="A1080">
        <v>1688</v>
      </c>
      <c r="B1080" t="s">
        <v>4072</v>
      </c>
      <c r="C1080">
        <v>5</v>
      </c>
      <c r="D1080" t="s">
        <v>4087</v>
      </c>
      <c r="E1080" t="s">
        <v>4088</v>
      </c>
      <c r="F1080" t="s">
        <v>4075</v>
      </c>
    </row>
    <row r="1081" spans="1:6" x14ac:dyDescent="0.25">
      <c r="A1081">
        <v>1688</v>
      </c>
      <c r="B1081" t="s">
        <v>4072</v>
      </c>
      <c r="C1081">
        <v>15</v>
      </c>
      <c r="D1081" t="s">
        <v>4080</v>
      </c>
      <c r="E1081" t="s">
        <v>4081</v>
      </c>
      <c r="F1081" t="s">
        <v>4076</v>
      </c>
    </row>
    <row r="1082" spans="1:6" x14ac:dyDescent="0.25">
      <c r="A1082">
        <v>1689</v>
      </c>
      <c r="B1082" t="s">
        <v>4072</v>
      </c>
      <c r="C1082">
        <v>2</v>
      </c>
      <c r="D1082" t="s">
        <v>4082</v>
      </c>
      <c r="E1082" t="s">
        <v>4083</v>
      </c>
      <c r="F1082" t="s">
        <v>4075</v>
      </c>
    </row>
    <row r="1083" spans="1:6" x14ac:dyDescent="0.25">
      <c r="A1083">
        <v>1689</v>
      </c>
      <c r="B1083" t="s">
        <v>4072</v>
      </c>
      <c r="C1083">
        <v>17</v>
      </c>
      <c r="D1083" t="s">
        <v>4082</v>
      </c>
      <c r="E1083" t="s">
        <v>4084</v>
      </c>
      <c r="F1083" t="s">
        <v>4076</v>
      </c>
    </row>
    <row r="1084" spans="1:6" x14ac:dyDescent="0.25">
      <c r="A1084">
        <v>1699</v>
      </c>
      <c r="B1084" t="s">
        <v>4072</v>
      </c>
      <c r="C1084">
        <v>6</v>
      </c>
      <c r="D1084" t="s">
        <v>4073</v>
      </c>
      <c r="E1084" t="s">
        <v>4074</v>
      </c>
      <c r="F1084" t="s">
        <v>4075</v>
      </c>
    </row>
    <row r="1085" spans="1:6" x14ac:dyDescent="0.25">
      <c r="A1085">
        <v>1699</v>
      </c>
      <c r="B1085" t="s">
        <v>4072</v>
      </c>
      <c r="C1085">
        <v>19</v>
      </c>
      <c r="D1085" t="s">
        <v>4073</v>
      </c>
      <c r="E1085" t="s">
        <v>4074</v>
      </c>
      <c r="F1085" t="s">
        <v>4076</v>
      </c>
    </row>
    <row r="1086" spans="1:6" x14ac:dyDescent="0.25">
      <c r="A1086">
        <v>1699</v>
      </c>
      <c r="B1086" t="s">
        <v>4072</v>
      </c>
      <c r="C1086">
        <v>39</v>
      </c>
      <c r="D1086" t="s">
        <v>4073</v>
      </c>
      <c r="E1086" t="s">
        <v>4074</v>
      </c>
      <c r="F1086" t="s">
        <v>4079</v>
      </c>
    </row>
    <row r="1087" spans="1:6" x14ac:dyDescent="0.25">
      <c r="A1087">
        <v>1703</v>
      </c>
      <c r="B1087" t="s">
        <v>4072</v>
      </c>
      <c r="C1087">
        <v>4</v>
      </c>
      <c r="D1087" t="s">
        <v>4077</v>
      </c>
      <c r="E1087" t="s">
        <v>4078</v>
      </c>
      <c r="F1087" t="s">
        <v>4075</v>
      </c>
    </row>
    <row r="1088" spans="1:6" x14ac:dyDescent="0.25">
      <c r="A1088">
        <v>1703</v>
      </c>
      <c r="B1088" t="s">
        <v>4072</v>
      </c>
      <c r="C1088">
        <v>16</v>
      </c>
      <c r="D1088" t="s">
        <v>4077</v>
      </c>
      <c r="E1088" t="s">
        <v>4078</v>
      </c>
      <c r="F1088" t="s">
        <v>4076</v>
      </c>
    </row>
    <row r="1089" spans="1:6" x14ac:dyDescent="0.25">
      <c r="A1089">
        <v>1703</v>
      </c>
      <c r="B1089" t="s">
        <v>4072</v>
      </c>
      <c r="C1089">
        <v>44</v>
      </c>
      <c r="D1089" t="s">
        <v>4077</v>
      </c>
      <c r="E1089" t="s">
        <v>4078</v>
      </c>
      <c r="F1089" t="s">
        <v>4079</v>
      </c>
    </row>
    <row r="1090" spans="1:6" x14ac:dyDescent="0.25">
      <c r="A1090">
        <v>1709</v>
      </c>
      <c r="B1090" t="s">
        <v>4072</v>
      </c>
      <c r="C1090">
        <v>5</v>
      </c>
      <c r="D1090" t="s">
        <v>4087</v>
      </c>
      <c r="E1090" t="s">
        <v>4088</v>
      </c>
      <c r="F1090" t="s">
        <v>4075</v>
      </c>
    </row>
    <row r="1091" spans="1:6" x14ac:dyDescent="0.25">
      <c r="A1091">
        <v>1709</v>
      </c>
      <c r="B1091" t="s">
        <v>4072</v>
      </c>
      <c r="C1091">
        <v>15</v>
      </c>
      <c r="D1091" t="s">
        <v>4080</v>
      </c>
      <c r="E1091" t="s">
        <v>4081</v>
      </c>
      <c r="F1091" t="s">
        <v>4076</v>
      </c>
    </row>
    <row r="1092" spans="1:6" x14ac:dyDescent="0.25">
      <c r="A1092">
        <v>1711</v>
      </c>
      <c r="B1092" t="s">
        <v>4072</v>
      </c>
      <c r="C1092">
        <v>4</v>
      </c>
      <c r="D1092" t="s">
        <v>4077</v>
      </c>
      <c r="E1092" t="s">
        <v>4078</v>
      </c>
      <c r="F1092" t="s">
        <v>4075</v>
      </c>
    </row>
    <row r="1093" spans="1:6" x14ac:dyDescent="0.25">
      <c r="A1093">
        <v>1711</v>
      </c>
      <c r="B1093" t="s">
        <v>4072</v>
      </c>
      <c r="C1093">
        <v>16</v>
      </c>
      <c r="D1093" t="s">
        <v>4077</v>
      </c>
      <c r="E1093" t="s">
        <v>4078</v>
      </c>
      <c r="F1093" t="s">
        <v>4076</v>
      </c>
    </row>
    <row r="1094" spans="1:6" x14ac:dyDescent="0.25">
      <c r="A1094">
        <v>1713</v>
      </c>
      <c r="B1094" t="s">
        <v>4072</v>
      </c>
      <c r="C1094">
        <v>5</v>
      </c>
      <c r="D1094" t="s">
        <v>4087</v>
      </c>
      <c r="E1094" t="s">
        <v>4088</v>
      </c>
      <c r="F1094" t="s">
        <v>4075</v>
      </c>
    </row>
    <row r="1095" spans="1:6" x14ac:dyDescent="0.25">
      <c r="A1095">
        <v>1713</v>
      </c>
      <c r="B1095" t="s">
        <v>4072</v>
      </c>
      <c r="C1095">
        <v>15</v>
      </c>
      <c r="D1095" t="s">
        <v>4080</v>
      </c>
      <c r="E1095" t="s">
        <v>4081</v>
      </c>
      <c r="F1095" t="s">
        <v>4076</v>
      </c>
    </row>
    <row r="1096" spans="1:6" x14ac:dyDescent="0.25">
      <c r="A1096">
        <v>1713</v>
      </c>
      <c r="B1096" t="s">
        <v>4072</v>
      </c>
      <c r="C1096">
        <v>40</v>
      </c>
      <c r="D1096" t="s">
        <v>4080</v>
      </c>
      <c r="E1096" t="s">
        <v>4081</v>
      </c>
      <c r="F1096" t="s">
        <v>4079</v>
      </c>
    </row>
    <row r="1097" spans="1:6" x14ac:dyDescent="0.25">
      <c r="A1097">
        <v>1715</v>
      </c>
      <c r="B1097" t="s">
        <v>4072</v>
      </c>
      <c r="C1097">
        <v>1</v>
      </c>
      <c r="D1097" t="s">
        <v>2761</v>
      </c>
      <c r="E1097" t="s">
        <v>4089</v>
      </c>
      <c r="F1097" t="s">
        <v>4075</v>
      </c>
    </row>
    <row r="1098" spans="1:6" x14ac:dyDescent="0.25">
      <c r="A1098">
        <v>1715</v>
      </c>
      <c r="B1098" t="s">
        <v>4072</v>
      </c>
      <c r="C1098">
        <v>38</v>
      </c>
      <c r="D1098" t="s">
        <v>2761</v>
      </c>
      <c r="E1098" t="s">
        <v>4089</v>
      </c>
      <c r="F1098" t="s">
        <v>4076</v>
      </c>
    </row>
    <row r="1099" spans="1:6" x14ac:dyDescent="0.25">
      <c r="A1099">
        <v>1715</v>
      </c>
      <c r="B1099" t="s">
        <v>4072</v>
      </c>
      <c r="C1099">
        <v>43</v>
      </c>
      <c r="D1099" t="s">
        <v>2761</v>
      </c>
      <c r="E1099" t="s">
        <v>4089</v>
      </c>
      <c r="F1099" t="s">
        <v>4079</v>
      </c>
    </row>
    <row r="1100" spans="1:6" x14ac:dyDescent="0.25">
      <c r="A1100">
        <v>1718</v>
      </c>
      <c r="B1100" t="s">
        <v>4072</v>
      </c>
      <c r="C1100">
        <v>5</v>
      </c>
      <c r="D1100" t="s">
        <v>4087</v>
      </c>
      <c r="E1100" t="s">
        <v>4088</v>
      </c>
      <c r="F1100" t="s">
        <v>4075</v>
      </c>
    </row>
    <row r="1101" spans="1:6" x14ac:dyDescent="0.25">
      <c r="A1101">
        <v>1718</v>
      </c>
      <c r="B1101" t="s">
        <v>4072</v>
      </c>
      <c r="C1101">
        <v>15</v>
      </c>
      <c r="D1101" t="s">
        <v>4080</v>
      </c>
      <c r="E1101" t="s">
        <v>4081</v>
      </c>
      <c r="F1101" t="s">
        <v>4076</v>
      </c>
    </row>
    <row r="1102" spans="1:6" x14ac:dyDescent="0.25">
      <c r="A1102">
        <v>1718</v>
      </c>
      <c r="B1102" t="s">
        <v>4072</v>
      </c>
      <c r="C1102">
        <v>40</v>
      </c>
      <c r="D1102" t="s">
        <v>4080</v>
      </c>
      <c r="E1102" t="s">
        <v>4081</v>
      </c>
      <c r="F1102" t="s">
        <v>4079</v>
      </c>
    </row>
    <row r="1103" spans="1:6" x14ac:dyDescent="0.25">
      <c r="A1103">
        <v>1719</v>
      </c>
      <c r="B1103" t="s">
        <v>4072</v>
      </c>
      <c r="C1103">
        <v>12</v>
      </c>
      <c r="D1103" t="s">
        <v>2159</v>
      </c>
      <c r="E1103" t="s">
        <v>4094</v>
      </c>
      <c r="F1103" t="s">
        <v>4076</v>
      </c>
    </row>
    <row r="1104" spans="1:6" x14ac:dyDescent="0.25">
      <c r="A1104">
        <v>1719</v>
      </c>
      <c r="B1104" t="s">
        <v>4072</v>
      </c>
      <c r="C1104">
        <v>45</v>
      </c>
      <c r="D1104" t="s">
        <v>2159</v>
      </c>
      <c r="E1104" t="s">
        <v>4094</v>
      </c>
      <c r="F1104" t="s">
        <v>4079</v>
      </c>
    </row>
    <row r="1105" spans="1:6" x14ac:dyDescent="0.25">
      <c r="A1105">
        <v>1720</v>
      </c>
      <c r="B1105" t="s">
        <v>4072</v>
      </c>
      <c r="C1105">
        <v>14</v>
      </c>
      <c r="D1105" t="s">
        <v>4090</v>
      </c>
      <c r="E1105" t="s">
        <v>4091</v>
      </c>
      <c r="F1105" t="s">
        <v>4076</v>
      </c>
    </row>
    <row r="1106" spans="1:6" x14ac:dyDescent="0.25">
      <c r="A1106">
        <v>1720</v>
      </c>
      <c r="B1106" t="s">
        <v>4072</v>
      </c>
      <c r="C1106">
        <v>41</v>
      </c>
      <c r="D1106" t="s">
        <v>4090</v>
      </c>
      <c r="E1106" t="s">
        <v>4091</v>
      </c>
      <c r="F1106" t="s">
        <v>4079</v>
      </c>
    </row>
    <row r="1107" spans="1:6" x14ac:dyDescent="0.25">
      <c r="A1107">
        <v>1722</v>
      </c>
      <c r="B1107" t="s">
        <v>4072</v>
      </c>
      <c r="C1107">
        <v>15</v>
      </c>
      <c r="D1107" t="s">
        <v>4080</v>
      </c>
      <c r="E1107" t="s">
        <v>4081</v>
      </c>
      <c r="F1107" t="s">
        <v>4076</v>
      </c>
    </row>
    <row r="1108" spans="1:6" x14ac:dyDescent="0.25">
      <c r="A1108">
        <v>1722</v>
      </c>
      <c r="B1108" t="s">
        <v>4072</v>
      </c>
      <c r="C1108">
        <v>40</v>
      </c>
      <c r="D1108" t="s">
        <v>4080</v>
      </c>
      <c r="E1108" t="s">
        <v>4081</v>
      </c>
      <c r="F1108" t="s">
        <v>4079</v>
      </c>
    </row>
    <row r="1109" spans="1:6" x14ac:dyDescent="0.25">
      <c r="A1109">
        <v>1724</v>
      </c>
      <c r="B1109" t="s">
        <v>4072</v>
      </c>
      <c r="C1109">
        <v>2</v>
      </c>
      <c r="D1109" t="s">
        <v>4082</v>
      </c>
      <c r="E1109" t="s">
        <v>4083</v>
      </c>
      <c r="F1109" t="s">
        <v>4075</v>
      </c>
    </row>
    <row r="1110" spans="1:6" x14ac:dyDescent="0.25">
      <c r="A1110">
        <v>1724</v>
      </c>
      <c r="B1110" t="s">
        <v>4072</v>
      </c>
      <c r="C1110">
        <v>17</v>
      </c>
      <c r="D1110" t="s">
        <v>4082</v>
      </c>
      <c r="E1110" t="s">
        <v>4084</v>
      </c>
      <c r="F1110" t="s">
        <v>4076</v>
      </c>
    </row>
    <row r="1111" spans="1:6" x14ac:dyDescent="0.25">
      <c r="A1111">
        <v>1724</v>
      </c>
      <c r="B1111" t="s">
        <v>4072</v>
      </c>
      <c r="C1111">
        <v>42</v>
      </c>
      <c r="D1111" t="s">
        <v>4082</v>
      </c>
      <c r="E1111" t="s">
        <v>4083</v>
      </c>
      <c r="F1111" t="s">
        <v>4079</v>
      </c>
    </row>
    <row r="1112" spans="1:6" x14ac:dyDescent="0.25">
      <c r="A1112">
        <v>1727</v>
      </c>
      <c r="B1112" t="s">
        <v>4072</v>
      </c>
      <c r="C1112">
        <v>6</v>
      </c>
      <c r="D1112" t="s">
        <v>4073</v>
      </c>
      <c r="E1112" t="s">
        <v>4074</v>
      </c>
      <c r="F1112" t="s">
        <v>4075</v>
      </c>
    </row>
    <row r="1113" spans="1:6" x14ac:dyDescent="0.25">
      <c r="A1113">
        <v>1727</v>
      </c>
      <c r="B1113" t="s">
        <v>4072</v>
      </c>
      <c r="C1113">
        <v>19</v>
      </c>
      <c r="D1113" t="s">
        <v>4073</v>
      </c>
      <c r="E1113" t="s">
        <v>4074</v>
      </c>
      <c r="F1113" t="s">
        <v>4076</v>
      </c>
    </row>
    <row r="1114" spans="1:6" x14ac:dyDescent="0.25">
      <c r="A1114">
        <v>1727</v>
      </c>
      <c r="B1114" t="s">
        <v>4072</v>
      </c>
      <c r="C1114">
        <v>39</v>
      </c>
      <c r="D1114" t="s">
        <v>4073</v>
      </c>
      <c r="E1114" t="s">
        <v>4074</v>
      </c>
      <c r="F1114" t="s">
        <v>4079</v>
      </c>
    </row>
    <row r="1115" spans="1:6" x14ac:dyDescent="0.25">
      <c r="A1115">
        <v>1729</v>
      </c>
      <c r="B1115" t="s">
        <v>4072</v>
      </c>
      <c r="C1115">
        <v>5</v>
      </c>
      <c r="D1115" t="s">
        <v>4087</v>
      </c>
      <c r="E1115" t="s">
        <v>4088</v>
      </c>
      <c r="F1115" t="s">
        <v>4075</v>
      </c>
    </row>
    <row r="1116" spans="1:6" x14ac:dyDescent="0.25">
      <c r="A1116">
        <v>1729</v>
      </c>
      <c r="B1116" t="s">
        <v>4072</v>
      </c>
      <c r="C1116">
        <v>15</v>
      </c>
      <c r="D1116" t="s">
        <v>4080</v>
      </c>
      <c r="E1116" t="s">
        <v>4081</v>
      </c>
      <c r="F1116" t="s">
        <v>4076</v>
      </c>
    </row>
    <row r="1117" spans="1:6" x14ac:dyDescent="0.25">
      <c r="A1117">
        <v>1729</v>
      </c>
      <c r="B1117" t="s">
        <v>4072</v>
      </c>
      <c r="C1117">
        <v>40</v>
      </c>
      <c r="D1117" t="s">
        <v>4080</v>
      </c>
      <c r="E1117" t="s">
        <v>4081</v>
      </c>
      <c r="F1117" t="s">
        <v>4079</v>
      </c>
    </row>
    <row r="1118" spans="1:6" x14ac:dyDescent="0.25">
      <c r="A1118">
        <v>1730</v>
      </c>
      <c r="B1118" t="s">
        <v>4072</v>
      </c>
      <c r="C1118">
        <v>2</v>
      </c>
      <c r="D1118" t="s">
        <v>4082</v>
      </c>
      <c r="E1118" t="s">
        <v>4083</v>
      </c>
      <c r="F1118" t="s">
        <v>4075</v>
      </c>
    </row>
    <row r="1119" spans="1:6" x14ac:dyDescent="0.25">
      <c r="A1119">
        <v>1730</v>
      </c>
      <c r="B1119" t="s">
        <v>4072</v>
      </c>
      <c r="C1119">
        <v>17</v>
      </c>
      <c r="D1119" t="s">
        <v>4082</v>
      </c>
      <c r="E1119" t="s">
        <v>4084</v>
      </c>
      <c r="F1119" t="s">
        <v>4076</v>
      </c>
    </row>
    <row r="1120" spans="1:6" x14ac:dyDescent="0.25">
      <c r="A1120">
        <v>1731</v>
      </c>
      <c r="B1120" t="s">
        <v>4072</v>
      </c>
      <c r="C1120">
        <v>5</v>
      </c>
      <c r="D1120" t="s">
        <v>4087</v>
      </c>
      <c r="E1120" t="s">
        <v>4088</v>
      </c>
      <c r="F1120" t="s">
        <v>4075</v>
      </c>
    </row>
    <row r="1121" spans="1:6" x14ac:dyDescent="0.25">
      <c r="A1121">
        <v>1731</v>
      </c>
      <c r="B1121" t="s">
        <v>4072</v>
      </c>
      <c r="C1121">
        <v>15</v>
      </c>
      <c r="D1121" t="s">
        <v>4080</v>
      </c>
      <c r="E1121" t="s">
        <v>4081</v>
      </c>
      <c r="F1121" t="s">
        <v>4076</v>
      </c>
    </row>
    <row r="1122" spans="1:6" x14ac:dyDescent="0.25">
      <c r="A1122">
        <v>1731</v>
      </c>
      <c r="B1122" t="s">
        <v>4072</v>
      </c>
      <c r="C1122">
        <v>40</v>
      </c>
      <c r="D1122" t="s">
        <v>4080</v>
      </c>
      <c r="E1122" t="s">
        <v>4081</v>
      </c>
      <c r="F1122" t="s">
        <v>4079</v>
      </c>
    </row>
    <row r="1123" spans="1:6" x14ac:dyDescent="0.25">
      <c r="A1123">
        <v>1734</v>
      </c>
      <c r="B1123" t="s">
        <v>4072</v>
      </c>
      <c r="C1123">
        <v>10</v>
      </c>
      <c r="D1123" t="s">
        <v>4095</v>
      </c>
      <c r="E1123" t="s">
        <v>4096</v>
      </c>
      <c r="F1123" t="s">
        <v>4075</v>
      </c>
    </row>
    <row r="1124" spans="1:6" x14ac:dyDescent="0.25">
      <c r="A1124">
        <v>1737</v>
      </c>
      <c r="B1124" t="s">
        <v>4072</v>
      </c>
      <c r="C1124">
        <v>10</v>
      </c>
      <c r="D1124" t="s">
        <v>4095</v>
      </c>
      <c r="E1124" t="s">
        <v>4096</v>
      </c>
      <c r="F1124" t="s">
        <v>4075</v>
      </c>
    </row>
    <row r="1125" spans="1:6" x14ac:dyDescent="0.25">
      <c r="A1125">
        <v>1737</v>
      </c>
      <c r="B1125" t="s">
        <v>4072</v>
      </c>
      <c r="C1125">
        <v>13</v>
      </c>
      <c r="D1125" t="s">
        <v>4097</v>
      </c>
      <c r="E1125" t="s">
        <v>4098</v>
      </c>
      <c r="F1125" t="s">
        <v>4076</v>
      </c>
    </row>
    <row r="1126" spans="1:6" x14ac:dyDescent="0.25">
      <c r="A1126">
        <v>1737</v>
      </c>
      <c r="B1126" t="s">
        <v>4072</v>
      </c>
      <c r="C1126">
        <v>46</v>
      </c>
      <c r="D1126" t="s">
        <v>4099</v>
      </c>
      <c r="E1126" t="s">
        <v>4100</v>
      </c>
      <c r="F1126" t="s">
        <v>4079</v>
      </c>
    </row>
    <row r="1127" spans="1:6" x14ac:dyDescent="0.25">
      <c r="A1127">
        <v>1738</v>
      </c>
      <c r="B1127" t="s">
        <v>4072</v>
      </c>
      <c r="C1127">
        <v>5</v>
      </c>
      <c r="D1127" t="s">
        <v>4087</v>
      </c>
      <c r="E1127" t="s">
        <v>4088</v>
      </c>
      <c r="F1127" t="s">
        <v>4075</v>
      </c>
    </row>
    <row r="1128" spans="1:6" x14ac:dyDescent="0.25">
      <c r="A1128">
        <v>1738</v>
      </c>
      <c r="B1128" t="s">
        <v>4072</v>
      </c>
      <c r="C1128">
        <v>15</v>
      </c>
      <c r="D1128" t="s">
        <v>4080</v>
      </c>
      <c r="E1128" t="s">
        <v>4081</v>
      </c>
      <c r="F1128" t="s">
        <v>4076</v>
      </c>
    </row>
    <row r="1129" spans="1:6" x14ac:dyDescent="0.25">
      <c r="A1129">
        <v>1738</v>
      </c>
      <c r="B1129" t="s">
        <v>4072</v>
      </c>
      <c r="C1129">
        <v>40</v>
      </c>
      <c r="D1129" t="s">
        <v>4080</v>
      </c>
      <c r="E1129" t="s">
        <v>4081</v>
      </c>
      <c r="F1129" t="s">
        <v>4079</v>
      </c>
    </row>
    <row r="1130" spans="1:6" x14ac:dyDescent="0.25">
      <c r="A1130">
        <v>1747</v>
      </c>
      <c r="B1130" t="s">
        <v>4072</v>
      </c>
      <c r="C1130">
        <v>5</v>
      </c>
      <c r="D1130" t="s">
        <v>4087</v>
      </c>
      <c r="E1130" t="s">
        <v>4088</v>
      </c>
      <c r="F1130" t="s">
        <v>4075</v>
      </c>
    </row>
    <row r="1131" spans="1:6" x14ac:dyDescent="0.25">
      <c r="A1131">
        <v>1747</v>
      </c>
      <c r="B1131" t="s">
        <v>4072</v>
      </c>
      <c r="C1131">
        <v>15</v>
      </c>
      <c r="D1131" t="s">
        <v>4080</v>
      </c>
      <c r="E1131" t="s">
        <v>4081</v>
      </c>
      <c r="F1131" t="s">
        <v>4076</v>
      </c>
    </row>
    <row r="1132" spans="1:6" x14ac:dyDescent="0.25">
      <c r="A1132">
        <v>1748</v>
      </c>
      <c r="B1132" t="s">
        <v>4092</v>
      </c>
      <c r="C1132">
        <v>24</v>
      </c>
      <c r="D1132" t="s">
        <v>2760</v>
      </c>
      <c r="E1132" t="s">
        <v>4108</v>
      </c>
      <c r="F1132" t="s">
        <v>4075</v>
      </c>
    </row>
    <row r="1133" spans="1:6" x14ac:dyDescent="0.25">
      <c r="A1133">
        <v>1748</v>
      </c>
      <c r="B1133" t="s">
        <v>4092</v>
      </c>
      <c r="C1133">
        <v>29</v>
      </c>
      <c r="D1133" t="s">
        <v>2760</v>
      </c>
      <c r="E1133" t="s">
        <v>4108</v>
      </c>
      <c r="F1133" t="s">
        <v>4076</v>
      </c>
    </row>
    <row r="1134" spans="1:6" x14ac:dyDescent="0.25">
      <c r="A1134">
        <v>1749</v>
      </c>
      <c r="B1134" t="s">
        <v>4092</v>
      </c>
      <c r="C1134">
        <v>28</v>
      </c>
      <c r="D1134" t="s">
        <v>2757</v>
      </c>
      <c r="E1134" t="s">
        <v>4093</v>
      </c>
      <c r="F1134" t="s">
        <v>4076</v>
      </c>
    </row>
    <row r="1135" spans="1:6" x14ac:dyDescent="0.25">
      <c r="A1135">
        <v>1750</v>
      </c>
      <c r="B1135" t="s">
        <v>4092</v>
      </c>
      <c r="C1135">
        <v>23</v>
      </c>
      <c r="D1135" t="s">
        <v>2757</v>
      </c>
      <c r="E1135" t="s">
        <v>4093</v>
      </c>
      <c r="F1135" t="s">
        <v>4075</v>
      </c>
    </row>
    <row r="1136" spans="1:6" x14ac:dyDescent="0.25">
      <c r="A1136">
        <v>1750</v>
      </c>
      <c r="B1136" t="s">
        <v>4092</v>
      </c>
      <c r="C1136">
        <v>28</v>
      </c>
      <c r="D1136" t="s">
        <v>2757</v>
      </c>
      <c r="E1136" t="s">
        <v>4093</v>
      </c>
      <c r="F1136" t="s">
        <v>4076</v>
      </c>
    </row>
    <row r="1137" spans="1:6" x14ac:dyDescent="0.25">
      <c r="A1137">
        <v>1750</v>
      </c>
      <c r="B1137" t="s">
        <v>4092</v>
      </c>
      <c r="C1137">
        <v>48</v>
      </c>
      <c r="D1137" t="s">
        <v>2757</v>
      </c>
      <c r="E1137" t="s">
        <v>4093</v>
      </c>
      <c r="F1137" t="s">
        <v>4079</v>
      </c>
    </row>
    <row r="1138" spans="1:6" x14ac:dyDescent="0.25">
      <c r="A1138">
        <v>1751</v>
      </c>
      <c r="B1138" t="s">
        <v>4072</v>
      </c>
      <c r="C1138">
        <v>5</v>
      </c>
      <c r="D1138" t="s">
        <v>4087</v>
      </c>
      <c r="E1138" t="s">
        <v>4088</v>
      </c>
      <c r="F1138" t="s">
        <v>4075</v>
      </c>
    </row>
    <row r="1139" spans="1:6" x14ac:dyDescent="0.25">
      <c r="A1139">
        <v>1751</v>
      </c>
      <c r="B1139" t="s">
        <v>4072</v>
      </c>
      <c r="C1139">
        <v>15</v>
      </c>
      <c r="D1139" t="s">
        <v>4080</v>
      </c>
      <c r="E1139" t="s">
        <v>4081</v>
      </c>
      <c r="F1139" t="s">
        <v>4076</v>
      </c>
    </row>
    <row r="1140" spans="1:6" x14ac:dyDescent="0.25">
      <c r="A1140">
        <v>1751</v>
      </c>
      <c r="B1140" t="s">
        <v>4072</v>
      </c>
      <c r="C1140">
        <v>40</v>
      </c>
      <c r="D1140" t="s">
        <v>4080</v>
      </c>
      <c r="E1140" t="s">
        <v>4081</v>
      </c>
      <c r="F1140" t="s">
        <v>4079</v>
      </c>
    </row>
    <row r="1141" spans="1:6" x14ac:dyDescent="0.25">
      <c r="A1141">
        <v>1759</v>
      </c>
      <c r="B1141" t="s">
        <v>4072</v>
      </c>
      <c r="C1141">
        <v>16</v>
      </c>
      <c r="D1141" t="s">
        <v>4077</v>
      </c>
      <c r="E1141" t="s">
        <v>4078</v>
      </c>
      <c r="F1141" t="s">
        <v>4076</v>
      </c>
    </row>
    <row r="1142" spans="1:6" x14ac:dyDescent="0.25">
      <c r="A1142">
        <v>1759</v>
      </c>
      <c r="B1142" t="s">
        <v>4072</v>
      </c>
      <c r="C1142">
        <v>44</v>
      </c>
      <c r="D1142" t="s">
        <v>4077</v>
      </c>
      <c r="E1142" t="s">
        <v>4078</v>
      </c>
      <c r="F1142" t="s">
        <v>4079</v>
      </c>
    </row>
    <row r="1143" spans="1:6" x14ac:dyDescent="0.25">
      <c r="A1143">
        <v>1760</v>
      </c>
      <c r="B1143" t="s">
        <v>4072</v>
      </c>
      <c r="C1143">
        <v>5</v>
      </c>
      <c r="D1143" t="s">
        <v>4087</v>
      </c>
      <c r="E1143" t="s">
        <v>4088</v>
      </c>
      <c r="F1143" t="s">
        <v>4075</v>
      </c>
    </row>
    <row r="1144" spans="1:6" x14ac:dyDescent="0.25">
      <c r="A1144">
        <v>1760</v>
      </c>
      <c r="B1144" t="s">
        <v>4072</v>
      </c>
      <c r="C1144">
        <v>15</v>
      </c>
      <c r="D1144" t="s">
        <v>4080</v>
      </c>
      <c r="E1144" t="s">
        <v>4081</v>
      </c>
      <c r="F1144" t="s">
        <v>4076</v>
      </c>
    </row>
    <row r="1145" spans="1:6" x14ac:dyDescent="0.25">
      <c r="A1145">
        <v>1760</v>
      </c>
      <c r="B1145" t="s">
        <v>4072</v>
      </c>
      <c r="C1145">
        <v>40</v>
      </c>
      <c r="D1145" t="s">
        <v>4080</v>
      </c>
      <c r="E1145" t="s">
        <v>4081</v>
      </c>
      <c r="F1145" t="s">
        <v>4079</v>
      </c>
    </row>
    <row r="1146" spans="1:6" x14ac:dyDescent="0.25">
      <c r="A1146">
        <v>1761</v>
      </c>
      <c r="B1146" t="s">
        <v>4072</v>
      </c>
      <c r="C1146">
        <v>5</v>
      </c>
      <c r="D1146" t="s">
        <v>4087</v>
      </c>
      <c r="E1146" t="s">
        <v>4088</v>
      </c>
      <c r="F1146" t="s">
        <v>4075</v>
      </c>
    </row>
    <row r="1147" spans="1:6" x14ac:dyDescent="0.25">
      <c r="A1147">
        <v>1761</v>
      </c>
      <c r="B1147" t="s">
        <v>4072</v>
      </c>
      <c r="C1147">
        <v>15</v>
      </c>
      <c r="D1147" t="s">
        <v>4080</v>
      </c>
      <c r="E1147" t="s">
        <v>4081</v>
      </c>
      <c r="F1147" t="s">
        <v>4076</v>
      </c>
    </row>
    <row r="1148" spans="1:6" x14ac:dyDescent="0.25">
      <c r="A1148">
        <v>1761</v>
      </c>
      <c r="B1148" t="s">
        <v>4072</v>
      </c>
      <c r="C1148">
        <v>40</v>
      </c>
      <c r="D1148" t="s">
        <v>4080</v>
      </c>
      <c r="E1148" t="s">
        <v>4081</v>
      </c>
      <c r="F1148" t="s">
        <v>4079</v>
      </c>
    </row>
    <row r="1149" spans="1:6" x14ac:dyDescent="0.25">
      <c r="A1149">
        <v>1762</v>
      </c>
      <c r="B1149" t="s">
        <v>4072</v>
      </c>
      <c r="C1149">
        <v>19</v>
      </c>
      <c r="D1149" t="s">
        <v>4073</v>
      </c>
      <c r="E1149" t="s">
        <v>4074</v>
      </c>
      <c r="F1149" t="s">
        <v>4076</v>
      </c>
    </row>
    <row r="1150" spans="1:6" x14ac:dyDescent="0.25">
      <c r="A1150">
        <v>1762</v>
      </c>
      <c r="B1150" t="s">
        <v>4072</v>
      </c>
      <c r="C1150">
        <v>39</v>
      </c>
      <c r="D1150" t="s">
        <v>4073</v>
      </c>
      <c r="E1150" t="s">
        <v>4074</v>
      </c>
      <c r="F1150" t="s">
        <v>4079</v>
      </c>
    </row>
    <row r="1151" spans="1:6" x14ac:dyDescent="0.25">
      <c r="A1151">
        <v>1764</v>
      </c>
      <c r="B1151" t="s">
        <v>4072</v>
      </c>
      <c r="C1151">
        <v>3</v>
      </c>
      <c r="D1151" t="s">
        <v>4085</v>
      </c>
      <c r="E1151" t="s">
        <v>4086</v>
      </c>
      <c r="F1151" t="s">
        <v>4075</v>
      </c>
    </row>
    <row r="1152" spans="1:6" x14ac:dyDescent="0.25">
      <c r="A1152">
        <v>1765</v>
      </c>
      <c r="B1152" t="s">
        <v>4072</v>
      </c>
      <c r="C1152">
        <v>4</v>
      </c>
      <c r="D1152" t="s">
        <v>4077</v>
      </c>
      <c r="E1152" t="s">
        <v>4078</v>
      </c>
      <c r="F1152" t="s">
        <v>4075</v>
      </c>
    </row>
    <row r="1153" spans="1:6" x14ac:dyDescent="0.25">
      <c r="A1153">
        <v>1766</v>
      </c>
      <c r="B1153" t="s">
        <v>4072</v>
      </c>
      <c r="C1153">
        <v>6</v>
      </c>
      <c r="D1153" t="s">
        <v>4073</v>
      </c>
      <c r="E1153" t="s">
        <v>4074</v>
      </c>
      <c r="F1153" t="s">
        <v>4075</v>
      </c>
    </row>
    <row r="1154" spans="1:6" x14ac:dyDescent="0.25">
      <c r="A1154">
        <v>1766</v>
      </c>
      <c r="B1154" t="s">
        <v>4072</v>
      </c>
      <c r="C1154">
        <v>19</v>
      </c>
      <c r="D1154" t="s">
        <v>4073</v>
      </c>
      <c r="E1154" t="s">
        <v>4074</v>
      </c>
      <c r="F1154" t="s">
        <v>4076</v>
      </c>
    </row>
    <row r="1155" spans="1:6" x14ac:dyDescent="0.25">
      <c r="A1155">
        <v>1766</v>
      </c>
      <c r="B1155" t="s">
        <v>4072</v>
      </c>
      <c r="C1155">
        <v>39</v>
      </c>
      <c r="D1155" t="s">
        <v>4073</v>
      </c>
      <c r="E1155" t="s">
        <v>4074</v>
      </c>
      <c r="F1155" t="s">
        <v>4079</v>
      </c>
    </row>
    <row r="1156" spans="1:6" x14ac:dyDescent="0.25">
      <c r="A1156">
        <v>1767</v>
      </c>
      <c r="B1156" t="s">
        <v>4072</v>
      </c>
      <c r="C1156">
        <v>6</v>
      </c>
      <c r="D1156" t="s">
        <v>4073</v>
      </c>
      <c r="E1156" t="s">
        <v>4074</v>
      </c>
      <c r="F1156" t="s">
        <v>4075</v>
      </c>
    </row>
    <row r="1157" spans="1:6" x14ac:dyDescent="0.25">
      <c r="A1157">
        <v>1775</v>
      </c>
      <c r="B1157" t="s">
        <v>4072</v>
      </c>
      <c r="C1157">
        <v>2</v>
      </c>
      <c r="D1157" t="s">
        <v>4082</v>
      </c>
      <c r="E1157" t="s">
        <v>4083</v>
      </c>
      <c r="F1157" t="s">
        <v>4075</v>
      </c>
    </row>
    <row r="1158" spans="1:6" x14ac:dyDescent="0.25">
      <c r="A1158">
        <v>1775</v>
      </c>
      <c r="B1158" t="s">
        <v>4072</v>
      </c>
      <c r="C1158">
        <v>17</v>
      </c>
      <c r="D1158" t="s">
        <v>4082</v>
      </c>
      <c r="E1158" t="s">
        <v>4084</v>
      </c>
      <c r="F1158" t="s">
        <v>4076</v>
      </c>
    </row>
    <row r="1159" spans="1:6" x14ac:dyDescent="0.25">
      <c r="A1159">
        <v>1775</v>
      </c>
      <c r="B1159" t="s">
        <v>4072</v>
      </c>
      <c r="C1159">
        <v>42</v>
      </c>
      <c r="D1159" t="s">
        <v>4082</v>
      </c>
      <c r="E1159" t="s">
        <v>4083</v>
      </c>
      <c r="F1159" t="s">
        <v>4079</v>
      </c>
    </row>
    <row r="1160" spans="1:6" x14ac:dyDescent="0.25">
      <c r="A1160">
        <v>1776</v>
      </c>
      <c r="B1160" t="s">
        <v>4072</v>
      </c>
      <c r="C1160">
        <v>1</v>
      </c>
      <c r="D1160" t="s">
        <v>2761</v>
      </c>
      <c r="E1160" t="s">
        <v>4089</v>
      </c>
      <c r="F1160" t="s">
        <v>4075</v>
      </c>
    </row>
    <row r="1161" spans="1:6" x14ac:dyDescent="0.25">
      <c r="A1161">
        <v>1776</v>
      </c>
      <c r="B1161" t="s">
        <v>4072</v>
      </c>
      <c r="C1161">
        <v>2</v>
      </c>
      <c r="D1161" t="s">
        <v>4082</v>
      </c>
      <c r="E1161" t="s">
        <v>4083</v>
      </c>
      <c r="F1161" t="s">
        <v>4075</v>
      </c>
    </row>
    <row r="1162" spans="1:6" x14ac:dyDescent="0.25">
      <c r="A1162">
        <v>1776</v>
      </c>
      <c r="B1162" t="s">
        <v>4072</v>
      </c>
      <c r="C1162">
        <v>3</v>
      </c>
      <c r="D1162" t="s">
        <v>4085</v>
      </c>
      <c r="E1162" t="s">
        <v>4086</v>
      </c>
      <c r="F1162" t="s">
        <v>4075</v>
      </c>
    </row>
    <row r="1163" spans="1:6" x14ac:dyDescent="0.25">
      <c r="A1163">
        <v>1776</v>
      </c>
      <c r="B1163" t="s">
        <v>4072</v>
      </c>
      <c r="C1163">
        <v>5</v>
      </c>
      <c r="D1163" t="s">
        <v>4087</v>
      </c>
      <c r="E1163" t="s">
        <v>4088</v>
      </c>
      <c r="F1163" t="s">
        <v>4075</v>
      </c>
    </row>
    <row r="1164" spans="1:6" x14ac:dyDescent="0.25">
      <c r="A1164">
        <v>1776</v>
      </c>
      <c r="B1164" t="s">
        <v>4072</v>
      </c>
      <c r="C1164">
        <v>6</v>
      </c>
      <c r="D1164" t="s">
        <v>4073</v>
      </c>
      <c r="E1164" t="s">
        <v>4074</v>
      </c>
      <c r="F1164" t="s">
        <v>4075</v>
      </c>
    </row>
    <row r="1165" spans="1:6" x14ac:dyDescent="0.25">
      <c r="A1165">
        <v>1776</v>
      </c>
      <c r="B1165" t="s">
        <v>4072</v>
      </c>
      <c r="C1165">
        <v>15</v>
      </c>
      <c r="D1165" t="s">
        <v>4080</v>
      </c>
      <c r="E1165" t="s">
        <v>4081</v>
      </c>
      <c r="F1165" t="s">
        <v>4076</v>
      </c>
    </row>
    <row r="1166" spans="1:6" x14ac:dyDescent="0.25">
      <c r="A1166">
        <v>1776</v>
      </c>
      <c r="B1166" t="s">
        <v>4072</v>
      </c>
      <c r="C1166">
        <v>17</v>
      </c>
      <c r="D1166" t="s">
        <v>4082</v>
      </c>
      <c r="E1166" t="s">
        <v>4084</v>
      </c>
      <c r="F1166" t="s">
        <v>4076</v>
      </c>
    </row>
    <row r="1167" spans="1:6" x14ac:dyDescent="0.25">
      <c r="A1167">
        <v>1776</v>
      </c>
      <c r="B1167" t="s">
        <v>4072</v>
      </c>
      <c r="C1167">
        <v>19</v>
      </c>
      <c r="D1167" t="s">
        <v>4073</v>
      </c>
      <c r="E1167" t="s">
        <v>4074</v>
      </c>
      <c r="F1167" t="s">
        <v>4076</v>
      </c>
    </row>
    <row r="1168" spans="1:6" x14ac:dyDescent="0.25">
      <c r="A1168">
        <v>1776</v>
      </c>
      <c r="B1168" t="s">
        <v>4072</v>
      </c>
      <c r="C1168">
        <v>39</v>
      </c>
      <c r="D1168" t="s">
        <v>4073</v>
      </c>
      <c r="E1168" t="s">
        <v>4074</v>
      </c>
      <c r="F1168" t="s">
        <v>4079</v>
      </c>
    </row>
    <row r="1169" spans="1:6" x14ac:dyDescent="0.25">
      <c r="A1169">
        <v>1776</v>
      </c>
      <c r="B1169" t="s">
        <v>4072</v>
      </c>
      <c r="C1169">
        <v>40</v>
      </c>
      <c r="D1169" t="s">
        <v>4080</v>
      </c>
      <c r="E1169" t="s">
        <v>4081</v>
      </c>
      <c r="F1169" t="s">
        <v>4079</v>
      </c>
    </row>
    <row r="1170" spans="1:6" x14ac:dyDescent="0.25">
      <c r="A1170">
        <v>1776</v>
      </c>
      <c r="B1170" t="s">
        <v>4072</v>
      </c>
      <c r="C1170">
        <v>42</v>
      </c>
      <c r="D1170" t="s">
        <v>4082</v>
      </c>
      <c r="E1170" t="s">
        <v>4083</v>
      </c>
      <c r="F1170" t="s">
        <v>4079</v>
      </c>
    </row>
    <row r="1171" spans="1:6" x14ac:dyDescent="0.25">
      <c r="A1171">
        <v>1778</v>
      </c>
      <c r="B1171" t="s">
        <v>4072</v>
      </c>
      <c r="C1171">
        <v>15</v>
      </c>
      <c r="D1171" t="s">
        <v>4080</v>
      </c>
      <c r="E1171" t="s">
        <v>4081</v>
      </c>
      <c r="F1171" t="s">
        <v>4076</v>
      </c>
    </row>
    <row r="1172" spans="1:6" x14ac:dyDescent="0.25">
      <c r="A1172">
        <v>1778</v>
      </c>
      <c r="B1172" t="s">
        <v>4072</v>
      </c>
      <c r="C1172">
        <v>40</v>
      </c>
      <c r="D1172" t="s">
        <v>4080</v>
      </c>
      <c r="E1172" t="s">
        <v>4081</v>
      </c>
      <c r="F1172" t="s">
        <v>4079</v>
      </c>
    </row>
    <row r="1173" spans="1:6" x14ac:dyDescent="0.25">
      <c r="A1173">
        <v>1779</v>
      </c>
      <c r="B1173" t="s">
        <v>4072</v>
      </c>
      <c r="C1173">
        <v>5</v>
      </c>
      <c r="D1173" t="s">
        <v>4087</v>
      </c>
      <c r="E1173" t="s">
        <v>4088</v>
      </c>
      <c r="F1173" t="s">
        <v>4075</v>
      </c>
    </row>
    <row r="1174" spans="1:6" x14ac:dyDescent="0.25">
      <c r="A1174">
        <v>1779</v>
      </c>
      <c r="B1174" t="s">
        <v>4072</v>
      </c>
      <c r="C1174">
        <v>15</v>
      </c>
      <c r="D1174" t="s">
        <v>4080</v>
      </c>
      <c r="E1174" t="s">
        <v>4081</v>
      </c>
      <c r="F1174" t="s">
        <v>4076</v>
      </c>
    </row>
    <row r="1175" spans="1:6" x14ac:dyDescent="0.25">
      <c r="A1175">
        <v>1779</v>
      </c>
      <c r="B1175" t="s">
        <v>4072</v>
      </c>
      <c r="C1175">
        <v>40</v>
      </c>
      <c r="D1175" t="s">
        <v>4080</v>
      </c>
      <c r="E1175" t="s">
        <v>4081</v>
      </c>
      <c r="F1175" t="s">
        <v>4079</v>
      </c>
    </row>
    <row r="1176" spans="1:6" x14ac:dyDescent="0.25">
      <c r="A1176">
        <v>1789</v>
      </c>
      <c r="B1176" t="s">
        <v>4072</v>
      </c>
      <c r="C1176">
        <v>2</v>
      </c>
      <c r="D1176" t="s">
        <v>4082</v>
      </c>
      <c r="E1176" t="s">
        <v>4083</v>
      </c>
      <c r="F1176" t="s">
        <v>4075</v>
      </c>
    </row>
    <row r="1177" spans="1:6" x14ac:dyDescent="0.25">
      <c r="A1177">
        <v>1789</v>
      </c>
      <c r="B1177" t="s">
        <v>4072</v>
      </c>
      <c r="C1177">
        <v>17</v>
      </c>
      <c r="D1177" t="s">
        <v>4082</v>
      </c>
      <c r="E1177" t="s">
        <v>4084</v>
      </c>
      <c r="F1177" t="s">
        <v>4076</v>
      </c>
    </row>
    <row r="1178" spans="1:6" x14ac:dyDescent="0.25">
      <c r="A1178">
        <v>1792</v>
      </c>
      <c r="B1178" t="s">
        <v>4072</v>
      </c>
      <c r="C1178">
        <v>5</v>
      </c>
      <c r="D1178" t="s">
        <v>4087</v>
      </c>
      <c r="E1178" t="s">
        <v>4088</v>
      </c>
      <c r="F1178" t="s">
        <v>4075</v>
      </c>
    </row>
    <row r="1179" spans="1:6" x14ac:dyDescent="0.25">
      <c r="A1179">
        <v>1792</v>
      </c>
      <c r="B1179" t="s">
        <v>4072</v>
      </c>
      <c r="C1179">
        <v>15</v>
      </c>
      <c r="D1179" t="s">
        <v>4080</v>
      </c>
      <c r="E1179" t="s">
        <v>4081</v>
      </c>
      <c r="F1179" t="s">
        <v>4076</v>
      </c>
    </row>
    <row r="1180" spans="1:6" x14ac:dyDescent="0.25">
      <c r="A1180">
        <v>1792</v>
      </c>
      <c r="B1180" t="s">
        <v>4072</v>
      </c>
      <c r="C1180">
        <v>40</v>
      </c>
      <c r="D1180" t="s">
        <v>4080</v>
      </c>
      <c r="E1180" t="s">
        <v>4081</v>
      </c>
      <c r="F1180" t="s">
        <v>4079</v>
      </c>
    </row>
    <row r="1181" spans="1:6" x14ac:dyDescent="0.25">
      <c r="A1181">
        <v>1804</v>
      </c>
      <c r="B1181" t="s">
        <v>4072</v>
      </c>
      <c r="C1181">
        <v>5</v>
      </c>
      <c r="D1181" t="s">
        <v>4087</v>
      </c>
      <c r="E1181" t="s">
        <v>4088</v>
      </c>
      <c r="F1181" t="s">
        <v>4075</v>
      </c>
    </row>
    <row r="1182" spans="1:6" x14ac:dyDescent="0.25">
      <c r="A1182">
        <v>1804</v>
      </c>
      <c r="B1182" t="s">
        <v>4072</v>
      </c>
      <c r="C1182">
        <v>15</v>
      </c>
      <c r="D1182" t="s">
        <v>4080</v>
      </c>
      <c r="E1182" t="s">
        <v>4081</v>
      </c>
      <c r="F1182" t="s">
        <v>4076</v>
      </c>
    </row>
    <row r="1183" spans="1:6" x14ac:dyDescent="0.25">
      <c r="A1183">
        <v>1804</v>
      </c>
      <c r="B1183" t="s">
        <v>4072</v>
      </c>
      <c r="C1183">
        <v>40</v>
      </c>
      <c r="D1183" t="s">
        <v>4080</v>
      </c>
      <c r="E1183" t="s">
        <v>4081</v>
      </c>
      <c r="F1183" t="s">
        <v>4079</v>
      </c>
    </row>
    <row r="1184" spans="1:6" x14ac:dyDescent="0.25">
      <c r="A1184">
        <v>1827</v>
      </c>
      <c r="B1184" t="s">
        <v>4072</v>
      </c>
      <c r="C1184">
        <v>19</v>
      </c>
      <c r="D1184" t="s">
        <v>4073</v>
      </c>
      <c r="E1184" t="s">
        <v>4074</v>
      </c>
      <c r="F1184" t="s">
        <v>4076</v>
      </c>
    </row>
    <row r="1185" spans="1:6" x14ac:dyDescent="0.25">
      <c r="A1185">
        <v>1827</v>
      </c>
      <c r="B1185" t="s">
        <v>4072</v>
      </c>
      <c r="C1185">
        <v>39</v>
      </c>
      <c r="D1185" t="s">
        <v>4073</v>
      </c>
      <c r="E1185" t="s">
        <v>4074</v>
      </c>
      <c r="F1185" t="s">
        <v>4079</v>
      </c>
    </row>
    <row r="1186" spans="1:6" x14ac:dyDescent="0.25">
      <c r="A1186">
        <v>1828</v>
      </c>
      <c r="B1186" t="s">
        <v>4072</v>
      </c>
      <c r="C1186">
        <v>19</v>
      </c>
      <c r="D1186" t="s">
        <v>4073</v>
      </c>
      <c r="E1186" t="s">
        <v>4074</v>
      </c>
      <c r="F1186" t="s">
        <v>4076</v>
      </c>
    </row>
    <row r="1187" spans="1:6" x14ac:dyDescent="0.25">
      <c r="A1187">
        <v>1829</v>
      </c>
      <c r="B1187" t="s">
        <v>4072</v>
      </c>
      <c r="C1187">
        <v>14</v>
      </c>
      <c r="D1187" t="s">
        <v>4090</v>
      </c>
      <c r="E1187" t="s">
        <v>4091</v>
      </c>
      <c r="F1187" t="s">
        <v>4076</v>
      </c>
    </row>
    <row r="1188" spans="1:6" x14ac:dyDescent="0.25">
      <c r="A1188">
        <v>1829</v>
      </c>
      <c r="B1188" t="s">
        <v>4072</v>
      </c>
      <c r="C1188">
        <v>41</v>
      </c>
      <c r="D1188" t="s">
        <v>4090</v>
      </c>
      <c r="E1188" t="s">
        <v>4091</v>
      </c>
      <c r="F1188" t="s">
        <v>4079</v>
      </c>
    </row>
    <row r="1189" spans="1:6" x14ac:dyDescent="0.25">
      <c r="A1189">
        <v>1839</v>
      </c>
      <c r="B1189" t="s">
        <v>4072</v>
      </c>
      <c r="C1189">
        <v>1</v>
      </c>
      <c r="D1189" t="s">
        <v>2761</v>
      </c>
      <c r="E1189" t="s">
        <v>4089</v>
      </c>
      <c r="F1189" t="s">
        <v>4075</v>
      </c>
    </row>
    <row r="1190" spans="1:6" x14ac:dyDescent="0.25">
      <c r="A1190">
        <v>1839</v>
      </c>
      <c r="B1190" t="s">
        <v>4072</v>
      </c>
      <c r="C1190">
        <v>2</v>
      </c>
      <c r="D1190" t="s">
        <v>4082</v>
      </c>
      <c r="E1190" t="s">
        <v>4083</v>
      </c>
      <c r="F1190" t="s">
        <v>4075</v>
      </c>
    </row>
    <row r="1191" spans="1:6" x14ac:dyDescent="0.25">
      <c r="A1191">
        <v>1839</v>
      </c>
      <c r="B1191" t="s">
        <v>4072</v>
      </c>
      <c r="C1191">
        <v>17</v>
      </c>
      <c r="D1191" t="s">
        <v>4082</v>
      </c>
      <c r="E1191" t="s">
        <v>4084</v>
      </c>
      <c r="F1191" t="s">
        <v>4076</v>
      </c>
    </row>
    <row r="1192" spans="1:6" x14ac:dyDescent="0.25">
      <c r="A1192">
        <v>1839</v>
      </c>
      <c r="B1192" t="s">
        <v>4072</v>
      </c>
      <c r="C1192">
        <v>42</v>
      </c>
      <c r="D1192" t="s">
        <v>4082</v>
      </c>
      <c r="E1192" t="s">
        <v>4083</v>
      </c>
      <c r="F1192" t="s">
        <v>4079</v>
      </c>
    </row>
    <row r="1193" spans="1:6" x14ac:dyDescent="0.25">
      <c r="A1193">
        <v>1840</v>
      </c>
      <c r="B1193" t="s">
        <v>4072</v>
      </c>
      <c r="C1193">
        <v>3</v>
      </c>
      <c r="D1193" t="s">
        <v>4085</v>
      </c>
      <c r="E1193" t="s">
        <v>4086</v>
      </c>
      <c r="F1193" t="s">
        <v>4075</v>
      </c>
    </row>
    <row r="1194" spans="1:6" x14ac:dyDescent="0.25">
      <c r="A1194">
        <v>1840</v>
      </c>
      <c r="B1194" t="s">
        <v>4072</v>
      </c>
      <c r="C1194">
        <v>5</v>
      </c>
      <c r="D1194" t="s">
        <v>4087</v>
      </c>
      <c r="E1194" t="s">
        <v>4088</v>
      </c>
      <c r="F1194" t="s">
        <v>4075</v>
      </c>
    </row>
    <row r="1195" spans="1:6" x14ac:dyDescent="0.25">
      <c r="A1195">
        <v>1840</v>
      </c>
      <c r="B1195" t="s">
        <v>4072</v>
      </c>
      <c r="C1195">
        <v>15</v>
      </c>
      <c r="D1195" t="s">
        <v>4080</v>
      </c>
      <c r="E1195" t="s">
        <v>4081</v>
      </c>
      <c r="F1195" t="s">
        <v>4076</v>
      </c>
    </row>
    <row r="1196" spans="1:6" x14ac:dyDescent="0.25">
      <c r="A1196">
        <v>1840</v>
      </c>
      <c r="B1196" t="s">
        <v>4072</v>
      </c>
      <c r="C1196">
        <v>40</v>
      </c>
      <c r="D1196" t="s">
        <v>4080</v>
      </c>
      <c r="E1196" t="s">
        <v>4081</v>
      </c>
      <c r="F1196" t="s">
        <v>4079</v>
      </c>
    </row>
    <row r="1197" spans="1:6" x14ac:dyDescent="0.25">
      <c r="A1197">
        <v>1841</v>
      </c>
      <c r="B1197" t="s">
        <v>4072</v>
      </c>
      <c r="C1197">
        <v>4</v>
      </c>
      <c r="D1197" t="s">
        <v>4077</v>
      </c>
      <c r="E1197" t="s">
        <v>4078</v>
      </c>
      <c r="F1197" t="s">
        <v>4075</v>
      </c>
    </row>
    <row r="1198" spans="1:6" x14ac:dyDescent="0.25">
      <c r="A1198">
        <v>1841</v>
      </c>
      <c r="B1198" t="s">
        <v>4072</v>
      </c>
      <c r="C1198">
        <v>16</v>
      </c>
      <c r="D1198" t="s">
        <v>4077</v>
      </c>
      <c r="E1198" t="s">
        <v>4078</v>
      </c>
      <c r="F1198" t="s">
        <v>4076</v>
      </c>
    </row>
    <row r="1199" spans="1:6" x14ac:dyDescent="0.25">
      <c r="A1199">
        <v>1841</v>
      </c>
      <c r="B1199" t="s">
        <v>4072</v>
      </c>
      <c r="C1199">
        <v>44</v>
      </c>
      <c r="D1199" t="s">
        <v>4077</v>
      </c>
      <c r="E1199" t="s">
        <v>4078</v>
      </c>
      <c r="F1199" t="s">
        <v>4079</v>
      </c>
    </row>
    <row r="1200" spans="1:6" x14ac:dyDescent="0.25">
      <c r="A1200">
        <v>1842</v>
      </c>
      <c r="B1200" t="s">
        <v>4072</v>
      </c>
      <c r="C1200">
        <v>6</v>
      </c>
      <c r="D1200" t="s">
        <v>4073</v>
      </c>
      <c r="E1200" t="s">
        <v>4074</v>
      </c>
      <c r="F1200" t="s">
        <v>4075</v>
      </c>
    </row>
    <row r="1201" spans="1:6" x14ac:dyDescent="0.25">
      <c r="A1201">
        <v>1842</v>
      </c>
      <c r="B1201" t="s">
        <v>4072</v>
      </c>
      <c r="C1201">
        <v>19</v>
      </c>
      <c r="D1201" t="s">
        <v>4073</v>
      </c>
      <c r="E1201" t="s">
        <v>4074</v>
      </c>
      <c r="F1201" t="s">
        <v>4076</v>
      </c>
    </row>
    <row r="1202" spans="1:6" x14ac:dyDescent="0.25">
      <c r="A1202">
        <v>1842</v>
      </c>
      <c r="B1202" t="s">
        <v>4072</v>
      </c>
      <c r="C1202">
        <v>39</v>
      </c>
      <c r="D1202" t="s">
        <v>4073</v>
      </c>
      <c r="E1202" t="s">
        <v>4074</v>
      </c>
      <c r="F1202" t="s">
        <v>4079</v>
      </c>
    </row>
    <row r="1203" spans="1:6" x14ac:dyDescent="0.25">
      <c r="A1203">
        <v>1843</v>
      </c>
      <c r="B1203" t="s">
        <v>4092</v>
      </c>
      <c r="C1203">
        <v>23</v>
      </c>
      <c r="D1203" t="s">
        <v>2757</v>
      </c>
      <c r="E1203" t="s">
        <v>4093</v>
      </c>
      <c r="F1203" t="s">
        <v>4075</v>
      </c>
    </row>
    <row r="1204" spans="1:6" x14ac:dyDescent="0.25">
      <c r="A1204">
        <v>1843</v>
      </c>
      <c r="B1204" t="s">
        <v>4092</v>
      </c>
      <c r="C1204">
        <v>28</v>
      </c>
      <c r="D1204" t="s">
        <v>2757</v>
      </c>
      <c r="E1204" t="s">
        <v>4093</v>
      </c>
      <c r="F1204" t="s">
        <v>4076</v>
      </c>
    </row>
    <row r="1205" spans="1:6" x14ac:dyDescent="0.25">
      <c r="A1205">
        <v>1843</v>
      </c>
      <c r="B1205" t="s">
        <v>4092</v>
      </c>
      <c r="C1205">
        <v>48</v>
      </c>
      <c r="D1205" t="s">
        <v>2757</v>
      </c>
      <c r="E1205" t="s">
        <v>4093</v>
      </c>
      <c r="F1205" t="s">
        <v>4079</v>
      </c>
    </row>
    <row r="1206" spans="1:6" x14ac:dyDescent="0.25">
      <c r="A1206">
        <v>1844</v>
      </c>
      <c r="B1206" t="s">
        <v>4092</v>
      </c>
      <c r="C1206">
        <v>23</v>
      </c>
      <c r="D1206" t="s">
        <v>2757</v>
      </c>
      <c r="E1206" t="s">
        <v>4093</v>
      </c>
      <c r="F1206" t="s">
        <v>4075</v>
      </c>
    </row>
    <row r="1207" spans="1:6" x14ac:dyDescent="0.25">
      <c r="A1207">
        <v>1844</v>
      </c>
      <c r="B1207" t="s">
        <v>4092</v>
      </c>
      <c r="C1207">
        <v>28</v>
      </c>
      <c r="D1207" t="s">
        <v>2757</v>
      </c>
      <c r="E1207" t="s">
        <v>4093</v>
      </c>
      <c r="F1207" t="s">
        <v>4076</v>
      </c>
    </row>
    <row r="1208" spans="1:6" x14ac:dyDescent="0.25">
      <c r="A1208">
        <v>1844</v>
      </c>
      <c r="B1208" t="s">
        <v>4092</v>
      </c>
      <c r="C1208">
        <v>48</v>
      </c>
      <c r="D1208" t="s">
        <v>2757</v>
      </c>
      <c r="E1208" t="s">
        <v>4093</v>
      </c>
      <c r="F1208" t="s">
        <v>4079</v>
      </c>
    </row>
    <row r="1209" spans="1:6" x14ac:dyDescent="0.25">
      <c r="A1209">
        <v>1845</v>
      </c>
      <c r="B1209" t="s">
        <v>4072</v>
      </c>
      <c r="C1209">
        <v>19</v>
      </c>
      <c r="D1209" t="s">
        <v>4073</v>
      </c>
      <c r="E1209" t="s">
        <v>4074</v>
      </c>
      <c r="F1209" t="s">
        <v>4076</v>
      </c>
    </row>
    <row r="1210" spans="1:6" x14ac:dyDescent="0.25">
      <c r="A1210">
        <v>1845</v>
      </c>
      <c r="B1210" t="s">
        <v>4072</v>
      </c>
      <c r="C1210">
        <v>39</v>
      </c>
      <c r="D1210" t="s">
        <v>4073</v>
      </c>
      <c r="E1210" t="s">
        <v>4074</v>
      </c>
      <c r="F1210" t="s">
        <v>4079</v>
      </c>
    </row>
    <row r="1211" spans="1:6" x14ac:dyDescent="0.25">
      <c r="A1211">
        <v>1848</v>
      </c>
      <c r="B1211" t="s">
        <v>4092</v>
      </c>
      <c r="C1211">
        <v>23</v>
      </c>
      <c r="D1211" t="s">
        <v>2757</v>
      </c>
      <c r="E1211" t="s">
        <v>4093</v>
      </c>
      <c r="F1211" t="s">
        <v>4075</v>
      </c>
    </row>
    <row r="1212" spans="1:6" x14ac:dyDescent="0.25">
      <c r="A1212">
        <v>1848</v>
      </c>
      <c r="B1212" t="s">
        <v>4092</v>
      </c>
      <c r="C1212">
        <v>28</v>
      </c>
      <c r="D1212" t="s">
        <v>2757</v>
      </c>
      <c r="E1212" t="s">
        <v>4093</v>
      </c>
      <c r="F1212" t="s">
        <v>4076</v>
      </c>
    </row>
    <row r="1213" spans="1:6" x14ac:dyDescent="0.25">
      <c r="A1213">
        <v>1848</v>
      </c>
      <c r="B1213" t="s">
        <v>4092</v>
      </c>
      <c r="C1213">
        <v>48</v>
      </c>
      <c r="D1213" t="s">
        <v>2757</v>
      </c>
      <c r="E1213" t="s">
        <v>4093</v>
      </c>
      <c r="F1213" t="s">
        <v>4079</v>
      </c>
    </row>
    <row r="1214" spans="1:6" x14ac:dyDescent="0.25">
      <c r="A1214">
        <v>1849</v>
      </c>
      <c r="B1214" t="s">
        <v>4072</v>
      </c>
      <c r="C1214">
        <v>5</v>
      </c>
      <c r="D1214" t="s">
        <v>4087</v>
      </c>
      <c r="E1214" t="s">
        <v>4088</v>
      </c>
      <c r="F1214" t="s">
        <v>4075</v>
      </c>
    </row>
    <row r="1215" spans="1:6" x14ac:dyDescent="0.25">
      <c r="A1215">
        <v>1849</v>
      </c>
      <c r="B1215" t="s">
        <v>4072</v>
      </c>
      <c r="C1215">
        <v>15</v>
      </c>
      <c r="D1215" t="s">
        <v>4080</v>
      </c>
      <c r="E1215" t="s">
        <v>4081</v>
      </c>
      <c r="F1215" t="s">
        <v>4076</v>
      </c>
    </row>
    <row r="1216" spans="1:6" x14ac:dyDescent="0.25">
      <c r="A1216">
        <v>1849</v>
      </c>
      <c r="B1216" t="s">
        <v>4072</v>
      </c>
      <c r="C1216">
        <v>40</v>
      </c>
      <c r="D1216" t="s">
        <v>4080</v>
      </c>
      <c r="E1216" t="s">
        <v>4081</v>
      </c>
      <c r="F1216" t="s">
        <v>4079</v>
      </c>
    </row>
    <row r="1217" spans="1:6" x14ac:dyDescent="0.25">
      <c r="A1217">
        <v>1850</v>
      </c>
      <c r="B1217" t="s">
        <v>4072</v>
      </c>
      <c r="C1217">
        <v>6</v>
      </c>
      <c r="D1217" t="s">
        <v>4073</v>
      </c>
      <c r="E1217" t="s">
        <v>4074</v>
      </c>
      <c r="F1217" t="s">
        <v>4075</v>
      </c>
    </row>
    <row r="1218" spans="1:6" x14ac:dyDescent="0.25">
      <c r="A1218">
        <v>1850</v>
      </c>
      <c r="B1218" t="s">
        <v>4072</v>
      </c>
      <c r="C1218">
        <v>19</v>
      </c>
      <c r="D1218" t="s">
        <v>4073</v>
      </c>
      <c r="E1218" t="s">
        <v>4074</v>
      </c>
      <c r="F1218" t="s">
        <v>4076</v>
      </c>
    </row>
    <row r="1219" spans="1:6" x14ac:dyDescent="0.25">
      <c r="A1219">
        <v>1850</v>
      </c>
      <c r="B1219" t="s">
        <v>4072</v>
      </c>
      <c r="C1219">
        <v>39</v>
      </c>
      <c r="D1219" t="s">
        <v>4073</v>
      </c>
      <c r="E1219" t="s">
        <v>4074</v>
      </c>
      <c r="F1219" t="s">
        <v>4079</v>
      </c>
    </row>
    <row r="1220" spans="1:6" x14ac:dyDescent="0.25">
      <c r="A1220">
        <v>1851</v>
      </c>
      <c r="B1220" t="s">
        <v>4072</v>
      </c>
      <c r="C1220">
        <v>6</v>
      </c>
      <c r="D1220" t="s">
        <v>4073</v>
      </c>
      <c r="E1220" t="s">
        <v>4074</v>
      </c>
      <c r="F1220" t="s">
        <v>4075</v>
      </c>
    </row>
    <row r="1221" spans="1:6" x14ac:dyDescent="0.25">
      <c r="A1221">
        <v>1851</v>
      </c>
      <c r="B1221" t="s">
        <v>4072</v>
      </c>
      <c r="C1221">
        <v>19</v>
      </c>
      <c r="D1221" t="s">
        <v>4073</v>
      </c>
      <c r="E1221" t="s">
        <v>4074</v>
      </c>
      <c r="F1221" t="s">
        <v>4076</v>
      </c>
    </row>
    <row r="1222" spans="1:6" x14ac:dyDescent="0.25">
      <c r="A1222">
        <v>1851</v>
      </c>
      <c r="B1222" t="s">
        <v>4072</v>
      </c>
      <c r="C1222">
        <v>39</v>
      </c>
      <c r="D1222" t="s">
        <v>4073</v>
      </c>
      <c r="E1222" t="s">
        <v>4074</v>
      </c>
      <c r="F1222" t="s">
        <v>4079</v>
      </c>
    </row>
    <row r="1223" spans="1:6" x14ac:dyDescent="0.25">
      <c r="A1223">
        <v>1852</v>
      </c>
      <c r="B1223" t="s">
        <v>4072</v>
      </c>
      <c r="C1223">
        <v>2</v>
      </c>
      <c r="D1223" t="s">
        <v>4082</v>
      </c>
      <c r="E1223" t="s">
        <v>4083</v>
      </c>
      <c r="F1223" t="s">
        <v>4075</v>
      </c>
    </row>
    <row r="1224" spans="1:6" x14ac:dyDescent="0.25">
      <c r="A1224">
        <v>1852</v>
      </c>
      <c r="B1224" t="s">
        <v>4072</v>
      </c>
      <c r="C1224">
        <v>17</v>
      </c>
      <c r="D1224" t="s">
        <v>4082</v>
      </c>
      <c r="E1224" t="s">
        <v>4084</v>
      </c>
      <c r="F1224" t="s">
        <v>4076</v>
      </c>
    </row>
    <row r="1225" spans="1:6" x14ac:dyDescent="0.25">
      <c r="A1225">
        <v>1852</v>
      </c>
      <c r="B1225" t="s">
        <v>4072</v>
      </c>
      <c r="C1225">
        <v>42</v>
      </c>
      <c r="D1225" t="s">
        <v>4082</v>
      </c>
      <c r="E1225" t="s">
        <v>4083</v>
      </c>
      <c r="F1225" t="s">
        <v>4079</v>
      </c>
    </row>
    <row r="1226" spans="1:6" x14ac:dyDescent="0.25">
      <c r="A1226">
        <v>1853</v>
      </c>
      <c r="B1226" t="s">
        <v>4072</v>
      </c>
      <c r="C1226">
        <v>2</v>
      </c>
      <c r="D1226" t="s">
        <v>4082</v>
      </c>
      <c r="E1226" t="s">
        <v>4083</v>
      </c>
      <c r="F1226" t="s">
        <v>4075</v>
      </c>
    </row>
    <row r="1227" spans="1:6" x14ac:dyDescent="0.25">
      <c r="A1227">
        <v>1853</v>
      </c>
      <c r="B1227" t="s">
        <v>4072</v>
      </c>
      <c r="C1227">
        <v>17</v>
      </c>
      <c r="D1227" t="s">
        <v>4082</v>
      </c>
      <c r="E1227" t="s">
        <v>4084</v>
      </c>
      <c r="F1227" t="s">
        <v>4076</v>
      </c>
    </row>
    <row r="1228" spans="1:6" x14ac:dyDescent="0.25">
      <c r="A1228">
        <v>1853</v>
      </c>
      <c r="B1228" t="s">
        <v>4072</v>
      </c>
      <c r="C1228">
        <v>42</v>
      </c>
      <c r="D1228" t="s">
        <v>4082</v>
      </c>
      <c r="E1228" t="s">
        <v>4083</v>
      </c>
      <c r="F1228" t="s">
        <v>4079</v>
      </c>
    </row>
    <row r="1229" spans="1:6" x14ac:dyDescent="0.25">
      <c r="A1229">
        <v>1854</v>
      </c>
      <c r="B1229" t="s">
        <v>4072</v>
      </c>
      <c r="C1229">
        <v>3</v>
      </c>
      <c r="D1229" t="s">
        <v>4085</v>
      </c>
      <c r="E1229" t="s">
        <v>4086</v>
      </c>
      <c r="F1229" t="s">
        <v>4075</v>
      </c>
    </row>
    <row r="1230" spans="1:6" x14ac:dyDescent="0.25">
      <c r="A1230">
        <v>1854</v>
      </c>
      <c r="B1230" t="s">
        <v>4072</v>
      </c>
      <c r="C1230">
        <v>10</v>
      </c>
      <c r="D1230" t="s">
        <v>4095</v>
      </c>
      <c r="E1230" t="s">
        <v>4096</v>
      </c>
      <c r="F1230" t="s">
        <v>4075</v>
      </c>
    </row>
    <row r="1231" spans="1:6" x14ac:dyDescent="0.25">
      <c r="A1231">
        <v>1854</v>
      </c>
      <c r="B1231" t="s">
        <v>4072</v>
      </c>
      <c r="C1231">
        <v>13</v>
      </c>
      <c r="D1231" t="s">
        <v>4097</v>
      </c>
      <c r="E1231" t="s">
        <v>4098</v>
      </c>
      <c r="F1231" t="s">
        <v>4076</v>
      </c>
    </row>
    <row r="1232" spans="1:6" x14ac:dyDescent="0.25">
      <c r="A1232">
        <v>1854</v>
      </c>
      <c r="B1232" t="s">
        <v>4072</v>
      </c>
      <c r="C1232">
        <v>46</v>
      </c>
      <c r="D1232" t="s">
        <v>4099</v>
      </c>
      <c r="E1232" t="s">
        <v>4100</v>
      </c>
      <c r="F1232" t="s">
        <v>4079</v>
      </c>
    </row>
    <row r="1233" spans="1:6" x14ac:dyDescent="0.25">
      <c r="A1233">
        <v>1855</v>
      </c>
      <c r="B1233" t="s">
        <v>4092</v>
      </c>
      <c r="C1233">
        <v>23</v>
      </c>
      <c r="D1233" t="s">
        <v>2757</v>
      </c>
      <c r="E1233" t="s">
        <v>4093</v>
      </c>
      <c r="F1233" t="s">
        <v>4075</v>
      </c>
    </row>
    <row r="1234" spans="1:6" x14ac:dyDescent="0.25">
      <c r="A1234">
        <v>1855</v>
      </c>
      <c r="B1234" t="s">
        <v>4092</v>
      </c>
      <c r="C1234">
        <v>28</v>
      </c>
      <c r="D1234" t="s">
        <v>2757</v>
      </c>
      <c r="E1234" t="s">
        <v>4093</v>
      </c>
      <c r="F1234" t="s">
        <v>4076</v>
      </c>
    </row>
    <row r="1235" spans="1:6" x14ac:dyDescent="0.25">
      <c r="A1235">
        <v>1855</v>
      </c>
      <c r="B1235" t="s">
        <v>4092</v>
      </c>
      <c r="C1235">
        <v>48</v>
      </c>
      <c r="D1235" t="s">
        <v>2757</v>
      </c>
      <c r="E1235" t="s">
        <v>4093</v>
      </c>
      <c r="F1235" t="s">
        <v>4079</v>
      </c>
    </row>
    <row r="1236" spans="1:6" x14ac:dyDescent="0.25">
      <c r="A1236">
        <v>1856</v>
      </c>
      <c r="B1236" t="s">
        <v>4092</v>
      </c>
      <c r="C1236">
        <v>23</v>
      </c>
      <c r="D1236" t="s">
        <v>2757</v>
      </c>
      <c r="E1236" t="s">
        <v>4093</v>
      </c>
      <c r="F1236" t="s">
        <v>4075</v>
      </c>
    </row>
    <row r="1237" spans="1:6" x14ac:dyDescent="0.25">
      <c r="A1237">
        <v>1856</v>
      </c>
      <c r="B1237" t="s">
        <v>4092</v>
      </c>
      <c r="C1237">
        <v>28</v>
      </c>
      <c r="D1237" t="s">
        <v>2757</v>
      </c>
      <c r="E1237" t="s">
        <v>4093</v>
      </c>
      <c r="F1237" t="s">
        <v>4076</v>
      </c>
    </row>
    <row r="1238" spans="1:6" x14ac:dyDescent="0.25">
      <c r="A1238">
        <v>1856</v>
      </c>
      <c r="B1238" t="s">
        <v>4092</v>
      </c>
      <c r="C1238">
        <v>48</v>
      </c>
      <c r="D1238" t="s">
        <v>2757</v>
      </c>
      <c r="E1238" t="s">
        <v>4093</v>
      </c>
      <c r="F1238" t="s">
        <v>4079</v>
      </c>
    </row>
    <row r="1239" spans="1:6" x14ac:dyDescent="0.25">
      <c r="A1239">
        <v>1857</v>
      </c>
      <c r="B1239" t="s">
        <v>4092</v>
      </c>
      <c r="C1239">
        <v>33</v>
      </c>
      <c r="D1239" t="s">
        <v>4109</v>
      </c>
      <c r="E1239" t="s">
        <v>4110</v>
      </c>
      <c r="F1239" t="s">
        <v>4075</v>
      </c>
    </row>
    <row r="1240" spans="1:6" x14ac:dyDescent="0.25">
      <c r="A1240">
        <v>1857</v>
      </c>
      <c r="B1240" t="s">
        <v>4092</v>
      </c>
      <c r="C1240">
        <v>34</v>
      </c>
      <c r="D1240" t="s">
        <v>4109</v>
      </c>
      <c r="E1240" t="s">
        <v>4110</v>
      </c>
      <c r="F1240" t="s">
        <v>4076</v>
      </c>
    </row>
    <row r="1241" spans="1:6" x14ac:dyDescent="0.25">
      <c r="A1241">
        <v>1857</v>
      </c>
      <c r="B1241" t="s">
        <v>4092</v>
      </c>
      <c r="C1241">
        <v>51</v>
      </c>
      <c r="D1241" t="s">
        <v>4109</v>
      </c>
      <c r="E1241" t="s">
        <v>4111</v>
      </c>
      <c r="F1241" t="s">
        <v>4079</v>
      </c>
    </row>
    <row r="1242" spans="1:6" x14ac:dyDescent="0.25">
      <c r="A1242">
        <v>1860</v>
      </c>
      <c r="B1242" t="s">
        <v>4072</v>
      </c>
      <c r="C1242">
        <v>5</v>
      </c>
      <c r="D1242" t="s">
        <v>4087</v>
      </c>
      <c r="E1242" t="s">
        <v>4088</v>
      </c>
      <c r="F1242" t="s">
        <v>4075</v>
      </c>
    </row>
    <row r="1243" spans="1:6" x14ac:dyDescent="0.25">
      <c r="A1243">
        <v>1860</v>
      </c>
      <c r="B1243" t="s">
        <v>4072</v>
      </c>
      <c r="C1243">
        <v>14</v>
      </c>
      <c r="D1243" t="s">
        <v>4090</v>
      </c>
      <c r="E1243" t="s">
        <v>4091</v>
      </c>
      <c r="F1243" t="s">
        <v>4076</v>
      </c>
    </row>
    <row r="1244" spans="1:6" x14ac:dyDescent="0.25">
      <c r="A1244">
        <v>1860</v>
      </c>
      <c r="B1244" t="s">
        <v>4072</v>
      </c>
      <c r="C1244">
        <v>41</v>
      </c>
      <c r="D1244" t="s">
        <v>4090</v>
      </c>
      <c r="E1244" t="s">
        <v>4091</v>
      </c>
      <c r="F1244" t="s">
        <v>4079</v>
      </c>
    </row>
    <row r="1245" spans="1:6" x14ac:dyDescent="0.25">
      <c r="A1245">
        <v>1861</v>
      </c>
      <c r="B1245" t="s">
        <v>4072</v>
      </c>
      <c r="C1245">
        <v>2</v>
      </c>
      <c r="D1245" t="s">
        <v>4082</v>
      </c>
      <c r="E1245" t="s">
        <v>4083</v>
      </c>
      <c r="F1245" t="s">
        <v>4075</v>
      </c>
    </row>
    <row r="1246" spans="1:6" x14ac:dyDescent="0.25">
      <c r="A1246">
        <v>1861</v>
      </c>
      <c r="B1246" t="s">
        <v>4072</v>
      </c>
      <c r="C1246">
        <v>17</v>
      </c>
      <c r="D1246" t="s">
        <v>4082</v>
      </c>
      <c r="E1246" t="s">
        <v>4084</v>
      </c>
      <c r="F1246" t="s">
        <v>4076</v>
      </c>
    </row>
    <row r="1247" spans="1:6" x14ac:dyDescent="0.25">
      <c r="A1247">
        <v>1861</v>
      </c>
      <c r="B1247" t="s">
        <v>4072</v>
      </c>
      <c r="C1247">
        <v>42</v>
      </c>
      <c r="D1247" t="s">
        <v>4082</v>
      </c>
      <c r="E1247" t="s">
        <v>4083</v>
      </c>
      <c r="F1247" t="s">
        <v>4079</v>
      </c>
    </row>
    <row r="1248" spans="1:6" x14ac:dyDescent="0.25">
      <c r="A1248">
        <v>1862</v>
      </c>
      <c r="B1248" t="s">
        <v>4072</v>
      </c>
      <c r="C1248">
        <v>2</v>
      </c>
      <c r="D1248" t="s">
        <v>4082</v>
      </c>
      <c r="E1248" t="s">
        <v>4083</v>
      </c>
      <c r="F1248" t="s">
        <v>4075</v>
      </c>
    </row>
    <row r="1249" spans="1:6" x14ac:dyDescent="0.25">
      <c r="A1249">
        <v>1862</v>
      </c>
      <c r="B1249" t="s">
        <v>4072</v>
      </c>
      <c r="C1249">
        <v>17</v>
      </c>
      <c r="D1249" t="s">
        <v>4082</v>
      </c>
      <c r="E1249" t="s">
        <v>4084</v>
      </c>
      <c r="F1249" t="s">
        <v>4076</v>
      </c>
    </row>
    <row r="1250" spans="1:6" x14ac:dyDescent="0.25">
      <c r="A1250">
        <v>1862</v>
      </c>
      <c r="B1250" t="s">
        <v>4072</v>
      </c>
      <c r="C1250">
        <v>42</v>
      </c>
      <c r="D1250" t="s">
        <v>4082</v>
      </c>
      <c r="E1250" t="s">
        <v>4083</v>
      </c>
      <c r="F1250" t="s">
        <v>4079</v>
      </c>
    </row>
    <row r="1251" spans="1:6" x14ac:dyDescent="0.25">
      <c r="A1251">
        <v>1864</v>
      </c>
      <c r="B1251" t="s">
        <v>4072</v>
      </c>
      <c r="C1251">
        <v>5</v>
      </c>
      <c r="D1251" t="s">
        <v>4087</v>
      </c>
      <c r="E1251" t="s">
        <v>4088</v>
      </c>
      <c r="F1251" t="s">
        <v>4075</v>
      </c>
    </row>
    <row r="1252" spans="1:6" x14ac:dyDescent="0.25">
      <c r="A1252">
        <v>1864</v>
      </c>
      <c r="B1252" t="s">
        <v>4072</v>
      </c>
      <c r="C1252">
        <v>15</v>
      </c>
      <c r="D1252" t="s">
        <v>4080</v>
      </c>
      <c r="E1252" t="s">
        <v>4081</v>
      </c>
      <c r="F1252" t="s">
        <v>4076</v>
      </c>
    </row>
    <row r="1253" spans="1:6" x14ac:dyDescent="0.25">
      <c r="A1253">
        <v>1864</v>
      </c>
      <c r="B1253" t="s">
        <v>4072</v>
      </c>
      <c r="C1253">
        <v>40</v>
      </c>
      <c r="D1253" t="s">
        <v>4080</v>
      </c>
      <c r="E1253" t="s">
        <v>4081</v>
      </c>
      <c r="F1253" t="s">
        <v>4079</v>
      </c>
    </row>
    <row r="1254" spans="1:6" x14ac:dyDescent="0.25">
      <c r="A1254">
        <v>1865</v>
      </c>
      <c r="B1254" t="s">
        <v>4072</v>
      </c>
      <c r="C1254">
        <v>2</v>
      </c>
      <c r="D1254" t="s">
        <v>4082</v>
      </c>
      <c r="E1254" t="s">
        <v>4083</v>
      </c>
      <c r="F1254" t="s">
        <v>4075</v>
      </c>
    </row>
    <row r="1255" spans="1:6" x14ac:dyDescent="0.25">
      <c r="A1255">
        <v>1865</v>
      </c>
      <c r="B1255" t="s">
        <v>4072</v>
      </c>
      <c r="C1255">
        <v>17</v>
      </c>
      <c r="D1255" t="s">
        <v>4082</v>
      </c>
      <c r="E1255" t="s">
        <v>4084</v>
      </c>
      <c r="F1255" t="s">
        <v>4076</v>
      </c>
    </row>
    <row r="1256" spans="1:6" x14ac:dyDescent="0.25">
      <c r="A1256">
        <v>1865</v>
      </c>
      <c r="B1256" t="s">
        <v>4072</v>
      </c>
      <c r="C1256">
        <v>42</v>
      </c>
      <c r="D1256" t="s">
        <v>4082</v>
      </c>
      <c r="E1256" t="s">
        <v>4083</v>
      </c>
      <c r="F1256" t="s">
        <v>4079</v>
      </c>
    </row>
    <row r="1257" spans="1:6" x14ac:dyDescent="0.25">
      <c r="A1257">
        <v>1866</v>
      </c>
      <c r="B1257" t="s">
        <v>4072</v>
      </c>
      <c r="C1257">
        <v>6</v>
      </c>
      <c r="D1257" t="s">
        <v>4073</v>
      </c>
      <c r="E1257" t="s">
        <v>4074</v>
      </c>
      <c r="F1257" t="s">
        <v>4075</v>
      </c>
    </row>
    <row r="1258" spans="1:6" x14ac:dyDescent="0.25">
      <c r="A1258">
        <v>1866</v>
      </c>
      <c r="B1258" t="s">
        <v>4072</v>
      </c>
      <c r="C1258">
        <v>19</v>
      </c>
      <c r="D1258" t="s">
        <v>4073</v>
      </c>
      <c r="E1258" t="s">
        <v>4074</v>
      </c>
      <c r="F1258" t="s">
        <v>4076</v>
      </c>
    </row>
    <row r="1259" spans="1:6" x14ac:dyDescent="0.25">
      <c r="A1259">
        <v>1866</v>
      </c>
      <c r="B1259" t="s">
        <v>4072</v>
      </c>
      <c r="C1259">
        <v>39</v>
      </c>
      <c r="D1259" t="s">
        <v>4073</v>
      </c>
      <c r="E1259" t="s">
        <v>4074</v>
      </c>
      <c r="F1259" t="s">
        <v>4079</v>
      </c>
    </row>
    <row r="1260" spans="1:6" x14ac:dyDescent="0.25">
      <c r="A1260">
        <v>1867</v>
      </c>
      <c r="B1260" t="s">
        <v>4072</v>
      </c>
      <c r="C1260">
        <v>5</v>
      </c>
      <c r="D1260" t="s">
        <v>4087</v>
      </c>
      <c r="E1260" t="s">
        <v>4088</v>
      </c>
      <c r="F1260" t="s">
        <v>4075</v>
      </c>
    </row>
    <row r="1261" spans="1:6" x14ac:dyDescent="0.25">
      <c r="A1261">
        <v>1867</v>
      </c>
      <c r="B1261" t="s">
        <v>4072</v>
      </c>
      <c r="C1261">
        <v>15</v>
      </c>
      <c r="D1261" t="s">
        <v>4080</v>
      </c>
      <c r="E1261" t="s">
        <v>4081</v>
      </c>
      <c r="F1261" t="s">
        <v>4076</v>
      </c>
    </row>
    <row r="1262" spans="1:6" x14ac:dyDescent="0.25">
      <c r="A1262">
        <v>1867</v>
      </c>
      <c r="B1262" t="s">
        <v>4072</v>
      </c>
      <c r="C1262">
        <v>40</v>
      </c>
      <c r="D1262" t="s">
        <v>4080</v>
      </c>
      <c r="E1262" t="s">
        <v>4081</v>
      </c>
      <c r="F1262" t="s">
        <v>4079</v>
      </c>
    </row>
    <row r="1263" spans="1:6" x14ac:dyDescent="0.25">
      <c r="A1263">
        <v>1868</v>
      </c>
      <c r="B1263" t="s">
        <v>4072</v>
      </c>
      <c r="C1263">
        <v>6</v>
      </c>
      <c r="D1263" t="s">
        <v>4073</v>
      </c>
      <c r="E1263" t="s">
        <v>4074</v>
      </c>
      <c r="F1263" t="s">
        <v>4075</v>
      </c>
    </row>
    <row r="1264" spans="1:6" x14ac:dyDescent="0.25">
      <c r="A1264">
        <v>1868</v>
      </c>
      <c r="B1264" t="s">
        <v>4072</v>
      </c>
      <c r="C1264">
        <v>19</v>
      </c>
      <c r="D1264" t="s">
        <v>4073</v>
      </c>
      <c r="E1264" t="s">
        <v>4074</v>
      </c>
      <c r="F1264" t="s">
        <v>4076</v>
      </c>
    </row>
    <row r="1265" spans="1:6" x14ac:dyDescent="0.25">
      <c r="A1265">
        <v>1868</v>
      </c>
      <c r="B1265" t="s">
        <v>4072</v>
      </c>
      <c r="C1265">
        <v>39</v>
      </c>
      <c r="D1265" t="s">
        <v>4073</v>
      </c>
      <c r="E1265" t="s">
        <v>4074</v>
      </c>
      <c r="F1265" t="s">
        <v>4079</v>
      </c>
    </row>
    <row r="1266" spans="1:6" x14ac:dyDescent="0.25">
      <c r="A1266">
        <v>1870</v>
      </c>
      <c r="B1266" t="s">
        <v>4072</v>
      </c>
      <c r="C1266">
        <v>5</v>
      </c>
      <c r="D1266" t="s">
        <v>4087</v>
      </c>
      <c r="E1266" t="s">
        <v>4088</v>
      </c>
      <c r="F1266" t="s">
        <v>4075</v>
      </c>
    </row>
    <row r="1267" spans="1:6" x14ac:dyDescent="0.25">
      <c r="A1267">
        <v>1870</v>
      </c>
      <c r="B1267" t="s">
        <v>4072</v>
      </c>
      <c r="C1267">
        <v>15</v>
      </c>
      <c r="D1267" t="s">
        <v>4080</v>
      </c>
      <c r="E1267" t="s">
        <v>4081</v>
      </c>
      <c r="F1267" t="s">
        <v>4076</v>
      </c>
    </row>
    <row r="1268" spans="1:6" x14ac:dyDescent="0.25">
      <c r="A1268">
        <v>1870</v>
      </c>
      <c r="B1268" t="s">
        <v>4072</v>
      </c>
      <c r="C1268">
        <v>40</v>
      </c>
      <c r="D1268" t="s">
        <v>4080</v>
      </c>
      <c r="E1268" t="s">
        <v>4081</v>
      </c>
      <c r="F1268" t="s">
        <v>4079</v>
      </c>
    </row>
    <row r="1269" spans="1:6" x14ac:dyDescent="0.25">
      <c r="A1269">
        <v>1875</v>
      </c>
      <c r="B1269" t="s">
        <v>4072</v>
      </c>
      <c r="C1269">
        <v>19</v>
      </c>
      <c r="D1269" t="s">
        <v>4073</v>
      </c>
      <c r="E1269" t="s">
        <v>4074</v>
      </c>
      <c r="F1269" t="s">
        <v>4076</v>
      </c>
    </row>
    <row r="1270" spans="1:6" x14ac:dyDescent="0.25">
      <c r="A1270">
        <v>1875</v>
      </c>
      <c r="B1270" t="s">
        <v>4072</v>
      </c>
      <c r="C1270">
        <v>39</v>
      </c>
      <c r="D1270" t="s">
        <v>4073</v>
      </c>
      <c r="E1270" t="s">
        <v>4074</v>
      </c>
      <c r="F1270" t="s">
        <v>4079</v>
      </c>
    </row>
    <row r="1271" spans="1:6" x14ac:dyDescent="0.25">
      <c r="A1271">
        <v>1878</v>
      </c>
      <c r="B1271" t="s">
        <v>4072</v>
      </c>
      <c r="C1271">
        <v>6</v>
      </c>
      <c r="D1271" t="s">
        <v>4073</v>
      </c>
      <c r="E1271" t="s">
        <v>4074</v>
      </c>
      <c r="F1271" t="s">
        <v>4075</v>
      </c>
    </row>
    <row r="1272" spans="1:6" x14ac:dyDescent="0.25">
      <c r="A1272">
        <v>1878</v>
      </c>
      <c r="B1272" t="s">
        <v>4072</v>
      </c>
      <c r="C1272">
        <v>19</v>
      </c>
      <c r="D1272" t="s">
        <v>4073</v>
      </c>
      <c r="E1272" t="s">
        <v>4074</v>
      </c>
      <c r="F1272" t="s">
        <v>4076</v>
      </c>
    </row>
    <row r="1273" spans="1:6" x14ac:dyDescent="0.25">
      <c r="A1273">
        <v>1878</v>
      </c>
      <c r="B1273" t="s">
        <v>4072</v>
      </c>
      <c r="C1273">
        <v>39</v>
      </c>
      <c r="D1273" t="s">
        <v>4073</v>
      </c>
      <c r="E1273" t="s">
        <v>4074</v>
      </c>
      <c r="F1273" t="s">
        <v>4079</v>
      </c>
    </row>
    <row r="1274" spans="1:6" x14ac:dyDescent="0.25">
      <c r="A1274">
        <v>1884</v>
      </c>
      <c r="B1274" t="s">
        <v>4072</v>
      </c>
      <c r="C1274">
        <v>6</v>
      </c>
      <c r="D1274" t="s">
        <v>4073</v>
      </c>
      <c r="E1274" t="s">
        <v>4074</v>
      </c>
      <c r="F1274" t="s">
        <v>4075</v>
      </c>
    </row>
    <row r="1275" spans="1:6" x14ac:dyDescent="0.25">
      <c r="A1275">
        <v>1884</v>
      </c>
      <c r="B1275" t="s">
        <v>4072</v>
      </c>
      <c r="C1275">
        <v>19</v>
      </c>
      <c r="D1275" t="s">
        <v>4073</v>
      </c>
      <c r="E1275" t="s">
        <v>4074</v>
      </c>
      <c r="F1275" t="s">
        <v>4076</v>
      </c>
    </row>
    <row r="1276" spans="1:6" x14ac:dyDescent="0.25">
      <c r="A1276">
        <v>1884</v>
      </c>
      <c r="B1276" t="s">
        <v>4072</v>
      </c>
      <c r="C1276">
        <v>39</v>
      </c>
      <c r="D1276" t="s">
        <v>4073</v>
      </c>
      <c r="E1276" t="s">
        <v>4074</v>
      </c>
      <c r="F1276" t="s">
        <v>4079</v>
      </c>
    </row>
    <row r="1277" spans="1:6" x14ac:dyDescent="0.25">
      <c r="A1277">
        <v>1885</v>
      </c>
      <c r="B1277" t="s">
        <v>4092</v>
      </c>
      <c r="C1277">
        <v>23</v>
      </c>
      <c r="D1277" t="s">
        <v>2757</v>
      </c>
      <c r="E1277" t="s">
        <v>4093</v>
      </c>
      <c r="F1277" t="s">
        <v>4075</v>
      </c>
    </row>
    <row r="1278" spans="1:6" x14ac:dyDescent="0.25">
      <c r="A1278">
        <v>1885</v>
      </c>
      <c r="B1278" t="s">
        <v>4092</v>
      </c>
      <c r="C1278">
        <v>33</v>
      </c>
      <c r="D1278" t="s">
        <v>4109</v>
      </c>
      <c r="E1278" t="s">
        <v>4110</v>
      </c>
      <c r="F1278" t="s">
        <v>4075</v>
      </c>
    </row>
    <row r="1279" spans="1:6" x14ac:dyDescent="0.25">
      <c r="A1279">
        <v>1886</v>
      </c>
      <c r="B1279" t="s">
        <v>4092</v>
      </c>
      <c r="C1279">
        <v>32</v>
      </c>
      <c r="D1279" t="s">
        <v>4106</v>
      </c>
      <c r="E1279" t="s">
        <v>4107</v>
      </c>
      <c r="F1279" t="s">
        <v>4076</v>
      </c>
    </row>
    <row r="1280" spans="1:6" x14ac:dyDescent="0.25">
      <c r="A1280">
        <v>1887</v>
      </c>
      <c r="B1280" t="s">
        <v>4092</v>
      </c>
      <c r="C1280">
        <v>28</v>
      </c>
      <c r="D1280" t="s">
        <v>2757</v>
      </c>
      <c r="E1280" t="s">
        <v>4093</v>
      </c>
      <c r="F1280" t="s">
        <v>4076</v>
      </c>
    </row>
    <row r="1281" spans="1:6" x14ac:dyDescent="0.25">
      <c r="A1281">
        <v>1889</v>
      </c>
      <c r="B1281" t="s">
        <v>4072</v>
      </c>
      <c r="C1281">
        <v>4</v>
      </c>
      <c r="D1281" t="s">
        <v>4077</v>
      </c>
      <c r="E1281" t="s">
        <v>4078</v>
      </c>
      <c r="F1281" t="s">
        <v>4075</v>
      </c>
    </row>
    <row r="1282" spans="1:6" x14ac:dyDescent="0.25">
      <c r="A1282">
        <v>1889</v>
      </c>
      <c r="B1282" t="s">
        <v>4072</v>
      </c>
      <c r="C1282">
        <v>16</v>
      </c>
      <c r="D1282" t="s">
        <v>4077</v>
      </c>
      <c r="E1282" t="s">
        <v>4078</v>
      </c>
      <c r="F1282" t="s">
        <v>4076</v>
      </c>
    </row>
    <row r="1283" spans="1:6" x14ac:dyDescent="0.25">
      <c r="A1283">
        <v>1890</v>
      </c>
      <c r="B1283" t="s">
        <v>4072</v>
      </c>
      <c r="C1283">
        <v>5</v>
      </c>
      <c r="D1283" t="s">
        <v>4087</v>
      </c>
      <c r="E1283" t="s">
        <v>4088</v>
      </c>
      <c r="F1283" t="s">
        <v>4075</v>
      </c>
    </row>
    <row r="1284" spans="1:6" x14ac:dyDescent="0.25">
      <c r="A1284">
        <v>1890</v>
      </c>
      <c r="B1284" t="s">
        <v>4072</v>
      </c>
      <c r="C1284">
        <v>15</v>
      </c>
      <c r="D1284" t="s">
        <v>4080</v>
      </c>
      <c r="E1284" t="s">
        <v>4081</v>
      </c>
      <c r="F1284" t="s">
        <v>4076</v>
      </c>
    </row>
    <row r="1285" spans="1:6" x14ac:dyDescent="0.25">
      <c r="A1285">
        <v>1895</v>
      </c>
      <c r="B1285" t="s">
        <v>4072</v>
      </c>
      <c r="C1285">
        <v>3</v>
      </c>
      <c r="D1285" t="s">
        <v>4085</v>
      </c>
      <c r="E1285" t="s">
        <v>4086</v>
      </c>
      <c r="F1285" t="s">
        <v>4075</v>
      </c>
    </row>
    <row r="1286" spans="1:6" x14ac:dyDescent="0.25">
      <c r="A1286">
        <v>1895</v>
      </c>
      <c r="B1286" t="s">
        <v>4072</v>
      </c>
      <c r="C1286">
        <v>5</v>
      </c>
      <c r="D1286" t="s">
        <v>4087</v>
      </c>
      <c r="E1286" t="s">
        <v>4088</v>
      </c>
      <c r="F1286" t="s">
        <v>4075</v>
      </c>
    </row>
    <row r="1287" spans="1:6" x14ac:dyDescent="0.25">
      <c r="A1287">
        <v>1895</v>
      </c>
      <c r="B1287" t="s">
        <v>4072</v>
      </c>
      <c r="C1287">
        <v>15</v>
      </c>
      <c r="D1287" t="s">
        <v>4080</v>
      </c>
      <c r="E1287" t="s">
        <v>4081</v>
      </c>
      <c r="F1287" t="s">
        <v>4076</v>
      </c>
    </row>
    <row r="1288" spans="1:6" x14ac:dyDescent="0.25">
      <c r="A1288">
        <v>1895</v>
      </c>
      <c r="B1288" t="s">
        <v>4072</v>
      </c>
      <c r="C1288">
        <v>40</v>
      </c>
      <c r="D1288" t="s">
        <v>4080</v>
      </c>
      <c r="E1288" t="s">
        <v>4081</v>
      </c>
      <c r="F1288" t="s">
        <v>4079</v>
      </c>
    </row>
    <row r="1289" spans="1:6" x14ac:dyDescent="0.25">
      <c r="A1289">
        <v>1896</v>
      </c>
      <c r="B1289" t="s">
        <v>4072</v>
      </c>
      <c r="C1289">
        <v>5</v>
      </c>
      <c r="D1289" t="s">
        <v>4087</v>
      </c>
      <c r="E1289" t="s">
        <v>4088</v>
      </c>
      <c r="F1289" t="s">
        <v>4075</v>
      </c>
    </row>
    <row r="1290" spans="1:6" x14ac:dyDescent="0.25">
      <c r="A1290">
        <v>1896</v>
      </c>
      <c r="B1290" t="s">
        <v>4072</v>
      </c>
      <c r="C1290">
        <v>15</v>
      </c>
      <c r="D1290" t="s">
        <v>4080</v>
      </c>
      <c r="E1290" t="s">
        <v>4081</v>
      </c>
      <c r="F1290" t="s">
        <v>4076</v>
      </c>
    </row>
    <row r="1291" spans="1:6" x14ac:dyDescent="0.25">
      <c r="A1291">
        <v>1896</v>
      </c>
      <c r="B1291" t="s">
        <v>4072</v>
      </c>
      <c r="C1291">
        <v>40</v>
      </c>
      <c r="D1291" t="s">
        <v>4080</v>
      </c>
      <c r="E1291" t="s">
        <v>4081</v>
      </c>
      <c r="F1291" t="s">
        <v>4079</v>
      </c>
    </row>
    <row r="1292" spans="1:6" x14ac:dyDescent="0.25">
      <c r="A1292">
        <v>1897</v>
      </c>
      <c r="B1292" t="s">
        <v>4072</v>
      </c>
      <c r="C1292">
        <v>5</v>
      </c>
      <c r="D1292" t="s">
        <v>4087</v>
      </c>
      <c r="E1292" t="s">
        <v>4088</v>
      </c>
      <c r="F1292" t="s">
        <v>4075</v>
      </c>
    </row>
    <row r="1293" spans="1:6" x14ac:dyDescent="0.25">
      <c r="A1293">
        <v>1897</v>
      </c>
      <c r="B1293" t="s">
        <v>4072</v>
      </c>
      <c r="C1293">
        <v>15</v>
      </c>
      <c r="D1293" t="s">
        <v>4080</v>
      </c>
      <c r="E1293" t="s">
        <v>4081</v>
      </c>
      <c r="F1293" t="s">
        <v>4076</v>
      </c>
    </row>
    <row r="1294" spans="1:6" x14ac:dyDescent="0.25">
      <c r="A1294">
        <v>1897</v>
      </c>
      <c r="B1294" t="s">
        <v>4072</v>
      </c>
      <c r="C1294">
        <v>40</v>
      </c>
      <c r="D1294" t="s">
        <v>4080</v>
      </c>
      <c r="E1294" t="s">
        <v>4081</v>
      </c>
      <c r="F1294" t="s">
        <v>4079</v>
      </c>
    </row>
    <row r="1295" spans="1:6" x14ac:dyDescent="0.25">
      <c r="A1295">
        <v>1898</v>
      </c>
      <c r="B1295" t="s">
        <v>4072</v>
      </c>
      <c r="C1295">
        <v>2</v>
      </c>
      <c r="D1295" t="s">
        <v>4082</v>
      </c>
      <c r="E1295" t="s">
        <v>4083</v>
      </c>
      <c r="F1295" t="s">
        <v>4075</v>
      </c>
    </row>
    <row r="1296" spans="1:6" x14ac:dyDescent="0.25">
      <c r="A1296">
        <v>1898</v>
      </c>
      <c r="B1296" t="s">
        <v>4072</v>
      </c>
      <c r="C1296">
        <v>17</v>
      </c>
      <c r="D1296" t="s">
        <v>4082</v>
      </c>
      <c r="E1296" t="s">
        <v>4084</v>
      </c>
      <c r="F1296" t="s">
        <v>4076</v>
      </c>
    </row>
    <row r="1297" spans="1:6" x14ac:dyDescent="0.25">
      <c r="A1297">
        <v>1898</v>
      </c>
      <c r="B1297" t="s">
        <v>4072</v>
      </c>
      <c r="C1297">
        <v>42</v>
      </c>
      <c r="D1297" t="s">
        <v>4082</v>
      </c>
      <c r="E1297" t="s">
        <v>4083</v>
      </c>
      <c r="F1297" t="s">
        <v>4079</v>
      </c>
    </row>
    <row r="1298" spans="1:6" x14ac:dyDescent="0.25">
      <c r="A1298">
        <v>1899</v>
      </c>
      <c r="B1298" t="s">
        <v>4072</v>
      </c>
      <c r="C1298">
        <v>4</v>
      </c>
      <c r="D1298" t="s">
        <v>4077</v>
      </c>
      <c r="E1298" t="s">
        <v>4078</v>
      </c>
      <c r="F1298" t="s">
        <v>4075</v>
      </c>
    </row>
    <row r="1299" spans="1:6" x14ac:dyDescent="0.25">
      <c r="A1299">
        <v>1899</v>
      </c>
      <c r="B1299" t="s">
        <v>4072</v>
      </c>
      <c r="C1299">
        <v>16</v>
      </c>
      <c r="D1299" t="s">
        <v>4077</v>
      </c>
      <c r="E1299" t="s">
        <v>4078</v>
      </c>
      <c r="F1299" t="s">
        <v>4076</v>
      </c>
    </row>
    <row r="1300" spans="1:6" x14ac:dyDescent="0.25">
      <c r="A1300">
        <v>1899</v>
      </c>
      <c r="B1300" t="s">
        <v>4072</v>
      </c>
      <c r="C1300">
        <v>44</v>
      </c>
      <c r="D1300" t="s">
        <v>4077</v>
      </c>
      <c r="E1300" t="s">
        <v>4078</v>
      </c>
      <c r="F1300" t="s">
        <v>4079</v>
      </c>
    </row>
    <row r="1301" spans="1:6" x14ac:dyDescent="0.25">
      <c r="A1301">
        <v>1900</v>
      </c>
      <c r="B1301" t="s">
        <v>4072</v>
      </c>
      <c r="C1301">
        <v>4</v>
      </c>
      <c r="D1301" t="s">
        <v>4077</v>
      </c>
      <c r="E1301" t="s">
        <v>4078</v>
      </c>
      <c r="F1301" t="s">
        <v>4075</v>
      </c>
    </row>
    <row r="1302" spans="1:6" x14ac:dyDescent="0.25">
      <c r="A1302">
        <v>1900</v>
      </c>
      <c r="B1302" t="s">
        <v>4072</v>
      </c>
      <c r="C1302">
        <v>5</v>
      </c>
      <c r="D1302" t="s">
        <v>4087</v>
      </c>
      <c r="E1302" t="s">
        <v>4088</v>
      </c>
      <c r="F1302" t="s">
        <v>4075</v>
      </c>
    </row>
    <row r="1303" spans="1:6" x14ac:dyDescent="0.25">
      <c r="A1303">
        <v>1900</v>
      </c>
      <c r="B1303" t="s">
        <v>4072</v>
      </c>
      <c r="C1303">
        <v>15</v>
      </c>
      <c r="D1303" t="s">
        <v>4080</v>
      </c>
      <c r="E1303" t="s">
        <v>4081</v>
      </c>
      <c r="F1303" t="s">
        <v>4076</v>
      </c>
    </row>
    <row r="1304" spans="1:6" x14ac:dyDescent="0.25">
      <c r="A1304">
        <v>1900</v>
      </c>
      <c r="B1304" t="s">
        <v>4072</v>
      </c>
      <c r="C1304">
        <v>16</v>
      </c>
      <c r="D1304" t="s">
        <v>4077</v>
      </c>
      <c r="E1304" t="s">
        <v>4078</v>
      </c>
      <c r="F1304" t="s">
        <v>4076</v>
      </c>
    </row>
    <row r="1305" spans="1:6" x14ac:dyDescent="0.25">
      <c r="A1305">
        <v>1900</v>
      </c>
      <c r="B1305" t="s">
        <v>4072</v>
      </c>
      <c r="C1305">
        <v>40</v>
      </c>
      <c r="D1305" t="s">
        <v>4080</v>
      </c>
      <c r="E1305" t="s">
        <v>4081</v>
      </c>
      <c r="F1305" t="s">
        <v>4079</v>
      </c>
    </row>
    <row r="1306" spans="1:6" x14ac:dyDescent="0.25">
      <c r="A1306">
        <v>1900</v>
      </c>
      <c r="B1306" t="s">
        <v>4072</v>
      </c>
      <c r="C1306">
        <v>44</v>
      </c>
      <c r="D1306" t="s">
        <v>4077</v>
      </c>
      <c r="E1306" t="s">
        <v>4078</v>
      </c>
      <c r="F1306" t="s">
        <v>4079</v>
      </c>
    </row>
    <row r="1307" spans="1:6" x14ac:dyDescent="0.25">
      <c r="A1307">
        <v>1901</v>
      </c>
      <c r="B1307" t="s">
        <v>4092</v>
      </c>
      <c r="C1307">
        <v>23</v>
      </c>
      <c r="D1307" t="s">
        <v>2757</v>
      </c>
      <c r="E1307" t="s">
        <v>4093</v>
      </c>
      <c r="F1307" t="s">
        <v>4075</v>
      </c>
    </row>
    <row r="1308" spans="1:6" x14ac:dyDescent="0.25">
      <c r="A1308">
        <v>1901</v>
      </c>
      <c r="B1308" t="s">
        <v>4092</v>
      </c>
      <c r="C1308">
        <v>28</v>
      </c>
      <c r="D1308" t="s">
        <v>2757</v>
      </c>
      <c r="E1308" t="s">
        <v>4093</v>
      </c>
      <c r="F1308" t="s">
        <v>4076</v>
      </c>
    </row>
    <row r="1309" spans="1:6" x14ac:dyDescent="0.25">
      <c r="A1309">
        <v>1901</v>
      </c>
      <c r="B1309" t="s">
        <v>4092</v>
      </c>
      <c r="C1309">
        <v>48</v>
      </c>
      <c r="D1309" t="s">
        <v>2757</v>
      </c>
      <c r="E1309" t="s">
        <v>4093</v>
      </c>
      <c r="F1309" t="s">
        <v>4079</v>
      </c>
    </row>
    <row r="1310" spans="1:6" x14ac:dyDescent="0.25">
      <c r="A1310">
        <v>1902</v>
      </c>
      <c r="B1310" t="s">
        <v>4092</v>
      </c>
      <c r="C1310">
        <v>23</v>
      </c>
      <c r="D1310" t="s">
        <v>2757</v>
      </c>
      <c r="E1310" t="s">
        <v>4093</v>
      </c>
      <c r="F1310" t="s">
        <v>4075</v>
      </c>
    </row>
    <row r="1311" spans="1:6" x14ac:dyDescent="0.25">
      <c r="A1311">
        <v>1902</v>
      </c>
      <c r="B1311" t="s">
        <v>4092</v>
      </c>
      <c r="C1311">
        <v>28</v>
      </c>
      <c r="D1311" t="s">
        <v>2757</v>
      </c>
      <c r="E1311" t="s">
        <v>4093</v>
      </c>
      <c r="F1311" t="s">
        <v>4076</v>
      </c>
    </row>
    <row r="1312" spans="1:6" x14ac:dyDescent="0.25">
      <c r="A1312">
        <v>1902</v>
      </c>
      <c r="B1312" t="s">
        <v>4092</v>
      </c>
      <c r="C1312">
        <v>48</v>
      </c>
      <c r="D1312" t="s">
        <v>2757</v>
      </c>
      <c r="E1312" t="s">
        <v>4093</v>
      </c>
      <c r="F1312" t="s">
        <v>4079</v>
      </c>
    </row>
    <row r="1313" spans="1:6" x14ac:dyDescent="0.25">
      <c r="A1313">
        <v>1903</v>
      </c>
      <c r="B1313" t="s">
        <v>4092</v>
      </c>
      <c r="C1313">
        <v>24</v>
      </c>
      <c r="D1313" t="s">
        <v>2760</v>
      </c>
      <c r="E1313" t="s">
        <v>4108</v>
      </c>
      <c r="F1313" t="s">
        <v>4075</v>
      </c>
    </row>
    <row r="1314" spans="1:6" x14ac:dyDescent="0.25">
      <c r="A1314">
        <v>1905</v>
      </c>
      <c r="B1314" t="s">
        <v>4072</v>
      </c>
      <c r="C1314">
        <v>3</v>
      </c>
      <c r="D1314" t="s">
        <v>4085</v>
      </c>
      <c r="E1314" t="s">
        <v>4086</v>
      </c>
      <c r="F1314" t="s">
        <v>4075</v>
      </c>
    </row>
    <row r="1315" spans="1:6" x14ac:dyDescent="0.25">
      <c r="A1315">
        <v>1905</v>
      </c>
      <c r="B1315" t="s">
        <v>4072</v>
      </c>
      <c r="C1315">
        <v>15</v>
      </c>
      <c r="D1315" t="s">
        <v>4080</v>
      </c>
      <c r="E1315" t="s">
        <v>4081</v>
      </c>
      <c r="F1315" t="s">
        <v>4076</v>
      </c>
    </row>
    <row r="1316" spans="1:6" x14ac:dyDescent="0.25">
      <c r="A1316">
        <v>1906</v>
      </c>
      <c r="B1316" t="s">
        <v>4092</v>
      </c>
      <c r="C1316">
        <v>33</v>
      </c>
      <c r="D1316" t="s">
        <v>4109</v>
      </c>
      <c r="E1316" t="s">
        <v>4110</v>
      </c>
      <c r="F1316" t="s">
        <v>4075</v>
      </c>
    </row>
    <row r="1317" spans="1:6" x14ac:dyDescent="0.25">
      <c r="A1317">
        <v>1906</v>
      </c>
      <c r="B1317" t="s">
        <v>4092</v>
      </c>
      <c r="C1317">
        <v>34</v>
      </c>
      <c r="D1317" t="s">
        <v>4109</v>
      </c>
      <c r="E1317" t="s">
        <v>4110</v>
      </c>
      <c r="F1317" t="s">
        <v>4076</v>
      </c>
    </row>
    <row r="1318" spans="1:6" x14ac:dyDescent="0.25">
      <c r="A1318">
        <v>1907</v>
      </c>
      <c r="B1318" t="s">
        <v>4072</v>
      </c>
      <c r="C1318">
        <v>1</v>
      </c>
      <c r="D1318" t="s">
        <v>2761</v>
      </c>
      <c r="E1318" t="s">
        <v>4089</v>
      </c>
      <c r="F1318" t="s">
        <v>4075</v>
      </c>
    </row>
    <row r="1319" spans="1:6" x14ac:dyDescent="0.25">
      <c r="A1319">
        <v>1907</v>
      </c>
      <c r="B1319" t="s">
        <v>4072</v>
      </c>
      <c r="C1319">
        <v>38</v>
      </c>
      <c r="D1319" t="s">
        <v>2761</v>
      </c>
      <c r="E1319" t="s">
        <v>4089</v>
      </c>
      <c r="F1319" t="s">
        <v>4076</v>
      </c>
    </row>
    <row r="1320" spans="1:6" x14ac:dyDescent="0.25">
      <c r="A1320">
        <v>1908</v>
      </c>
      <c r="B1320" t="s">
        <v>4072</v>
      </c>
      <c r="C1320">
        <v>6</v>
      </c>
      <c r="D1320" t="s">
        <v>4073</v>
      </c>
      <c r="E1320" t="s">
        <v>4074</v>
      </c>
      <c r="F1320" t="s">
        <v>4075</v>
      </c>
    </row>
    <row r="1321" spans="1:6" x14ac:dyDescent="0.25">
      <c r="A1321">
        <v>1908</v>
      </c>
      <c r="B1321" t="s">
        <v>4072</v>
      </c>
      <c r="C1321">
        <v>19</v>
      </c>
      <c r="D1321" t="s">
        <v>4073</v>
      </c>
      <c r="E1321" t="s">
        <v>4074</v>
      </c>
      <c r="F1321" t="s">
        <v>4076</v>
      </c>
    </row>
    <row r="1322" spans="1:6" x14ac:dyDescent="0.25">
      <c r="A1322">
        <v>1909</v>
      </c>
      <c r="B1322" t="s">
        <v>4072</v>
      </c>
      <c r="C1322">
        <v>2</v>
      </c>
      <c r="D1322" t="s">
        <v>4082</v>
      </c>
      <c r="E1322" t="s">
        <v>4083</v>
      </c>
      <c r="F1322" t="s">
        <v>4075</v>
      </c>
    </row>
    <row r="1323" spans="1:6" x14ac:dyDescent="0.25">
      <c r="A1323">
        <v>1909</v>
      </c>
      <c r="B1323" t="s">
        <v>4072</v>
      </c>
      <c r="C1323">
        <v>17</v>
      </c>
      <c r="D1323" t="s">
        <v>4082</v>
      </c>
      <c r="E1323" t="s">
        <v>4084</v>
      </c>
      <c r="F1323" t="s">
        <v>4076</v>
      </c>
    </row>
    <row r="1324" spans="1:6" x14ac:dyDescent="0.25">
      <c r="A1324">
        <v>1910</v>
      </c>
      <c r="B1324" t="s">
        <v>4072</v>
      </c>
      <c r="C1324">
        <v>4</v>
      </c>
      <c r="D1324" t="s">
        <v>4077</v>
      </c>
      <c r="E1324" t="s">
        <v>4078</v>
      </c>
      <c r="F1324" t="s">
        <v>4075</v>
      </c>
    </row>
    <row r="1325" spans="1:6" x14ac:dyDescent="0.25">
      <c r="A1325">
        <v>1910</v>
      </c>
      <c r="B1325" t="s">
        <v>4072</v>
      </c>
      <c r="C1325">
        <v>16</v>
      </c>
      <c r="D1325" t="s">
        <v>4077</v>
      </c>
      <c r="E1325" t="s">
        <v>4078</v>
      </c>
      <c r="F1325" t="s">
        <v>4076</v>
      </c>
    </row>
    <row r="1326" spans="1:6" x14ac:dyDescent="0.25">
      <c r="A1326">
        <v>1911</v>
      </c>
      <c r="B1326" t="s">
        <v>4092</v>
      </c>
      <c r="C1326">
        <v>23</v>
      </c>
      <c r="D1326" t="s">
        <v>2757</v>
      </c>
      <c r="E1326" t="s">
        <v>4093</v>
      </c>
      <c r="F1326" t="s">
        <v>4075</v>
      </c>
    </row>
    <row r="1327" spans="1:6" x14ac:dyDescent="0.25">
      <c r="A1327">
        <v>1911</v>
      </c>
      <c r="B1327" t="s">
        <v>4092</v>
      </c>
      <c r="C1327">
        <v>28</v>
      </c>
      <c r="D1327" t="s">
        <v>2757</v>
      </c>
      <c r="E1327" t="s">
        <v>4093</v>
      </c>
      <c r="F1327" t="s">
        <v>4076</v>
      </c>
    </row>
    <row r="1328" spans="1:6" x14ac:dyDescent="0.25">
      <c r="A1328">
        <v>1931</v>
      </c>
      <c r="B1328" t="s">
        <v>4072</v>
      </c>
      <c r="C1328">
        <v>3</v>
      </c>
      <c r="D1328" t="s">
        <v>4085</v>
      </c>
      <c r="E1328" t="s">
        <v>4086</v>
      </c>
      <c r="F1328" t="s">
        <v>4075</v>
      </c>
    </row>
    <row r="1329" spans="1:6" x14ac:dyDescent="0.25">
      <c r="A1329">
        <v>1931</v>
      </c>
      <c r="B1329" t="s">
        <v>4072</v>
      </c>
      <c r="C1329">
        <v>15</v>
      </c>
      <c r="D1329" t="s">
        <v>4080</v>
      </c>
      <c r="E1329" t="s">
        <v>4081</v>
      </c>
      <c r="F1329" t="s">
        <v>4076</v>
      </c>
    </row>
    <row r="1330" spans="1:6" x14ac:dyDescent="0.25">
      <c r="A1330">
        <v>1932</v>
      </c>
      <c r="B1330" t="s">
        <v>4072</v>
      </c>
      <c r="C1330">
        <v>3</v>
      </c>
      <c r="D1330" t="s">
        <v>4085</v>
      </c>
      <c r="E1330" t="s">
        <v>4086</v>
      </c>
      <c r="F1330" t="s">
        <v>4075</v>
      </c>
    </row>
    <row r="1331" spans="1:6" x14ac:dyDescent="0.25">
      <c r="A1331">
        <v>1932</v>
      </c>
      <c r="B1331" t="s">
        <v>4072</v>
      </c>
      <c r="C1331">
        <v>15</v>
      </c>
      <c r="D1331" t="s">
        <v>4080</v>
      </c>
      <c r="E1331" t="s">
        <v>4081</v>
      </c>
      <c r="F1331" t="s">
        <v>4076</v>
      </c>
    </row>
    <row r="1332" spans="1:6" x14ac:dyDescent="0.25">
      <c r="A1332">
        <v>1933</v>
      </c>
      <c r="B1332" t="s">
        <v>4072</v>
      </c>
      <c r="C1332">
        <v>2</v>
      </c>
      <c r="D1332" t="s">
        <v>4082</v>
      </c>
      <c r="E1332" t="s">
        <v>4083</v>
      </c>
      <c r="F1332" t="s">
        <v>4075</v>
      </c>
    </row>
    <row r="1333" spans="1:6" x14ac:dyDescent="0.25">
      <c r="A1333">
        <v>1933</v>
      </c>
      <c r="B1333" t="s">
        <v>4072</v>
      </c>
      <c r="C1333">
        <v>17</v>
      </c>
      <c r="D1333" t="s">
        <v>4082</v>
      </c>
      <c r="E1333" t="s">
        <v>4084</v>
      </c>
      <c r="F1333" t="s">
        <v>4076</v>
      </c>
    </row>
    <row r="1334" spans="1:6" x14ac:dyDescent="0.25">
      <c r="A1334">
        <v>1934</v>
      </c>
      <c r="B1334" t="s">
        <v>4072</v>
      </c>
      <c r="C1334">
        <v>2</v>
      </c>
      <c r="D1334" t="s">
        <v>4082</v>
      </c>
      <c r="E1334" t="s">
        <v>4083</v>
      </c>
      <c r="F1334" t="s">
        <v>4075</v>
      </c>
    </row>
    <row r="1335" spans="1:6" x14ac:dyDescent="0.25">
      <c r="A1335">
        <v>1934</v>
      </c>
      <c r="B1335" t="s">
        <v>4072</v>
      </c>
      <c r="C1335">
        <v>17</v>
      </c>
      <c r="D1335" t="s">
        <v>4082</v>
      </c>
      <c r="E1335" t="s">
        <v>4084</v>
      </c>
      <c r="F1335" t="s">
        <v>4076</v>
      </c>
    </row>
    <row r="1336" spans="1:6" x14ac:dyDescent="0.25">
      <c r="A1336">
        <v>1935</v>
      </c>
      <c r="B1336" t="s">
        <v>4072</v>
      </c>
      <c r="C1336">
        <v>2</v>
      </c>
      <c r="D1336" t="s">
        <v>4082</v>
      </c>
      <c r="E1336" t="s">
        <v>4083</v>
      </c>
      <c r="F1336" t="s">
        <v>4075</v>
      </c>
    </row>
    <row r="1337" spans="1:6" x14ac:dyDescent="0.25">
      <c r="A1337">
        <v>1935</v>
      </c>
      <c r="B1337" t="s">
        <v>4072</v>
      </c>
      <c r="C1337">
        <v>17</v>
      </c>
      <c r="D1337" t="s">
        <v>4082</v>
      </c>
      <c r="E1337" t="s">
        <v>4084</v>
      </c>
      <c r="F1337" t="s">
        <v>4076</v>
      </c>
    </row>
    <row r="1338" spans="1:6" x14ac:dyDescent="0.25">
      <c r="A1338">
        <v>1936</v>
      </c>
      <c r="B1338" t="s">
        <v>4072</v>
      </c>
      <c r="C1338">
        <v>2</v>
      </c>
      <c r="D1338" t="s">
        <v>4082</v>
      </c>
      <c r="E1338" t="s">
        <v>4083</v>
      </c>
      <c r="F1338" t="s">
        <v>4075</v>
      </c>
    </row>
    <row r="1339" spans="1:6" x14ac:dyDescent="0.25">
      <c r="A1339">
        <v>1936</v>
      </c>
      <c r="B1339" t="s">
        <v>4072</v>
      </c>
      <c r="C1339">
        <v>17</v>
      </c>
      <c r="D1339" t="s">
        <v>4082</v>
      </c>
      <c r="E1339" t="s">
        <v>4084</v>
      </c>
      <c r="F1339" t="s">
        <v>4076</v>
      </c>
    </row>
    <row r="1340" spans="1:6" x14ac:dyDescent="0.25">
      <c r="A1340">
        <v>1936</v>
      </c>
      <c r="B1340" t="s">
        <v>4072</v>
      </c>
      <c r="C1340">
        <v>42</v>
      </c>
      <c r="D1340" t="s">
        <v>4082</v>
      </c>
      <c r="E1340" t="s">
        <v>4083</v>
      </c>
      <c r="F1340" t="s">
        <v>4079</v>
      </c>
    </row>
    <row r="1341" spans="1:6" x14ac:dyDescent="0.25">
      <c r="A1341">
        <v>1937</v>
      </c>
      <c r="B1341" t="s">
        <v>4072</v>
      </c>
      <c r="C1341">
        <v>3</v>
      </c>
      <c r="D1341" t="s">
        <v>4085</v>
      </c>
      <c r="E1341" t="s">
        <v>4086</v>
      </c>
      <c r="F1341" t="s">
        <v>4075</v>
      </c>
    </row>
    <row r="1342" spans="1:6" x14ac:dyDescent="0.25">
      <c r="A1342">
        <v>1937</v>
      </c>
      <c r="B1342" t="s">
        <v>4072</v>
      </c>
      <c r="C1342">
        <v>5</v>
      </c>
      <c r="D1342" t="s">
        <v>4087</v>
      </c>
      <c r="E1342" t="s">
        <v>4088</v>
      </c>
      <c r="F1342" t="s">
        <v>4075</v>
      </c>
    </row>
    <row r="1343" spans="1:6" x14ac:dyDescent="0.25">
      <c r="A1343">
        <v>1937</v>
      </c>
      <c r="B1343" t="s">
        <v>4072</v>
      </c>
      <c r="C1343">
        <v>15</v>
      </c>
      <c r="D1343" t="s">
        <v>4080</v>
      </c>
      <c r="E1343" t="s">
        <v>4081</v>
      </c>
      <c r="F1343" t="s">
        <v>4076</v>
      </c>
    </row>
    <row r="1344" spans="1:6" x14ac:dyDescent="0.25">
      <c r="A1344">
        <v>1939</v>
      </c>
      <c r="B1344" t="s">
        <v>4072</v>
      </c>
      <c r="C1344">
        <v>5</v>
      </c>
      <c r="D1344" t="s">
        <v>4087</v>
      </c>
      <c r="E1344" t="s">
        <v>4088</v>
      </c>
      <c r="F1344" t="s">
        <v>4075</v>
      </c>
    </row>
    <row r="1345" spans="1:6" x14ac:dyDescent="0.25">
      <c r="A1345">
        <v>1939</v>
      </c>
      <c r="B1345" t="s">
        <v>4072</v>
      </c>
      <c r="C1345">
        <v>15</v>
      </c>
      <c r="D1345" t="s">
        <v>4080</v>
      </c>
      <c r="E1345" t="s">
        <v>4081</v>
      </c>
      <c r="F1345" t="s">
        <v>4076</v>
      </c>
    </row>
    <row r="1346" spans="1:6" x14ac:dyDescent="0.25">
      <c r="A1346">
        <v>1939</v>
      </c>
      <c r="B1346" t="s">
        <v>4072</v>
      </c>
      <c r="C1346">
        <v>40</v>
      </c>
      <c r="D1346" t="s">
        <v>4080</v>
      </c>
      <c r="E1346" t="s">
        <v>4081</v>
      </c>
      <c r="F1346" t="s">
        <v>4079</v>
      </c>
    </row>
    <row r="1347" spans="1:6" x14ac:dyDescent="0.25">
      <c r="A1347">
        <v>1940</v>
      </c>
      <c r="B1347" t="s">
        <v>4072</v>
      </c>
      <c r="C1347">
        <v>6</v>
      </c>
      <c r="D1347" t="s">
        <v>4073</v>
      </c>
      <c r="E1347" t="s">
        <v>4074</v>
      </c>
      <c r="F1347" t="s">
        <v>4075</v>
      </c>
    </row>
    <row r="1348" spans="1:6" x14ac:dyDescent="0.25">
      <c r="A1348">
        <v>1940</v>
      </c>
      <c r="B1348" t="s">
        <v>4072</v>
      </c>
      <c r="C1348">
        <v>19</v>
      </c>
      <c r="D1348" t="s">
        <v>4073</v>
      </c>
      <c r="E1348" t="s">
        <v>4074</v>
      </c>
      <c r="F1348" t="s">
        <v>4076</v>
      </c>
    </row>
    <row r="1349" spans="1:6" x14ac:dyDescent="0.25">
      <c r="A1349">
        <v>1940</v>
      </c>
      <c r="B1349" t="s">
        <v>4072</v>
      </c>
      <c r="C1349">
        <v>39</v>
      </c>
      <c r="D1349" t="s">
        <v>4073</v>
      </c>
      <c r="E1349" t="s">
        <v>4074</v>
      </c>
      <c r="F1349" t="s">
        <v>4079</v>
      </c>
    </row>
    <row r="1350" spans="1:6" x14ac:dyDescent="0.25">
      <c r="A1350">
        <v>1948</v>
      </c>
      <c r="B1350" t="s">
        <v>4072</v>
      </c>
      <c r="C1350">
        <v>2</v>
      </c>
      <c r="D1350" t="s">
        <v>4082</v>
      </c>
      <c r="E1350" t="s">
        <v>4083</v>
      </c>
      <c r="F1350" t="s">
        <v>4075</v>
      </c>
    </row>
    <row r="1351" spans="1:6" x14ac:dyDescent="0.25">
      <c r="A1351">
        <v>1948</v>
      </c>
      <c r="B1351" t="s">
        <v>4072</v>
      </c>
      <c r="C1351">
        <v>17</v>
      </c>
      <c r="D1351" t="s">
        <v>4082</v>
      </c>
      <c r="E1351" t="s">
        <v>4084</v>
      </c>
      <c r="F1351" t="s">
        <v>4076</v>
      </c>
    </row>
    <row r="1352" spans="1:6" x14ac:dyDescent="0.25">
      <c r="A1352">
        <v>1949</v>
      </c>
      <c r="B1352" t="s">
        <v>4072</v>
      </c>
      <c r="C1352">
        <v>6</v>
      </c>
      <c r="D1352" t="s">
        <v>4073</v>
      </c>
      <c r="E1352" t="s">
        <v>4074</v>
      </c>
      <c r="F1352" t="s">
        <v>4075</v>
      </c>
    </row>
    <row r="1353" spans="1:6" x14ac:dyDescent="0.25">
      <c r="A1353">
        <v>1949</v>
      </c>
      <c r="B1353" t="s">
        <v>4072</v>
      </c>
      <c r="C1353">
        <v>19</v>
      </c>
      <c r="D1353" t="s">
        <v>4073</v>
      </c>
      <c r="E1353" t="s">
        <v>4074</v>
      </c>
      <c r="F1353" t="s">
        <v>4076</v>
      </c>
    </row>
    <row r="1354" spans="1:6" x14ac:dyDescent="0.25">
      <c r="A1354">
        <v>1950</v>
      </c>
      <c r="B1354" t="s">
        <v>4072</v>
      </c>
      <c r="C1354">
        <v>5</v>
      </c>
      <c r="D1354" t="s">
        <v>4087</v>
      </c>
      <c r="E1354" t="s">
        <v>4088</v>
      </c>
      <c r="F1354" t="s">
        <v>4075</v>
      </c>
    </row>
    <row r="1355" spans="1:6" x14ac:dyDescent="0.25">
      <c r="A1355">
        <v>1950</v>
      </c>
      <c r="B1355" t="s">
        <v>4072</v>
      </c>
      <c r="C1355">
        <v>15</v>
      </c>
      <c r="D1355" t="s">
        <v>4080</v>
      </c>
      <c r="E1355" t="s">
        <v>4081</v>
      </c>
      <c r="F1355" t="s">
        <v>4076</v>
      </c>
    </row>
    <row r="1356" spans="1:6" x14ac:dyDescent="0.25">
      <c r="A1356">
        <v>1951</v>
      </c>
      <c r="B1356" t="s">
        <v>4072</v>
      </c>
      <c r="C1356">
        <v>4</v>
      </c>
      <c r="D1356" t="s">
        <v>4077</v>
      </c>
      <c r="E1356" t="s">
        <v>4078</v>
      </c>
      <c r="F1356" t="s">
        <v>4075</v>
      </c>
    </row>
    <row r="1357" spans="1:6" x14ac:dyDescent="0.25">
      <c r="A1357">
        <v>1951</v>
      </c>
      <c r="B1357" t="s">
        <v>4072</v>
      </c>
      <c r="C1357">
        <v>16</v>
      </c>
      <c r="D1357" t="s">
        <v>4077</v>
      </c>
      <c r="E1357" t="s">
        <v>4078</v>
      </c>
      <c r="F1357" t="s">
        <v>4076</v>
      </c>
    </row>
    <row r="1358" spans="1:6" x14ac:dyDescent="0.25">
      <c r="A1358">
        <v>1953</v>
      </c>
      <c r="B1358" t="s">
        <v>4072</v>
      </c>
      <c r="C1358">
        <v>4</v>
      </c>
      <c r="D1358" t="s">
        <v>4077</v>
      </c>
      <c r="E1358" t="s">
        <v>4078</v>
      </c>
      <c r="F1358" t="s">
        <v>4075</v>
      </c>
    </row>
    <row r="1359" spans="1:6" x14ac:dyDescent="0.25">
      <c r="A1359">
        <v>1953</v>
      </c>
      <c r="B1359" t="s">
        <v>4072</v>
      </c>
      <c r="C1359">
        <v>16</v>
      </c>
      <c r="D1359" t="s">
        <v>4077</v>
      </c>
      <c r="E1359" t="s">
        <v>4078</v>
      </c>
      <c r="F1359" t="s">
        <v>4076</v>
      </c>
    </row>
    <row r="1360" spans="1:6" x14ac:dyDescent="0.25">
      <c r="A1360">
        <v>1953</v>
      </c>
      <c r="B1360" t="s">
        <v>4072</v>
      </c>
      <c r="C1360">
        <v>44</v>
      </c>
      <c r="D1360" t="s">
        <v>4077</v>
      </c>
      <c r="E1360" t="s">
        <v>4078</v>
      </c>
      <c r="F1360" t="s">
        <v>4079</v>
      </c>
    </row>
    <row r="1361" spans="1:6" x14ac:dyDescent="0.25">
      <c r="A1361">
        <v>1954</v>
      </c>
      <c r="B1361" t="s">
        <v>4072</v>
      </c>
      <c r="C1361">
        <v>1</v>
      </c>
      <c r="D1361" t="s">
        <v>2761</v>
      </c>
      <c r="E1361" t="s">
        <v>4089</v>
      </c>
      <c r="F1361" t="s">
        <v>4075</v>
      </c>
    </row>
    <row r="1362" spans="1:6" x14ac:dyDescent="0.25">
      <c r="A1362">
        <v>1954</v>
      </c>
      <c r="B1362" t="s">
        <v>4072</v>
      </c>
      <c r="C1362">
        <v>17</v>
      </c>
      <c r="D1362" t="s">
        <v>4082</v>
      </c>
      <c r="E1362" t="s">
        <v>4084</v>
      </c>
      <c r="F1362" t="s">
        <v>4076</v>
      </c>
    </row>
    <row r="1363" spans="1:6" x14ac:dyDescent="0.25">
      <c r="A1363">
        <v>1954</v>
      </c>
      <c r="B1363" t="s">
        <v>4072</v>
      </c>
      <c r="C1363">
        <v>42</v>
      </c>
      <c r="D1363" t="s">
        <v>4082</v>
      </c>
      <c r="E1363" t="s">
        <v>4083</v>
      </c>
      <c r="F1363" t="s">
        <v>4079</v>
      </c>
    </row>
    <row r="1364" spans="1:6" x14ac:dyDescent="0.25">
      <c r="A1364">
        <v>1955</v>
      </c>
      <c r="B1364" t="s">
        <v>4072</v>
      </c>
      <c r="C1364">
        <v>2</v>
      </c>
      <c r="D1364" t="s">
        <v>4082</v>
      </c>
      <c r="E1364" t="s">
        <v>4083</v>
      </c>
      <c r="F1364" t="s">
        <v>4075</v>
      </c>
    </row>
    <row r="1365" spans="1:6" x14ac:dyDescent="0.25">
      <c r="A1365">
        <v>1955</v>
      </c>
      <c r="B1365" t="s">
        <v>4072</v>
      </c>
      <c r="C1365">
        <v>17</v>
      </c>
      <c r="D1365" t="s">
        <v>4082</v>
      </c>
      <c r="E1365" t="s">
        <v>4084</v>
      </c>
      <c r="F1365" t="s">
        <v>4076</v>
      </c>
    </row>
    <row r="1366" spans="1:6" x14ac:dyDescent="0.25">
      <c r="A1366">
        <v>1955</v>
      </c>
      <c r="B1366" t="s">
        <v>4072</v>
      </c>
      <c r="C1366">
        <v>42</v>
      </c>
      <c r="D1366" t="s">
        <v>4082</v>
      </c>
      <c r="E1366" t="s">
        <v>4083</v>
      </c>
      <c r="F1366" t="s">
        <v>4079</v>
      </c>
    </row>
    <row r="1367" spans="1:6" x14ac:dyDescent="0.25">
      <c r="A1367">
        <v>1958</v>
      </c>
      <c r="B1367" t="s">
        <v>4072</v>
      </c>
      <c r="C1367">
        <v>6</v>
      </c>
      <c r="D1367" t="s">
        <v>4073</v>
      </c>
      <c r="E1367" t="s">
        <v>4074</v>
      </c>
      <c r="F1367" t="s">
        <v>4075</v>
      </c>
    </row>
    <row r="1368" spans="1:6" x14ac:dyDescent="0.25">
      <c r="A1368">
        <v>1958</v>
      </c>
      <c r="B1368" t="s">
        <v>4072</v>
      </c>
      <c r="C1368">
        <v>19</v>
      </c>
      <c r="D1368" t="s">
        <v>4073</v>
      </c>
      <c r="E1368" t="s">
        <v>4074</v>
      </c>
      <c r="F1368" t="s">
        <v>4076</v>
      </c>
    </row>
    <row r="1369" spans="1:6" x14ac:dyDescent="0.25">
      <c r="A1369">
        <v>1958</v>
      </c>
      <c r="B1369" t="s">
        <v>4072</v>
      </c>
      <c r="C1369">
        <v>39</v>
      </c>
      <c r="D1369" t="s">
        <v>4073</v>
      </c>
      <c r="E1369" t="s">
        <v>4074</v>
      </c>
      <c r="F1369" t="s">
        <v>4079</v>
      </c>
    </row>
    <row r="1370" spans="1:6" x14ac:dyDescent="0.25">
      <c r="A1370">
        <v>1963</v>
      </c>
      <c r="B1370" t="s">
        <v>4072</v>
      </c>
      <c r="C1370">
        <v>6</v>
      </c>
      <c r="D1370" t="s">
        <v>4073</v>
      </c>
      <c r="E1370" t="s">
        <v>4074</v>
      </c>
      <c r="F1370" t="s">
        <v>4075</v>
      </c>
    </row>
    <row r="1371" spans="1:6" x14ac:dyDescent="0.25">
      <c r="A1371">
        <v>1963</v>
      </c>
      <c r="B1371" t="s">
        <v>4072</v>
      </c>
      <c r="C1371">
        <v>19</v>
      </c>
      <c r="D1371" t="s">
        <v>4073</v>
      </c>
      <c r="E1371" t="s">
        <v>4074</v>
      </c>
      <c r="F1371" t="s">
        <v>4076</v>
      </c>
    </row>
    <row r="1372" spans="1:6" x14ac:dyDescent="0.25">
      <c r="A1372">
        <v>1963</v>
      </c>
      <c r="B1372" t="s">
        <v>4072</v>
      </c>
      <c r="C1372">
        <v>39</v>
      </c>
      <c r="D1372" t="s">
        <v>4073</v>
      </c>
      <c r="E1372" t="s">
        <v>4074</v>
      </c>
      <c r="F1372" t="s">
        <v>4079</v>
      </c>
    </row>
    <row r="1373" spans="1:6" x14ac:dyDescent="0.25">
      <c r="A1373">
        <v>1964</v>
      </c>
      <c r="B1373" t="s">
        <v>4072</v>
      </c>
      <c r="C1373">
        <v>1</v>
      </c>
      <c r="D1373" t="s">
        <v>2761</v>
      </c>
      <c r="E1373" t="s">
        <v>4089</v>
      </c>
      <c r="F1373" t="s">
        <v>4075</v>
      </c>
    </row>
    <row r="1374" spans="1:6" x14ac:dyDescent="0.25">
      <c r="A1374">
        <v>1964</v>
      </c>
      <c r="B1374" t="s">
        <v>4072</v>
      </c>
      <c r="C1374">
        <v>38</v>
      </c>
      <c r="D1374" t="s">
        <v>2761</v>
      </c>
      <c r="E1374" t="s">
        <v>4089</v>
      </c>
      <c r="F1374" t="s">
        <v>4076</v>
      </c>
    </row>
    <row r="1375" spans="1:6" x14ac:dyDescent="0.25">
      <c r="A1375">
        <v>1964</v>
      </c>
      <c r="B1375" t="s">
        <v>4072</v>
      </c>
      <c r="C1375">
        <v>43</v>
      </c>
      <c r="D1375" t="s">
        <v>2761</v>
      </c>
      <c r="E1375" t="s">
        <v>4089</v>
      </c>
      <c r="F1375" t="s">
        <v>4079</v>
      </c>
    </row>
    <row r="1376" spans="1:6" x14ac:dyDescent="0.25">
      <c r="A1376">
        <v>1965</v>
      </c>
      <c r="B1376" t="s">
        <v>4072</v>
      </c>
      <c r="C1376">
        <v>2</v>
      </c>
      <c r="D1376" t="s">
        <v>4082</v>
      </c>
      <c r="E1376" t="s">
        <v>4083</v>
      </c>
      <c r="F1376" t="s">
        <v>4075</v>
      </c>
    </row>
    <row r="1377" spans="1:6" x14ac:dyDescent="0.25">
      <c r="A1377">
        <v>1965</v>
      </c>
      <c r="B1377" t="s">
        <v>4072</v>
      </c>
      <c r="C1377">
        <v>17</v>
      </c>
      <c r="D1377" t="s">
        <v>4082</v>
      </c>
      <c r="E1377" t="s">
        <v>4084</v>
      </c>
      <c r="F1377" t="s">
        <v>4076</v>
      </c>
    </row>
    <row r="1378" spans="1:6" x14ac:dyDescent="0.25">
      <c r="A1378">
        <v>1965</v>
      </c>
      <c r="B1378" t="s">
        <v>4072</v>
      </c>
      <c r="C1378">
        <v>42</v>
      </c>
      <c r="D1378" t="s">
        <v>4082</v>
      </c>
      <c r="E1378" t="s">
        <v>4083</v>
      </c>
      <c r="F1378" t="s">
        <v>4079</v>
      </c>
    </row>
    <row r="1379" spans="1:6" x14ac:dyDescent="0.25">
      <c r="A1379">
        <v>1966</v>
      </c>
      <c r="B1379" t="s">
        <v>4072</v>
      </c>
      <c r="C1379">
        <v>4</v>
      </c>
      <c r="D1379" t="s">
        <v>4077</v>
      </c>
      <c r="E1379" t="s">
        <v>4078</v>
      </c>
      <c r="F1379" t="s">
        <v>4075</v>
      </c>
    </row>
    <row r="1380" spans="1:6" x14ac:dyDescent="0.25">
      <c r="A1380">
        <v>1966</v>
      </c>
      <c r="B1380" t="s">
        <v>4072</v>
      </c>
      <c r="C1380">
        <v>16</v>
      </c>
      <c r="D1380" t="s">
        <v>4077</v>
      </c>
      <c r="E1380" t="s">
        <v>4078</v>
      </c>
      <c r="F1380" t="s">
        <v>4076</v>
      </c>
    </row>
    <row r="1381" spans="1:6" x14ac:dyDescent="0.25">
      <c r="A1381">
        <v>1966</v>
      </c>
      <c r="B1381" t="s">
        <v>4072</v>
      </c>
      <c r="C1381">
        <v>44</v>
      </c>
      <c r="D1381" t="s">
        <v>4077</v>
      </c>
      <c r="E1381" t="s">
        <v>4078</v>
      </c>
      <c r="F1381" t="s">
        <v>4079</v>
      </c>
    </row>
    <row r="1382" spans="1:6" x14ac:dyDescent="0.25">
      <c r="A1382">
        <v>1967</v>
      </c>
      <c r="B1382" t="s">
        <v>4072</v>
      </c>
      <c r="C1382">
        <v>5</v>
      </c>
      <c r="D1382" t="s">
        <v>4087</v>
      </c>
      <c r="E1382" t="s">
        <v>4088</v>
      </c>
      <c r="F1382" t="s">
        <v>4075</v>
      </c>
    </row>
    <row r="1383" spans="1:6" x14ac:dyDescent="0.25">
      <c r="A1383">
        <v>1967</v>
      </c>
      <c r="B1383" t="s">
        <v>4072</v>
      </c>
      <c r="C1383">
        <v>15</v>
      </c>
      <c r="D1383" t="s">
        <v>4080</v>
      </c>
      <c r="E1383" t="s">
        <v>4081</v>
      </c>
      <c r="F1383" t="s">
        <v>4076</v>
      </c>
    </row>
    <row r="1384" spans="1:6" x14ac:dyDescent="0.25">
      <c r="A1384">
        <v>1967</v>
      </c>
      <c r="B1384" t="s">
        <v>4072</v>
      </c>
      <c r="C1384">
        <v>40</v>
      </c>
      <c r="D1384" t="s">
        <v>4080</v>
      </c>
      <c r="E1384" t="s">
        <v>4081</v>
      </c>
      <c r="F1384" t="s">
        <v>4079</v>
      </c>
    </row>
    <row r="1385" spans="1:6" x14ac:dyDescent="0.25">
      <c r="A1385">
        <v>1968</v>
      </c>
      <c r="B1385" t="s">
        <v>4072</v>
      </c>
      <c r="C1385">
        <v>6</v>
      </c>
      <c r="D1385" t="s">
        <v>4073</v>
      </c>
      <c r="E1385" t="s">
        <v>4074</v>
      </c>
      <c r="F1385" t="s">
        <v>4075</v>
      </c>
    </row>
    <row r="1386" spans="1:6" x14ac:dyDescent="0.25">
      <c r="A1386">
        <v>1968</v>
      </c>
      <c r="B1386" t="s">
        <v>4072</v>
      </c>
      <c r="C1386">
        <v>19</v>
      </c>
      <c r="D1386" t="s">
        <v>4073</v>
      </c>
      <c r="E1386" t="s">
        <v>4074</v>
      </c>
      <c r="F1386" t="s">
        <v>4076</v>
      </c>
    </row>
    <row r="1387" spans="1:6" x14ac:dyDescent="0.25">
      <c r="A1387">
        <v>1968</v>
      </c>
      <c r="B1387" t="s">
        <v>4072</v>
      </c>
      <c r="C1387">
        <v>39</v>
      </c>
      <c r="D1387" t="s">
        <v>4073</v>
      </c>
      <c r="E1387" t="s">
        <v>4074</v>
      </c>
      <c r="F1387" t="s">
        <v>4079</v>
      </c>
    </row>
    <row r="1388" spans="1:6" x14ac:dyDescent="0.25">
      <c r="A1388">
        <v>1969</v>
      </c>
      <c r="B1388" t="s">
        <v>4072</v>
      </c>
      <c r="C1388">
        <v>2</v>
      </c>
      <c r="D1388" t="s">
        <v>4082</v>
      </c>
      <c r="E1388" t="s">
        <v>4083</v>
      </c>
      <c r="F1388" t="s">
        <v>4075</v>
      </c>
    </row>
    <row r="1389" spans="1:6" x14ac:dyDescent="0.25">
      <c r="A1389">
        <v>1969</v>
      </c>
      <c r="B1389" t="s">
        <v>4072</v>
      </c>
      <c r="C1389">
        <v>17</v>
      </c>
      <c r="D1389" t="s">
        <v>4082</v>
      </c>
      <c r="E1389" t="s">
        <v>4084</v>
      </c>
      <c r="F1389" t="s">
        <v>4076</v>
      </c>
    </row>
    <row r="1390" spans="1:6" x14ac:dyDescent="0.25">
      <c r="A1390">
        <v>1970</v>
      </c>
      <c r="B1390" t="s">
        <v>4072</v>
      </c>
      <c r="C1390">
        <v>1</v>
      </c>
      <c r="D1390" t="s">
        <v>2761</v>
      </c>
      <c r="E1390" t="s">
        <v>4089</v>
      </c>
      <c r="F1390" t="s">
        <v>4075</v>
      </c>
    </row>
    <row r="1391" spans="1:6" x14ac:dyDescent="0.25">
      <c r="A1391">
        <v>1970</v>
      </c>
      <c r="B1391" t="s">
        <v>4072</v>
      </c>
      <c r="C1391">
        <v>38</v>
      </c>
      <c r="D1391" t="s">
        <v>2761</v>
      </c>
      <c r="E1391" t="s">
        <v>4089</v>
      </c>
      <c r="F1391" t="s">
        <v>4076</v>
      </c>
    </row>
    <row r="1392" spans="1:6" x14ac:dyDescent="0.25">
      <c r="A1392">
        <v>1971</v>
      </c>
      <c r="B1392" t="s">
        <v>4092</v>
      </c>
      <c r="C1392">
        <v>33</v>
      </c>
      <c r="D1392" t="s">
        <v>4109</v>
      </c>
      <c r="E1392" t="s">
        <v>4110</v>
      </c>
      <c r="F1392" t="s">
        <v>4075</v>
      </c>
    </row>
    <row r="1393" spans="1:6" x14ac:dyDescent="0.25">
      <c r="A1393">
        <v>1971</v>
      </c>
      <c r="B1393" t="s">
        <v>4092</v>
      </c>
      <c r="C1393">
        <v>34</v>
      </c>
      <c r="D1393" t="s">
        <v>4109</v>
      </c>
      <c r="E1393" t="s">
        <v>4110</v>
      </c>
      <c r="F1393" t="s">
        <v>4076</v>
      </c>
    </row>
    <row r="1394" spans="1:6" x14ac:dyDescent="0.25">
      <c r="A1394">
        <v>1972</v>
      </c>
      <c r="B1394" t="s">
        <v>4072</v>
      </c>
      <c r="C1394">
        <v>6</v>
      </c>
      <c r="D1394" t="s">
        <v>4073</v>
      </c>
      <c r="E1394" t="s">
        <v>4074</v>
      </c>
      <c r="F1394" t="s">
        <v>4075</v>
      </c>
    </row>
    <row r="1395" spans="1:6" x14ac:dyDescent="0.25">
      <c r="A1395">
        <v>1972</v>
      </c>
      <c r="B1395" t="s">
        <v>4072</v>
      </c>
      <c r="C1395">
        <v>19</v>
      </c>
      <c r="D1395" t="s">
        <v>4073</v>
      </c>
      <c r="E1395" t="s">
        <v>4074</v>
      </c>
      <c r="F1395" t="s">
        <v>4076</v>
      </c>
    </row>
    <row r="1396" spans="1:6" x14ac:dyDescent="0.25">
      <c r="A1396">
        <v>1973</v>
      </c>
      <c r="B1396" t="s">
        <v>4072</v>
      </c>
      <c r="C1396">
        <v>4</v>
      </c>
      <c r="D1396" t="s">
        <v>4077</v>
      </c>
      <c r="E1396" t="s">
        <v>4078</v>
      </c>
      <c r="F1396" t="s">
        <v>4075</v>
      </c>
    </row>
    <row r="1397" spans="1:6" x14ac:dyDescent="0.25">
      <c r="A1397">
        <v>1973</v>
      </c>
      <c r="B1397" t="s">
        <v>4072</v>
      </c>
      <c r="C1397">
        <v>16</v>
      </c>
      <c r="D1397" t="s">
        <v>4077</v>
      </c>
      <c r="E1397" t="s">
        <v>4078</v>
      </c>
      <c r="F1397" t="s">
        <v>4076</v>
      </c>
    </row>
    <row r="1398" spans="1:6" x14ac:dyDescent="0.25">
      <c r="A1398">
        <v>1975</v>
      </c>
      <c r="B1398" t="s">
        <v>4092</v>
      </c>
      <c r="C1398">
        <v>23</v>
      </c>
      <c r="D1398" t="s">
        <v>2757</v>
      </c>
      <c r="E1398" t="s">
        <v>4093</v>
      </c>
      <c r="F1398" t="s">
        <v>4075</v>
      </c>
    </row>
    <row r="1399" spans="1:6" x14ac:dyDescent="0.25">
      <c r="A1399">
        <v>1975</v>
      </c>
      <c r="B1399" t="s">
        <v>4092</v>
      </c>
      <c r="C1399">
        <v>28</v>
      </c>
      <c r="D1399" t="s">
        <v>2757</v>
      </c>
      <c r="E1399" t="s">
        <v>4093</v>
      </c>
      <c r="F1399" t="s">
        <v>4076</v>
      </c>
    </row>
    <row r="1400" spans="1:6" x14ac:dyDescent="0.25">
      <c r="A1400">
        <v>1976</v>
      </c>
      <c r="B1400" t="s">
        <v>4092</v>
      </c>
      <c r="C1400">
        <v>32</v>
      </c>
      <c r="D1400" t="s">
        <v>4106</v>
      </c>
      <c r="E1400" t="s">
        <v>4107</v>
      </c>
      <c r="F1400" t="s">
        <v>4076</v>
      </c>
    </row>
    <row r="1401" spans="1:6" x14ac:dyDescent="0.25">
      <c r="A1401">
        <v>1979</v>
      </c>
      <c r="B1401" t="s">
        <v>4072</v>
      </c>
      <c r="C1401">
        <v>2</v>
      </c>
      <c r="D1401" t="s">
        <v>4082</v>
      </c>
      <c r="E1401" t="s">
        <v>4083</v>
      </c>
      <c r="F1401" t="s">
        <v>4075</v>
      </c>
    </row>
    <row r="1402" spans="1:6" x14ac:dyDescent="0.25">
      <c r="A1402">
        <v>1979</v>
      </c>
      <c r="B1402" t="s">
        <v>4072</v>
      </c>
      <c r="C1402">
        <v>17</v>
      </c>
      <c r="D1402" t="s">
        <v>4082</v>
      </c>
      <c r="E1402" t="s">
        <v>4084</v>
      </c>
      <c r="F1402" t="s">
        <v>4076</v>
      </c>
    </row>
    <row r="1403" spans="1:6" x14ac:dyDescent="0.25">
      <c r="A1403">
        <v>1979</v>
      </c>
      <c r="B1403" t="s">
        <v>4072</v>
      </c>
      <c r="C1403">
        <v>42</v>
      </c>
      <c r="D1403" t="s">
        <v>4082</v>
      </c>
      <c r="E1403" t="s">
        <v>4083</v>
      </c>
      <c r="F1403" t="s">
        <v>4079</v>
      </c>
    </row>
    <row r="1404" spans="1:6" x14ac:dyDescent="0.25">
      <c r="A1404">
        <v>1981</v>
      </c>
      <c r="B1404" t="s">
        <v>4092</v>
      </c>
      <c r="C1404">
        <v>23</v>
      </c>
      <c r="D1404" t="s">
        <v>2757</v>
      </c>
      <c r="E1404" t="s">
        <v>4093</v>
      </c>
      <c r="F1404" t="s">
        <v>4075</v>
      </c>
    </row>
    <row r="1405" spans="1:6" x14ac:dyDescent="0.25">
      <c r="A1405">
        <v>1981</v>
      </c>
      <c r="B1405" t="s">
        <v>4092</v>
      </c>
      <c r="C1405">
        <v>28</v>
      </c>
      <c r="D1405" t="s">
        <v>2757</v>
      </c>
      <c r="E1405" t="s">
        <v>4093</v>
      </c>
      <c r="F1405" t="s">
        <v>4076</v>
      </c>
    </row>
    <row r="1406" spans="1:6" x14ac:dyDescent="0.25">
      <c r="A1406">
        <v>1981</v>
      </c>
      <c r="B1406" t="s">
        <v>4092</v>
      </c>
      <c r="C1406">
        <v>48</v>
      </c>
      <c r="D1406" t="s">
        <v>2757</v>
      </c>
      <c r="E1406" t="s">
        <v>4093</v>
      </c>
      <c r="F1406" t="s">
        <v>4079</v>
      </c>
    </row>
    <row r="1407" spans="1:6" x14ac:dyDescent="0.25">
      <c r="A1407">
        <v>1982</v>
      </c>
      <c r="B1407" t="s">
        <v>4072</v>
      </c>
      <c r="C1407">
        <v>2</v>
      </c>
      <c r="D1407" t="s">
        <v>4082</v>
      </c>
      <c r="E1407" t="s">
        <v>4083</v>
      </c>
      <c r="F1407" t="s">
        <v>4075</v>
      </c>
    </row>
    <row r="1408" spans="1:6" x14ac:dyDescent="0.25">
      <c r="A1408">
        <v>1982</v>
      </c>
      <c r="B1408" t="s">
        <v>4072</v>
      </c>
      <c r="C1408">
        <v>17</v>
      </c>
      <c r="D1408" t="s">
        <v>4082</v>
      </c>
      <c r="E1408" t="s">
        <v>4084</v>
      </c>
      <c r="F1408" t="s">
        <v>4076</v>
      </c>
    </row>
    <row r="1409" spans="1:6" x14ac:dyDescent="0.25">
      <c r="A1409">
        <v>1982</v>
      </c>
      <c r="B1409" t="s">
        <v>4072</v>
      </c>
      <c r="C1409">
        <v>42</v>
      </c>
      <c r="D1409" t="s">
        <v>4082</v>
      </c>
      <c r="E1409" t="s">
        <v>4083</v>
      </c>
      <c r="F1409" t="s">
        <v>4079</v>
      </c>
    </row>
    <row r="1410" spans="1:6" x14ac:dyDescent="0.25">
      <c r="A1410">
        <v>1983</v>
      </c>
      <c r="B1410" t="s">
        <v>4072</v>
      </c>
      <c r="C1410">
        <v>2</v>
      </c>
      <c r="D1410" t="s">
        <v>4082</v>
      </c>
      <c r="E1410" t="s">
        <v>4083</v>
      </c>
      <c r="F1410" t="s">
        <v>4075</v>
      </c>
    </row>
    <row r="1411" spans="1:6" x14ac:dyDescent="0.25">
      <c r="A1411">
        <v>1983</v>
      </c>
      <c r="B1411" t="s">
        <v>4072</v>
      </c>
      <c r="C1411">
        <v>17</v>
      </c>
      <c r="D1411" t="s">
        <v>4082</v>
      </c>
      <c r="E1411" t="s">
        <v>4084</v>
      </c>
      <c r="F1411" t="s">
        <v>4076</v>
      </c>
    </row>
    <row r="1412" spans="1:6" x14ac:dyDescent="0.25">
      <c r="A1412">
        <v>1983</v>
      </c>
      <c r="B1412" t="s">
        <v>4072</v>
      </c>
      <c r="C1412">
        <v>42</v>
      </c>
      <c r="D1412" t="s">
        <v>4082</v>
      </c>
      <c r="E1412" t="s">
        <v>4083</v>
      </c>
      <c r="F1412" t="s">
        <v>4079</v>
      </c>
    </row>
    <row r="1413" spans="1:6" x14ac:dyDescent="0.25">
      <c r="A1413">
        <v>1986</v>
      </c>
      <c r="B1413" t="s">
        <v>4072</v>
      </c>
      <c r="C1413">
        <v>3</v>
      </c>
      <c r="D1413" t="s">
        <v>4085</v>
      </c>
      <c r="E1413" t="s">
        <v>4086</v>
      </c>
      <c r="F1413" t="s">
        <v>4075</v>
      </c>
    </row>
    <row r="1414" spans="1:6" x14ac:dyDescent="0.25">
      <c r="A1414">
        <v>1986</v>
      </c>
      <c r="B1414" t="s">
        <v>4072</v>
      </c>
      <c r="C1414">
        <v>15</v>
      </c>
      <c r="D1414" t="s">
        <v>4080</v>
      </c>
      <c r="E1414" t="s">
        <v>4081</v>
      </c>
      <c r="F1414" t="s">
        <v>4076</v>
      </c>
    </row>
    <row r="1415" spans="1:6" x14ac:dyDescent="0.25">
      <c r="A1415">
        <v>1986</v>
      </c>
      <c r="B1415" t="s">
        <v>4072</v>
      </c>
      <c r="C1415">
        <v>40</v>
      </c>
      <c r="D1415" t="s">
        <v>4080</v>
      </c>
      <c r="E1415" t="s">
        <v>4081</v>
      </c>
      <c r="F1415" t="s">
        <v>4079</v>
      </c>
    </row>
    <row r="1416" spans="1:6" x14ac:dyDescent="0.25">
      <c r="A1416">
        <v>1987</v>
      </c>
      <c r="B1416" t="s">
        <v>4072</v>
      </c>
      <c r="C1416">
        <v>4</v>
      </c>
      <c r="D1416" t="s">
        <v>4077</v>
      </c>
      <c r="E1416" t="s">
        <v>4078</v>
      </c>
      <c r="F1416" t="s">
        <v>4075</v>
      </c>
    </row>
    <row r="1417" spans="1:6" x14ac:dyDescent="0.25">
      <c r="A1417">
        <v>1987</v>
      </c>
      <c r="B1417" t="s">
        <v>4072</v>
      </c>
      <c r="C1417">
        <v>16</v>
      </c>
      <c r="D1417" t="s">
        <v>4077</v>
      </c>
      <c r="E1417" t="s">
        <v>4078</v>
      </c>
      <c r="F1417" t="s">
        <v>4076</v>
      </c>
    </row>
    <row r="1418" spans="1:6" x14ac:dyDescent="0.25">
      <c r="A1418">
        <v>1987</v>
      </c>
      <c r="B1418" t="s">
        <v>4072</v>
      </c>
      <c r="C1418">
        <v>44</v>
      </c>
      <c r="D1418" t="s">
        <v>4077</v>
      </c>
      <c r="E1418" t="s">
        <v>4078</v>
      </c>
      <c r="F1418" t="s">
        <v>4079</v>
      </c>
    </row>
    <row r="1419" spans="1:6" x14ac:dyDescent="0.25">
      <c r="A1419">
        <v>1988</v>
      </c>
      <c r="B1419" t="s">
        <v>4072</v>
      </c>
      <c r="C1419">
        <v>5</v>
      </c>
      <c r="D1419" t="s">
        <v>4087</v>
      </c>
      <c r="E1419" t="s">
        <v>4088</v>
      </c>
      <c r="F1419" t="s">
        <v>4075</v>
      </c>
    </row>
    <row r="1420" spans="1:6" x14ac:dyDescent="0.25">
      <c r="A1420">
        <v>1988</v>
      </c>
      <c r="B1420" t="s">
        <v>4072</v>
      </c>
      <c r="C1420">
        <v>15</v>
      </c>
      <c r="D1420" t="s">
        <v>4080</v>
      </c>
      <c r="E1420" t="s">
        <v>4081</v>
      </c>
      <c r="F1420" t="s">
        <v>4076</v>
      </c>
    </row>
    <row r="1421" spans="1:6" x14ac:dyDescent="0.25">
      <c r="A1421">
        <v>1988</v>
      </c>
      <c r="B1421" t="s">
        <v>4072</v>
      </c>
      <c r="C1421">
        <v>40</v>
      </c>
      <c r="D1421" t="s">
        <v>4080</v>
      </c>
      <c r="E1421" t="s">
        <v>4081</v>
      </c>
      <c r="F1421" t="s">
        <v>4079</v>
      </c>
    </row>
    <row r="1422" spans="1:6" x14ac:dyDescent="0.25">
      <c r="A1422">
        <v>1989</v>
      </c>
      <c r="B1422" t="s">
        <v>4072</v>
      </c>
      <c r="C1422">
        <v>3</v>
      </c>
      <c r="D1422" t="s">
        <v>4085</v>
      </c>
      <c r="E1422" t="s">
        <v>4086</v>
      </c>
      <c r="F1422" t="s">
        <v>4075</v>
      </c>
    </row>
    <row r="1423" spans="1:6" x14ac:dyDescent="0.25">
      <c r="A1423">
        <v>1989</v>
      </c>
      <c r="B1423" t="s">
        <v>4072</v>
      </c>
      <c r="C1423">
        <v>15</v>
      </c>
      <c r="D1423" t="s">
        <v>4080</v>
      </c>
      <c r="E1423" t="s">
        <v>4081</v>
      </c>
      <c r="F1423" t="s">
        <v>4076</v>
      </c>
    </row>
    <row r="1424" spans="1:6" x14ac:dyDescent="0.25">
      <c r="A1424">
        <v>1989</v>
      </c>
      <c r="B1424" t="s">
        <v>4072</v>
      </c>
      <c r="C1424">
        <v>40</v>
      </c>
      <c r="D1424" t="s">
        <v>4080</v>
      </c>
      <c r="E1424" t="s">
        <v>4081</v>
      </c>
      <c r="F1424" t="s">
        <v>4079</v>
      </c>
    </row>
    <row r="1425" spans="1:6" x14ac:dyDescent="0.25">
      <c r="A1425">
        <v>1990</v>
      </c>
      <c r="B1425" t="s">
        <v>4072</v>
      </c>
      <c r="C1425">
        <v>5</v>
      </c>
      <c r="D1425" t="s">
        <v>4087</v>
      </c>
      <c r="E1425" t="s">
        <v>4088</v>
      </c>
      <c r="F1425" t="s">
        <v>4075</v>
      </c>
    </row>
    <row r="1426" spans="1:6" x14ac:dyDescent="0.25">
      <c r="A1426">
        <v>1990</v>
      </c>
      <c r="B1426" t="s">
        <v>4072</v>
      </c>
      <c r="C1426">
        <v>15</v>
      </c>
      <c r="D1426" t="s">
        <v>4080</v>
      </c>
      <c r="E1426" t="s">
        <v>4081</v>
      </c>
      <c r="F1426" t="s">
        <v>4076</v>
      </c>
    </row>
    <row r="1427" spans="1:6" x14ac:dyDescent="0.25">
      <c r="A1427">
        <v>1990</v>
      </c>
      <c r="B1427" t="s">
        <v>4072</v>
      </c>
      <c r="C1427">
        <v>40</v>
      </c>
      <c r="D1427" t="s">
        <v>4080</v>
      </c>
      <c r="E1427" t="s">
        <v>4081</v>
      </c>
      <c r="F1427" t="s">
        <v>4079</v>
      </c>
    </row>
    <row r="1428" spans="1:6" x14ac:dyDescent="0.25">
      <c r="A1428">
        <v>1991</v>
      </c>
      <c r="B1428" t="s">
        <v>4092</v>
      </c>
      <c r="C1428">
        <v>23</v>
      </c>
      <c r="D1428" t="s">
        <v>2757</v>
      </c>
      <c r="E1428" t="s">
        <v>4093</v>
      </c>
      <c r="F1428" t="s">
        <v>4075</v>
      </c>
    </row>
    <row r="1429" spans="1:6" x14ac:dyDescent="0.25">
      <c r="A1429">
        <v>1991</v>
      </c>
      <c r="B1429" t="s">
        <v>4092</v>
      </c>
      <c r="C1429">
        <v>28</v>
      </c>
      <c r="D1429" t="s">
        <v>2757</v>
      </c>
      <c r="E1429" t="s">
        <v>4093</v>
      </c>
      <c r="F1429" t="s">
        <v>4076</v>
      </c>
    </row>
    <row r="1430" spans="1:6" x14ac:dyDescent="0.25">
      <c r="A1430">
        <v>1991</v>
      </c>
      <c r="B1430" t="s">
        <v>4092</v>
      </c>
      <c r="C1430">
        <v>33</v>
      </c>
      <c r="D1430" t="s">
        <v>4109</v>
      </c>
      <c r="E1430" t="s">
        <v>4110</v>
      </c>
      <c r="F1430" t="s">
        <v>4075</v>
      </c>
    </row>
    <row r="1431" spans="1:6" x14ac:dyDescent="0.25">
      <c r="A1431">
        <v>1991</v>
      </c>
      <c r="B1431" t="s">
        <v>4092</v>
      </c>
      <c r="C1431">
        <v>34</v>
      </c>
      <c r="D1431" t="s">
        <v>4109</v>
      </c>
      <c r="E1431" t="s">
        <v>4110</v>
      </c>
      <c r="F1431" t="s">
        <v>4076</v>
      </c>
    </row>
    <row r="1432" spans="1:6" x14ac:dyDescent="0.25">
      <c r="A1432">
        <v>1991</v>
      </c>
      <c r="B1432" t="s">
        <v>4092</v>
      </c>
      <c r="C1432">
        <v>48</v>
      </c>
      <c r="D1432" t="s">
        <v>2757</v>
      </c>
      <c r="E1432" t="s">
        <v>4093</v>
      </c>
      <c r="F1432" t="s">
        <v>4079</v>
      </c>
    </row>
    <row r="1433" spans="1:6" x14ac:dyDescent="0.25">
      <c r="A1433">
        <v>1991</v>
      </c>
      <c r="B1433" t="s">
        <v>4092</v>
      </c>
      <c r="C1433">
        <v>51</v>
      </c>
      <c r="D1433" t="s">
        <v>4109</v>
      </c>
      <c r="E1433" t="s">
        <v>4111</v>
      </c>
      <c r="F1433" t="s">
        <v>4079</v>
      </c>
    </row>
    <row r="1434" spans="1:6" x14ac:dyDescent="0.25">
      <c r="A1434">
        <v>1995</v>
      </c>
      <c r="B1434" t="s">
        <v>4092</v>
      </c>
      <c r="C1434">
        <v>33</v>
      </c>
      <c r="D1434" t="s">
        <v>4109</v>
      </c>
      <c r="E1434" t="s">
        <v>4110</v>
      </c>
      <c r="F1434" t="s">
        <v>4075</v>
      </c>
    </row>
    <row r="1435" spans="1:6" x14ac:dyDescent="0.25">
      <c r="A1435">
        <v>1995</v>
      </c>
      <c r="B1435" t="s">
        <v>4092</v>
      </c>
      <c r="C1435">
        <v>34</v>
      </c>
      <c r="D1435" t="s">
        <v>4109</v>
      </c>
      <c r="E1435" t="s">
        <v>4110</v>
      </c>
      <c r="F1435" t="s">
        <v>4076</v>
      </c>
    </row>
    <row r="1436" spans="1:6" x14ac:dyDescent="0.25">
      <c r="A1436">
        <v>1995</v>
      </c>
      <c r="B1436" t="s">
        <v>4092</v>
      </c>
      <c r="C1436">
        <v>51</v>
      </c>
      <c r="D1436" t="s">
        <v>4109</v>
      </c>
      <c r="E1436" t="s">
        <v>4111</v>
      </c>
      <c r="F1436" t="s">
        <v>4079</v>
      </c>
    </row>
    <row r="1437" spans="1:6" x14ac:dyDescent="0.25">
      <c r="A1437">
        <v>1996</v>
      </c>
      <c r="B1437" t="s">
        <v>4072</v>
      </c>
      <c r="C1437">
        <v>5</v>
      </c>
      <c r="D1437" t="s">
        <v>4087</v>
      </c>
      <c r="E1437" t="s">
        <v>4088</v>
      </c>
      <c r="F1437" t="s">
        <v>4075</v>
      </c>
    </row>
    <row r="1438" spans="1:6" x14ac:dyDescent="0.25">
      <c r="A1438">
        <v>1996</v>
      </c>
      <c r="B1438" t="s">
        <v>4072</v>
      </c>
      <c r="C1438">
        <v>15</v>
      </c>
      <c r="D1438" t="s">
        <v>4080</v>
      </c>
      <c r="E1438" t="s">
        <v>4081</v>
      </c>
      <c r="F1438" t="s">
        <v>4076</v>
      </c>
    </row>
    <row r="1439" spans="1:6" x14ac:dyDescent="0.25">
      <c r="A1439">
        <v>1996</v>
      </c>
      <c r="B1439" t="s">
        <v>4072</v>
      </c>
      <c r="C1439">
        <v>40</v>
      </c>
      <c r="D1439" t="s">
        <v>4080</v>
      </c>
      <c r="E1439" t="s">
        <v>4081</v>
      </c>
      <c r="F1439" t="s">
        <v>4079</v>
      </c>
    </row>
    <row r="1440" spans="1:6" x14ac:dyDescent="0.25">
      <c r="A1440">
        <v>1998</v>
      </c>
      <c r="B1440" t="s">
        <v>4072</v>
      </c>
      <c r="C1440">
        <v>3</v>
      </c>
      <c r="D1440" t="s">
        <v>4085</v>
      </c>
      <c r="E1440" t="s">
        <v>4086</v>
      </c>
      <c r="F1440" t="s">
        <v>4075</v>
      </c>
    </row>
    <row r="1441" spans="1:6" x14ac:dyDescent="0.25">
      <c r="A1441">
        <v>1998</v>
      </c>
      <c r="B1441" t="s">
        <v>4072</v>
      </c>
      <c r="C1441">
        <v>15</v>
      </c>
      <c r="D1441" t="s">
        <v>4080</v>
      </c>
      <c r="E1441" t="s">
        <v>4081</v>
      </c>
      <c r="F1441" t="s">
        <v>4076</v>
      </c>
    </row>
    <row r="1442" spans="1:6" x14ac:dyDescent="0.25">
      <c r="A1442">
        <v>1999</v>
      </c>
      <c r="B1442" t="s">
        <v>4072</v>
      </c>
      <c r="C1442">
        <v>4</v>
      </c>
      <c r="D1442" t="s">
        <v>4077</v>
      </c>
      <c r="E1442" t="s">
        <v>4078</v>
      </c>
      <c r="F1442" t="s">
        <v>4075</v>
      </c>
    </row>
    <row r="1443" spans="1:6" x14ac:dyDescent="0.25">
      <c r="A1443">
        <v>1999</v>
      </c>
      <c r="B1443" t="s">
        <v>4072</v>
      </c>
      <c r="C1443">
        <v>16</v>
      </c>
      <c r="D1443" t="s">
        <v>4077</v>
      </c>
      <c r="E1443" t="s">
        <v>4078</v>
      </c>
      <c r="F1443" t="s">
        <v>4076</v>
      </c>
    </row>
    <row r="1444" spans="1:6" x14ac:dyDescent="0.25">
      <c r="A1444">
        <v>2000</v>
      </c>
      <c r="B1444" t="s">
        <v>4072</v>
      </c>
      <c r="C1444">
        <v>2</v>
      </c>
      <c r="D1444" t="s">
        <v>4082</v>
      </c>
      <c r="E1444" t="s">
        <v>4083</v>
      </c>
      <c r="F1444" t="s">
        <v>4075</v>
      </c>
    </row>
    <row r="1445" spans="1:6" x14ac:dyDescent="0.25">
      <c r="A1445">
        <v>2000</v>
      </c>
      <c r="B1445" t="s">
        <v>4072</v>
      </c>
      <c r="C1445">
        <v>17</v>
      </c>
      <c r="D1445" t="s">
        <v>4082</v>
      </c>
      <c r="E1445" t="s">
        <v>4084</v>
      </c>
      <c r="F1445" t="s">
        <v>4076</v>
      </c>
    </row>
    <row r="1446" spans="1:6" x14ac:dyDescent="0.25">
      <c r="A1446">
        <v>2003</v>
      </c>
      <c r="B1446" t="s">
        <v>4072</v>
      </c>
      <c r="C1446">
        <v>5</v>
      </c>
      <c r="D1446" t="s">
        <v>4087</v>
      </c>
      <c r="E1446" t="s">
        <v>4088</v>
      </c>
      <c r="F1446" t="s">
        <v>4075</v>
      </c>
    </row>
    <row r="1447" spans="1:6" x14ac:dyDescent="0.25">
      <c r="A1447">
        <v>2003</v>
      </c>
      <c r="B1447" t="s">
        <v>4072</v>
      </c>
      <c r="C1447">
        <v>15</v>
      </c>
      <c r="D1447" t="s">
        <v>4080</v>
      </c>
      <c r="E1447" t="s">
        <v>4081</v>
      </c>
      <c r="F1447" t="s">
        <v>4076</v>
      </c>
    </row>
    <row r="1448" spans="1:6" x14ac:dyDescent="0.25">
      <c r="A1448">
        <v>2004</v>
      </c>
      <c r="B1448" t="s">
        <v>4072</v>
      </c>
      <c r="C1448">
        <v>2</v>
      </c>
      <c r="D1448" t="s">
        <v>4082</v>
      </c>
      <c r="E1448" t="s">
        <v>4083</v>
      </c>
      <c r="F1448" t="s">
        <v>4075</v>
      </c>
    </row>
    <row r="1449" spans="1:6" x14ac:dyDescent="0.25">
      <c r="A1449">
        <v>2004</v>
      </c>
      <c r="B1449" t="s">
        <v>4072</v>
      </c>
      <c r="C1449">
        <v>17</v>
      </c>
      <c r="D1449" t="s">
        <v>4082</v>
      </c>
      <c r="E1449" t="s">
        <v>4084</v>
      </c>
      <c r="F1449" t="s">
        <v>4076</v>
      </c>
    </row>
    <row r="1450" spans="1:6" x14ac:dyDescent="0.25">
      <c r="A1450">
        <v>2005</v>
      </c>
      <c r="B1450" t="s">
        <v>4072</v>
      </c>
      <c r="C1450">
        <v>6</v>
      </c>
      <c r="D1450" t="s">
        <v>4073</v>
      </c>
      <c r="E1450" t="s">
        <v>4074</v>
      </c>
      <c r="F1450" t="s">
        <v>4075</v>
      </c>
    </row>
    <row r="1451" spans="1:6" x14ac:dyDescent="0.25">
      <c r="A1451">
        <v>2005</v>
      </c>
      <c r="B1451" t="s">
        <v>4072</v>
      </c>
      <c r="C1451">
        <v>19</v>
      </c>
      <c r="D1451" t="s">
        <v>4073</v>
      </c>
      <c r="E1451" t="s">
        <v>4074</v>
      </c>
      <c r="F1451" t="s">
        <v>4076</v>
      </c>
    </row>
    <row r="1452" spans="1:6" x14ac:dyDescent="0.25">
      <c r="A1452">
        <v>2006</v>
      </c>
      <c r="B1452" t="s">
        <v>4092</v>
      </c>
      <c r="C1452">
        <v>27</v>
      </c>
      <c r="D1452" t="s">
        <v>4104</v>
      </c>
      <c r="E1452" t="s">
        <v>4105</v>
      </c>
      <c r="F1452" t="s">
        <v>4076</v>
      </c>
    </row>
    <row r="1453" spans="1:6" x14ac:dyDescent="0.25">
      <c r="A1453">
        <v>2007</v>
      </c>
      <c r="B1453" t="s">
        <v>4072</v>
      </c>
      <c r="C1453">
        <v>10</v>
      </c>
      <c r="D1453" t="s">
        <v>4095</v>
      </c>
      <c r="E1453" t="s">
        <v>4096</v>
      </c>
      <c r="F1453" t="s">
        <v>4075</v>
      </c>
    </row>
    <row r="1454" spans="1:6" x14ac:dyDescent="0.25">
      <c r="A1454">
        <v>2007</v>
      </c>
      <c r="B1454" t="s">
        <v>4072</v>
      </c>
      <c r="C1454">
        <v>13</v>
      </c>
      <c r="D1454" t="s">
        <v>4097</v>
      </c>
      <c r="E1454" t="s">
        <v>4098</v>
      </c>
      <c r="F1454" t="s">
        <v>4076</v>
      </c>
    </row>
    <row r="1455" spans="1:6" x14ac:dyDescent="0.25">
      <c r="A1455">
        <v>2008</v>
      </c>
      <c r="B1455" t="s">
        <v>4092</v>
      </c>
      <c r="C1455">
        <v>23</v>
      </c>
      <c r="D1455" t="s">
        <v>2757</v>
      </c>
      <c r="E1455" t="s">
        <v>4093</v>
      </c>
      <c r="F1455" t="s">
        <v>4075</v>
      </c>
    </row>
    <row r="1456" spans="1:6" x14ac:dyDescent="0.25">
      <c r="A1456">
        <v>2009</v>
      </c>
      <c r="B1456" t="s">
        <v>4092</v>
      </c>
      <c r="C1456">
        <v>32</v>
      </c>
      <c r="D1456" t="s">
        <v>4106</v>
      </c>
      <c r="E1456" t="s">
        <v>4107</v>
      </c>
      <c r="F1456" t="s">
        <v>4076</v>
      </c>
    </row>
    <row r="1457" spans="1:6" x14ac:dyDescent="0.25">
      <c r="A1457">
        <v>2010</v>
      </c>
      <c r="B1457" t="s">
        <v>4072</v>
      </c>
      <c r="C1457">
        <v>5</v>
      </c>
      <c r="D1457" t="s">
        <v>4087</v>
      </c>
      <c r="E1457" t="s">
        <v>4088</v>
      </c>
      <c r="F1457" t="s">
        <v>4075</v>
      </c>
    </row>
    <row r="1458" spans="1:6" x14ac:dyDescent="0.25">
      <c r="A1458">
        <v>2010</v>
      </c>
      <c r="B1458" t="s">
        <v>4072</v>
      </c>
      <c r="C1458">
        <v>15</v>
      </c>
      <c r="D1458" t="s">
        <v>4080</v>
      </c>
      <c r="E1458" t="s">
        <v>4081</v>
      </c>
      <c r="F1458" t="s">
        <v>4076</v>
      </c>
    </row>
    <row r="1459" spans="1:6" x14ac:dyDescent="0.25">
      <c r="A1459">
        <v>2010</v>
      </c>
      <c r="B1459" t="s">
        <v>4072</v>
      </c>
      <c r="C1459">
        <v>40</v>
      </c>
      <c r="D1459" t="s">
        <v>4080</v>
      </c>
      <c r="E1459" t="s">
        <v>4081</v>
      </c>
      <c r="F1459" t="s">
        <v>4079</v>
      </c>
    </row>
    <row r="1460" spans="1:6" x14ac:dyDescent="0.25">
      <c r="A1460">
        <v>2011</v>
      </c>
      <c r="B1460" t="s">
        <v>4072</v>
      </c>
      <c r="C1460">
        <v>5</v>
      </c>
      <c r="D1460" t="s">
        <v>4087</v>
      </c>
      <c r="E1460" t="s">
        <v>4088</v>
      </c>
      <c r="F1460" t="s">
        <v>4075</v>
      </c>
    </row>
    <row r="1461" spans="1:6" x14ac:dyDescent="0.25">
      <c r="A1461">
        <v>2011</v>
      </c>
      <c r="B1461" t="s">
        <v>4072</v>
      </c>
      <c r="C1461">
        <v>15</v>
      </c>
      <c r="D1461" t="s">
        <v>4080</v>
      </c>
      <c r="E1461" t="s">
        <v>4081</v>
      </c>
      <c r="F1461" t="s">
        <v>4076</v>
      </c>
    </row>
    <row r="1462" spans="1:6" x14ac:dyDescent="0.25">
      <c r="A1462">
        <v>2011</v>
      </c>
      <c r="B1462" t="s">
        <v>4072</v>
      </c>
      <c r="C1462">
        <v>40</v>
      </c>
      <c r="D1462" t="s">
        <v>4080</v>
      </c>
      <c r="E1462" t="s">
        <v>4081</v>
      </c>
      <c r="F1462" t="s">
        <v>4079</v>
      </c>
    </row>
    <row r="1463" spans="1:6" x14ac:dyDescent="0.25">
      <c r="A1463">
        <v>2013</v>
      </c>
      <c r="B1463" t="s">
        <v>4072</v>
      </c>
      <c r="C1463">
        <v>4</v>
      </c>
      <c r="D1463" t="s">
        <v>4077</v>
      </c>
      <c r="E1463" t="s">
        <v>4078</v>
      </c>
      <c r="F1463" t="s">
        <v>4075</v>
      </c>
    </row>
    <row r="1464" spans="1:6" x14ac:dyDescent="0.25">
      <c r="A1464">
        <v>2013</v>
      </c>
      <c r="B1464" t="s">
        <v>4072</v>
      </c>
      <c r="C1464">
        <v>16</v>
      </c>
      <c r="D1464" t="s">
        <v>4077</v>
      </c>
      <c r="E1464" t="s">
        <v>4078</v>
      </c>
      <c r="F1464" t="s">
        <v>4076</v>
      </c>
    </row>
    <row r="1465" spans="1:6" x14ac:dyDescent="0.25">
      <c r="A1465">
        <v>2013</v>
      </c>
      <c r="B1465" t="s">
        <v>4072</v>
      </c>
      <c r="C1465">
        <v>44</v>
      </c>
      <c r="D1465" t="s">
        <v>4077</v>
      </c>
      <c r="E1465" t="s">
        <v>4078</v>
      </c>
      <c r="F1465" t="s">
        <v>4079</v>
      </c>
    </row>
    <row r="1466" spans="1:6" x14ac:dyDescent="0.25">
      <c r="A1466">
        <v>2014</v>
      </c>
      <c r="B1466" t="s">
        <v>4072</v>
      </c>
      <c r="C1466">
        <v>3</v>
      </c>
      <c r="D1466" t="s">
        <v>4085</v>
      </c>
      <c r="E1466" t="s">
        <v>4086</v>
      </c>
      <c r="F1466" t="s">
        <v>4075</v>
      </c>
    </row>
    <row r="1467" spans="1:6" x14ac:dyDescent="0.25">
      <c r="A1467">
        <v>2014</v>
      </c>
      <c r="B1467" t="s">
        <v>4072</v>
      </c>
      <c r="C1467">
        <v>15</v>
      </c>
      <c r="D1467" t="s">
        <v>4080</v>
      </c>
      <c r="E1467" t="s">
        <v>4081</v>
      </c>
      <c r="F1467" t="s">
        <v>4076</v>
      </c>
    </row>
    <row r="1468" spans="1:6" x14ac:dyDescent="0.25">
      <c r="A1468">
        <v>2014</v>
      </c>
      <c r="B1468" t="s">
        <v>4072</v>
      </c>
      <c r="C1468">
        <v>40</v>
      </c>
      <c r="D1468" t="s">
        <v>4080</v>
      </c>
      <c r="E1468" t="s">
        <v>4081</v>
      </c>
      <c r="F1468" t="s">
        <v>4079</v>
      </c>
    </row>
    <row r="1469" spans="1:6" x14ac:dyDescent="0.25">
      <c r="A1469">
        <v>2017</v>
      </c>
      <c r="B1469" t="s">
        <v>4072</v>
      </c>
      <c r="C1469">
        <v>5</v>
      </c>
      <c r="D1469" t="s">
        <v>4087</v>
      </c>
      <c r="E1469" t="s">
        <v>4088</v>
      </c>
      <c r="F1469" t="s">
        <v>4075</v>
      </c>
    </row>
    <row r="1470" spans="1:6" x14ac:dyDescent="0.25">
      <c r="A1470">
        <v>2017</v>
      </c>
      <c r="B1470" t="s">
        <v>4072</v>
      </c>
      <c r="C1470">
        <v>15</v>
      </c>
      <c r="D1470" t="s">
        <v>4080</v>
      </c>
      <c r="E1470" t="s">
        <v>4081</v>
      </c>
      <c r="F1470" t="s">
        <v>4076</v>
      </c>
    </row>
    <row r="1471" spans="1:6" x14ac:dyDescent="0.25">
      <c r="A1471">
        <v>2018</v>
      </c>
      <c r="B1471" t="s">
        <v>4072</v>
      </c>
      <c r="C1471">
        <v>5</v>
      </c>
      <c r="D1471" t="s">
        <v>4087</v>
      </c>
      <c r="E1471" t="s">
        <v>4088</v>
      </c>
      <c r="F1471" t="s">
        <v>4075</v>
      </c>
    </row>
    <row r="1472" spans="1:6" x14ac:dyDescent="0.25">
      <c r="A1472">
        <v>2018</v>
      </c>
      <c r="B1472" t="s">
        <v>4072</v>
      </c>
      <c r="C1472">
        <v>15</v>
      </c>
      <c r="D1472" t="s">
        <v>4080</v>
      </c>
      <c r="E1472" t="s">
        <v>4081</v>
      </c>
      <c r="F1472" t="s">
        <v>4076</v>
      </c>
    </row>
    <row r="1473" spans="1:6" x14ac:dyDescent="0.25">
      <c r="A1473">
        <v>2020</v>
      </c>
      <c r="B1473" t="s">
        <v>4072</v>
      </c>
      <c r="C1473">
        <v>2</v>
      </c>
      <c r="D1473" t="s">
        <v>4082</v>
      </c>
      <c r="E1473" t="s">
        <v>4083</v>
      </c>
      <c r="F1473" t="s">
        <v>4075</v>
      </c>
    </row>
    <row r="1474" spans="1:6" x14ac:dyDescent="0.25">
      <c r="A1474">
        <v>2020</v>
      </c>
      <c r="B1474" t="s">
        <v>4072</v>
      </c>
      <c r="C1474">
        <v>17</v>
      </c>
      <c r="D1474" t="s">
        <v>4082</v>
      </c>
      <c r="E1474" t="s">
        <v>4084</v>
      </c>
      <c r="F1474" t="s">
        <v>4076</v>
      </c>
    </row>
    <row r="1475" spans="1:6" x14ac:dyDescent="0.25">
      <c r="A1475">
        <v>2021</v>
      </c>
      <c r="B1475" t="s">
        <v>4072</v>
      </c>
      <c r="C1475">
        <v>2</v>
      </c>
      <c r="D1475" t="s">
        <v>4082</v>
      </c>
      <c r="E1475" t="s">
        <v>4083</v>
      </c>
      <c r="F1475" t="s">
        <v>4075</v>
      </c>
    </row>
    <row r="1476" spans="1:6" x14ac:dyDescent="0.25">
      <c r="A1476">
        <v>2021</v>
      </c>
      <c r="B1476" t="s">
        <v>4072</v>
      </c>
      <c r="C1476">
        <v>17</v>
      </c>
      <c r="D1476" t="s">
        <v>4082</v>
      </c>
      <c r="E1476" t="s">
        <v>4084</v>
      </c>
      <c r="F1476" t="s">
        <v>4076</v>
      </c>
    </row>
    <row r="1477" spans="1:6" x14ac:dyDescent="0.25">
      <c r="A1477">
        <v>2022</v>
      </c>
      <c r="B1477" t="s">
        <v>4092</v>
      </c>
      <c r="C1477">
        <v>23</v>
      </c>
      <c r="D1477" t="s">
        <v>2757</v>
      </c>
      <c r="E1477" t="s">
        <v>4093</v>
      </c>
      <c r="F1477" t="s">
        <v>4075</v>
      </c>
    </row>
    <row r="1478" spans="1:6" x14ac:dyDescent="0.25">
      <c r="A1478">
        <v>2022</v>
      </c>
      <c r="B1478" t="s">
        <v>4092</v>
      </c>
      <c r="C1478">
        <v>28</v>
      </c>
      <c r="D1478" t="s">
        <v>2757</v>
      </c>
      <c r="E1478" t="s">
        <v>4093</v>
      </c>
      <c r="F1478" t="s">
        <v>4076</v>
      </c>
    </row>
    <row r="1479" spans="1:6" x14ac:dyDescent="0.25">
      <c r="A1479">
        <v>2023</v>
      </c>
      <c r="B1479" t="s">
        <v>4072</v>
      </c>
      <c r="C1479">
        <v>6</v>
      </c>
      <c r="D1479" t="s">
        <v>4073</v>
      </c>
      <c r="E1479" t="s">
        <v>4074</v>
      </c>
      <c r="F1479" t="s">
        <v>4075</v>
      </c>
    </row>
    <row r="1480" spans="1:6" x14ac:dyDescent="0.25">
      <c r="A1480">
        <v>2023</v>
      </c>
      <c r="B1480" t="s">
        <v>4072</v>
      </c>
      <c r="C1480">
        <v>19</v>
      </c>
      <c r="D1480" t="s">
        <v>4073</v>
      </c>
      <c r="E1480" t="s">
        <v>4074</v>
      </c>
      <c r="F1480" t="s">
        <v>4076</v>
      </c>
    </row>
    <row r="1481" spans="1:6" x14ac:dyDescent="0.25">
      <c r="A1481">
        <v>2024</v>
      </c>
      <c r="B1481" t="s">
        <v>4072</v>
      </c>
      <c r="C1481">
        <v>3</v>
      </c>
      <c r="D1481" t="s">
        <v>4085</v>
      </c>
      <c r="E1481" t="s">
        <v>4086</v>
      </c>
      <c r="F1481" t="s">
        <v>4075</v>
      </c>
    </row>
    <row r="1482" spans="1:6" x14ac:dyDescent="0.25">
      <c r="A1482">
        <v>2024</v>
      </c>
      <c r="B1482" t="s">
        <v>4072</v>
      </c>
      <c r="C1482">
        <v>14</v>
      </c>
      <c r="D1482" t="s">
        <v>4090</v>
      </c>
      <c r="E1482" t="s">
        <v>4091</v>
      </c>
      <c r="F1482" t="s">
        <v>4076</v>
      </c>
    </row>
    <row r="1483" spans="1:6" x14ac:dyDescent="0.25">
      <c r="A1483">
        <v>2026</v>
      </c>
      <c r="B1483" t="s">
        <v>4072</v>
      </c>
      <c r="C1483">
        <v>6</v>
      </c>
      <c r="D1483" t="s">
        <v>4073</v>
      </c>
      <c r="E1483" t="s">
        <v>4074</v>
      </c>
      <c r="F1483" t="s">
        <v>4075</v>
      </c>
    </row>
    <row r="1484" spans="1:6" x14ac:dyDescent="0.25">
      <c r="A1484">
        <v>2026</v>
      </c>
      <c r="B1484" t="s">
        <v>4072</v>
      </c>
      <c r="C1484">
        <v>19</v>
      </c>
      <c r="D1484" t="s">
        <v>4073</v>
      </c>
      <c r="E1484" t="s">
        <v>4074</v>
      </c>
      <c r="F1484" t="s">
        <v>4076</v>
      </c>
    </row>
    <row r="1485" spans="1:6" x14ac:dyDescent="0.25">
      <c r="A1485">
        <v>2027</v>
      </c>
      <c r="B1485" t="s">
        <v>4072</v>
      </c>
      <c r="C1485">
        <v>6</v>
      </c>
      <c r="D1485" t="s">
        <v>4073</v>
      </c>
      <c r="E1485" t="s">
        <v>4074</v>
      </c>
      <c r="F1485" t="s">
        <v>4075</v>
      </c>
    </row>
    <row r="1486" spans="1:6" x14ac:dyDescent="0.25">
      <c r="A1486">
        <v>2027</v>
      </c>
      <c r="B1486" t="s">
        <v>4072</v>
      </c>
      <c r="C1486">
        <v>19</v>
      </c>
      <c r="D1486" t="s">
        <v>4073</v>
      </c>
      <c r="E1486" t="s">
        <v>4074</v>
      </c>
      <c r="F1486" t="s">
        <v>4076</v>
      </c>
    </row>
    <row r="1487" spans="1:6" x14ac:dyDescent="0.25">
      <c r="A1487">
        <v>2028</v>
      </c>
      <c r="B1487" t="s">
        <v>4072</v>
      </c>
      <c r="C1487">
        <v>4</v>
      </c>
      <c r="D1487" t="s">
        <v>4077</v>
      </c>
      <c r="E1487" t="s">
        <v>4078</v>
      </c>
      <c r="F1487" t="s">
        <v>4075</v>
      </c>
    </row>
    <row r="1488" spans="1:6" x14ac:dyDescent="0.25">
      <c r="A1488">
        <v>2028</v>
      </c>
      <c r="B1488" t="s">
        <v>4072</v>
      </c>
      <c r="C1488">
        <v>16</v>
      </c>
      <c r="D1488" t="s">
        <v>4077</v>
      </c>
      <c r="E1488" t="s">
        <v>4078</v>
      </c>
      <c r="F1488" t="s">
        <v>4076</v>
      </c>
    </row>
    <row r="1489" spans="1:6" x14ac:dyDescent="0.25">
      <c r="A1489">
        <v>2035</v>
      </c>
      <c r="B1489" t="s">
        <v>4072</v>
      </c>
      <c r="C1489">
        <v>4</v>
      </c>
      <c r="D1489" t="s">
        <v>4077</v>
      </c>
      <c r="E1489" t="s">
        <v>4078</v>
      </c>
      <c r="F1489" t="s">
        <v>4075</v>
      </c>
    </row>
    <row r="1490" spans="1:6" x14ac:dyDescent="0.25">
      <c r="A1490">
        <v>2035</v>
      </c>
      <c r="B1490" t="s">
        <v>4072</v>
      </c>
      <c r="C1490">
        <v>16</v>
      </c>
      <c r="D1490" t="s">
        <v>4077</v>
      </c>
      <c r="E1490" t="s">
        <v>4078</v>
      </c>
      <c r="F1490" t="s">
        <v>4076</v>
      </c>
    </row>
    <row r="1491" spans="1:6" x14ac:dyDescent="0.25">
      <c r="A1491">
        <v>2035</v>
      </c>
      <c r="B1491" t="s">
        <v>4072</v>
      </c>
      <c r="C1491">
        <v>44</v>
      </c>
      <c r="D1491" t="s">
        <v>4077</v>
      </c>
      <c r="E1491" t="s">
        <v>4078</v>
      </c>
      <c r="F1491" t="s">
        <v>4079</v>
      </c>
    </row>
    <row r="1492" spans="1:6" x14ac:dyDescent="0.25">
      <c r="A1492">
        <v>2036</v>
      </c>
      <c r="B1492" t="s">
        <v>4072</v>
      </c>
      <c r="C1492">
        <v>6</v>
      </c>
      <c r="D1492" t="s">
        <v>4073</v>
      </c>
      <c r="E1492" t="s">
        <v>4074</v>
      </c>
      <c r="F1492" t="s">
        <v>4075</v>
      </c>
    </row>
    <row r="1493" spans="1:6" x14ac:dyDescent="0.25">
      <c r="A1493">
        <v>2036</v>
      </c>
      <c r="B1493" t="s">
        <v>4072</v>
      </c>
      <c r="C1493">
        <v>19</v>
      </c>
      <c r="D1493" t="s">
        <v>4073</v>
      </c>
      <c r="E1493" t="s">
        <v>4074</v>
      </c>
      <c r="F1493" t="s">
        <v>4076</v>
      </c>
    </row>
    <row r="1494" spans="1:6" x14ac:dyDescent="0.25">
      <c r="A1494">
        <v>2036</v>
      </c>
      <c r="B1494" t="s">
        <v>4072</v>
      </c>
      <c r="C1494">
        <v>39</v>
      </c>
      <c r="D1494" t="s">
        <v>4073</v>
      </c>
      <c r="E1494" t="s">
        <v>4074</v>
      </c>
      <c r="F1494" t="s">
        <v>4079</v>
      </c>
    </row>
    <row r="1495" spans="1:6" x14ac:dyDescent="0.25">
      <c r="A1495">
        <v>2039</v>
      </c>
      <c r="B1495" t="s">
        <v>4072</v>
      </c>
      <c r="C1495">
        <v>6</v>
      </c>
      <c r="D1495" t="s">
        <v>4073</v>
      </c>
      <c r="E1495" t="s">
        <v>4074</v>
      </c>
      <c r="F1495" t="s">
        <v>4075</v>
      </c>
    </row>
    <row r="1496" spans="1:6" x14ac:dyDescent="0.25">
      <c r="A1496">
        <v>2039</v>
      </c>
      <c r="B1496" t="s">
        <v>4072</v>
      </c>
      <c r="C1496">
        <v>19</v>
      </c>
      <c r="D1496" t="s">
        <v>4073</v>
      </c>
      <c r="E1496" t="s">
        <v>4074</v>
      </c>
      <c r="F1496" t="s">
        <v>4076</v>
      </c>
    </row>
    <row r="1497" spans="1:6" x14ac:dyDescent="0.25">
      <c r="A1497">
        <v>2039</v>
      </c>
      <c r="B1497" t="s">
        <v>4072</v>
      </c>
      <c r="C1497">
        <v>39</v>
      </c>
      <c r="D1497" t="s">
        <v>4073</v>
      </c>
      <c r="E1497" t="s">
        <v>4074</v>
      </c>
      <c r="F1497" t="s">
        <v>4079</v>
      </c>
    </row>
    <row r="1498" spans="1:6" x14ac:dyDescent="0.25">
      <c r="A1498">
        <v>2040</v>
      </c>
      <c r="B1498" t="s">
        <v>4072</v>
      </c>
      <c r="C1498">
        <v>6</v>
      </c>
      <c r="D1498" t="s">
        <v>4073</v>
      </c>
      <c r="E1498" t="s">
        <v>4074</v>
      </c>
      <c r="F1498" t="s">
        <v>4075</v>
      </c>
    </row>
    <row r="1499" spans="1:6" x14ac:dyDescent="0.25">
      <c r="A1499">
        <v>2040</v>
      </c>
      <c r="B1499" t="s">
        <v>4072</v>
      </c>
      <c r="C1499">
        <v>19</v>
      </c>
      <c r="D1499" t="s">
        <v>4073</v>
      </c>
      <c r="E1499" t="s">
        <v>4074</v>
      </c>
      <c r="F1499" t="s">
        <v>4076</v>
      </c>
    </row>
    <row r="1500" spans="1:6" x14ac:dyDescent="0.25">
      <c r="A1500">
        <v>2040</v>
      </c>
      <c r="B1500" t="s">
        <v>4072</v>
      </c>
      <c r="C1500">
        <v>39</v>
      </c>
      <c r="D1500" t="s">
        <v>4073</v>
      </c>
      <c r="E1500" t="s">
        <v>4074</v>
      </c>
      <c r="F1500" t="s">
        <v>4079</v>
      </c>
    </row>
    <row r="1501" spans="1:6" x14ac:dyDescent="0.25">
      <c r="A1501">
        <v>2041</v>
      </c>
      <c r="B1501" t="s">
        <v>4072</v>
      </c>
      <c r="C1501">
        <v>5</v>
      </c>
      <c r="D1501" t="s">
        <v>4087</v>
      </c>
      <c r="E1501" t="s">
        <v>4088</v>
      </c>
      <c r="F1501" t="s">
        <v>4075</v>
      </c>
    </row>
    <row r="1502" spans="1:6" x14ac:dyDescent="0.25">
      <c r="A1502">
        <v>2041</v>
      </c>
      <c r="B1502" t="s">
        <v>4072</v>
      </c>
      <c r="C1502">
        <v>15</v>
      </c>
      <c r="D1502" t="s">
        <v>4080</v>
      </c>
      <c r="E1502" t="s">
        <v>4081</v>
      </c>
      <c r="F1502" t="s">
        <v>4076</v>
      </c>
    </row>
    <row r="1503" spans="1:6" x14ac:dyDescent="0.25">
      <c r="A1503">
        <v>2042</v>
      </c>
      <c r="B1503" t="s">
        <v>4072</v>
      </c>
      <c r="C1503">
        <v>5</v>
      </c>
      <c r="D1503" t="s">
        <v>4087</v>
      </c>
      <c r="E1503" t="s">
        <v>4088</v>
      </c>
      <c r="F1503" t="s">
        <v>4075</v>
      </c>
    </row>
    <row r="1504" spans="1:6" x14ac:dyDescent="0.25">
      <c r="A1504">
        <v>2042</v>
      </c>
      <c r="B1504" t="s">
        <v>4072</v>
      </c>
      <c r="C1504">
        <v>15</v>
      </c>
      <c r="D1504" t="s">
        <v>4080</v>
      </c>
      <c r="E1504" t="s">
        <v>4081</v>
      </c>
      <c r="F1504" t="s">
        <v>4076</v>
      </c>
    </row>
    <row r="1505" spans="1:6" x14ac:dyDescent="0.25">
      <c r="A1505">
        <v>2044</v>
      </c>
      <c r="B1505" t="s">
        <v>4092</v>
      </c>
      <c r="C1505">
        <v>23</v>
      </c>
      <c r="D1505" t="s">
        <v>2757</v>
      </c>
      <c r="E1505" t="s">
        <v>4093</v>
      </c>
      <c r="F1505" t="s">
        <v>4075</v>
      </c>
    </row>
    <row r="1506" spans="1:6" x14ac:dyDescent="0.25">
      <c r="A1506">
        <v>2044</v>
      </c>
      <c r="B1506" t="s">
        <v>4092</v>
      </c>
      <c r="C1506">
        <v>25</v>
      </c>
      <c r="D1506" t="s">
        <v>4102</v>
      </c>
      <c r="E1506" t="s">
        <v>4103</v>
      </c>
      <c r="F1506" t="s">
        <v>4075</v>
      </c>
    </row>
    <row r="1507" spans="1:6" x14ac:dyDescent="0.25">
      <c r="A1507">
        <v>2044</v>
      </c>
      <c r="B1507" t="s">
        <v>4092</v>
      </c>
      <c r="C1507">
        <v>28</v>
      </c>
      <c r="D1507" t="s">
        <v>2757</v>
      </c>
      <c r="E1507" t="s">
        <v>4093</v>
      </c>
      <c r="F1507" t="s">
        <v>4076</v>
      </c>
    </row>
    <row r="1508" spans="1:6" x14ac:dyDescent="0.25">
      <c r="A1508">
        <v>2044</v>
      </c>
      <c r="B1508" t="s">
        <v>4092</v>
      </c>
      <c r="C1508">
        <v>30</v>
      </c>
      <c r="D1508" t="s">
        <v>4102</v>
      </c>
      <c r="E1508" t="s">
        <v>4103</v>
      </c>
      <c r="F1508" t="s">
        <v>4076</v>
      </c>
    </row>
    <row r="1509" spans="1:6" x14ac:dyDescent="0.25">
      <c r="A1509">
        <v>2049</v>
      </c>
      <c r="B1509" t="s">
        <v>4072</v>
      </c>
      <c r="C1509">
        <v>15</v>
      </c>
      <c r="D1509" t="s">
        <v>4080</v>
      </c>
      <c r="E1509" t="s">
        <v>4081</v>
      </c>
      <c r="F1509" t="s">
        <v>4076</v>
      </c>
    </row>
    <row r="1510" spans="1:6" x14ac:dyDescent="0.25">
      <c r="A1510">
        <v>2049</v>
      </c>
      <c r="B1510" t="s">
        <v>4072</v>
      </c>
      <c r="C1510">
        <v>40</v>
      </c>
      <c r="D1510" t="s">
        <v>4080</v>
      </c>
      <c r="E1510" t="s">
        <v>4081</v>
      </c>
      <c r="F1510" t="s">
        <v>4079</v>
      </c>
    </row>
    <row r="1511" spans="1:6" x14ac:dyDescent="0.25">
      <c r="A1511">
        <v>2057</v>
      </c>
      <c r="B1511" t="s">
        <v>4092</v>
      </c>
      <c r="C1511">
        <v>23</v>
      </c>
      <c r="D1511" t="s">
        <v>2757</v>
      </c>
      <c r="E1511" t="s">
        <v>4093</v>
      </c>
      <c r="F1511" t="s">
        <v>4075</v>
      </c>
    </row>
    <row r="1512" spans="1:6" x14ac:dyDescent="0.25">
      <c r="A1512">
        <v>2057</v>
      </c>
      <c r="B1512" t="s">
        <v>4092</v>
      </c>
      <c r="C1512">
        <v>28</v>
      </c>
      <c r="D1512" t="s">
        <v>2757</v>
      </c>
      <c r="E1512" t="s">
        <v>4093</v>
      </c>
      <c r="F1512" t="s">
        <v>4076</v>
      </c>
    </row>
    <row r="1513" spans="1:6" x14ac:dyDescent="0.25">
      <c r="A1513">
        <v>2057</v>
      </c>
      <c r="B1513" t="s">
        <v>4092</v>
      </c>
      <c r="C1513">
        <v>48</v>
      </c>
      <c r="D1513" t="s">
        <v>2757</v>
      </c>
      <c r="E1513" t="s">
        <v>4093</v>
      </c>
      <c r="F1513" t="s">
        <v>4079</v>
      </c>
    </row>
    <row r="1514" spans="1:6" x14ac:dyDescent="0.25">
      <c r="A1514">
        <v>2059</v>
      </c>
      <c r="B1514" t="s">
        <v>4072</v>
      </c>
      <c r="C1514">
        <v>6</v>
      </c>
      <c r="D1514" t="s">
        <v>4073</v>
      </c>
      <c r="E1514" t="s">
        <v>4074</v>
      </c>
      <c r="F1514" t="s">
        <v>4075</v>
      </c>
    </row>
    <row r="1515" spans="1:6" x14ac:dyDescent="0.25">
      <c r="A1515">
        <v>2059</v>
      </c>
      <c r="B1515" t="s">
        <v>4072</v>
      </c>
      <c r="C1515">
        <v>19</v>
      </c>
      <c r="D1515" t="s">
        <v>4073</v>
      </c>
      <c r="E1515" t="s">
        <v>4074</v>
      </c>
      <c r="F1515" t="s">
        <v>4076</v>
      </c>
    </row>
    <row r="1516" spans="1:6" x14ac:dyDescent="0.25">
      <c r="A1516">
        <v>2060</v>
      </c>
      <c r="B1516" t="s">
        <v>4072</v>
      </c>
      <c r="C1516">
        <v>5</v>
      </c>
      <c r="D1516" t="s">
        <v>4087</v>
      </c>
      <c r="E1516" t="s">
        <v>4088</v>
      </c>
      <c r="F1516" t="s">
        <v>4075</v>
      </c>
    </row>
    <row r="1517" spans="1:6" x14ac:dyDescent="0.25">
      <c r="A1517">
        <v>2060</v>
      </c>
      <c r="B1517" t="s">
        <v>4072</v>
      </c>
      <c r="C1517">
        <v>15</v>
      </c>
      <c r="D1517" t="s">
        <v>4080</v>
      </c>
      <c r="E1517" t="s">
        <v>4081</v>
      </c>
      <c r="F1517" t="s">
        <v>4076</v>
      </c>
    </row>
    <row r="1518" spans="1:6" x14ac:dyDescent="0.25">
      <c r="A1518">
        <v>2063</v>
      </c>
      <c r="B1518" t="s">
        <v>4072</v>
      </c>
      <c r="C1518">
        <v>10</v>
      </c>
      <c r="D1518" t="s">
        <v>4095</v>
      </c>
      <c r="E1518" t="s">
        <v>4096</v>
      </c>
      <c r="F1518" t="s">
        <v>4075</v>
      </c>
    </row>
    <row r="1519" spans="1:6" x14ac:dyDescent="0.25">
      <c r="A1519">
        <v>2064</v>
      </c>
      <c r="B1519" t="s">
        <v>4072</v>
      </c>
      <c r="C1519">
        <v>3</v>
      </c>
      <c r="D1519" t="s">
        <v>4085</v>
      </c>
      <c r="E1519" t="s">
        <v>4086</v>
      </c>
      <c r="F1519" t="s">
        <v>4075</v>
      </c>
    </row>
    <row r="1520" spans="1:6" x14ac:dyDescent="0.25">
      <c r="A1520">
        <v>2064</v>
      </c>
      <c r="B1520" t="s">
        <v>4072</v>
      </c>
      <c r="C1520">
        <v>13</v>
      </c>
      <c r="D1520" t="s">
        <v>4097</v>
      </c>
      <c r="E1520" t="s">
        <v>4098</v>
      </c>
      <c r="F1520" t="s">
        <v>4076</v>
      </c>
    </row>
    <row r="1521" spans="1:6" x14ac:dyDescent="0.25">
      <c r="A1521">
        <v>2064</v>
      </c>
      <c r="B1521" t="s">
        <v>4072</v>
      </c>
      <c r="C1521">
        <v>46</v>
      </c>
      <c r="D1521" t="s">
        <v>4099</v>
      </c>
      <c r="E1521" t="s">
        <v>4100</v>
      </c>
      <c r="F1521" t="s">
        <v>4079</v>
      </c>
    </row>
    <row r="1522" spans="1:6" x14ac:dyDescent="0.25">
      <c r="A1522">
        <v>2071</v>
      </c>
      <c r="B1522" t="s">
        <v>4072</v>
      </c>
      <c r="C1522">
        <v>6</v>
      </c>
      <c r="D1522" t="s">
        <v>4073</v>
      </c>
      <c r="E1522" t="s">
        <v>4074</v>
      </c>
      <c r="F1522" t="s">
        <v>4075</v>
      </c>
    </row>
    <row r="1523" spans="1:6" x14ac:dyDescent="0.25">
      <c r="A1523">
        <v>2071</v>
      </c>
      <c r="B1523" t="s">
        <v>4072</v>
      </c>
      <c r="C1523">
        <v>19</v>
      </c>
      <c r="D1523" t="s">
        <v>4073</v>
      </c>
      <c r="E1523" t="s">
        <v>4074</v>
      </c>
      <c r="F1523" t="s">
        <v>4076</v>
      </c>
    </row>
    <row r="1524" spans="1:6" x14ac:dyDescent="0.25">
      <c r="A1524">
        <v>2071</v>
      </c>
      <c r="B1524" t="s">
        <v>4072</v>
      </c>
      <c r="C1524">
        <v>39</v>
      </c>
      <c r="D1524" t="s">
        <v>4073</v>
      </c>
      <c r="E1524" t="s">
        <v>4074</v>
      </c>
      <c r="F1524" t="s">
        <v>4079</v>
      </c>
    </row>
    <row r="1525" spans="1:6" x14ac:dyDescent="0.25">
      <c r="A1525">
        <v>2072</v>
      </c>
      <c r="B1525" t="s">
        <v>4072</v>
      </c>
      <c r="C1525">
        <v>6</v>
      </c>
      <c r="D1525" t="s">
        <v>4073</v>
      </c>
      <c r="E1525" t="s">
        <v>4074</v>
      </c>
      <c r="F1525" t="s">
        <v>4075</v>
      </c>
    </row>
    <row r="1526" spans="1:6" x14ac:dyDescent="0.25">
      <c r="A1526">
        <v>2074</v>
      </c>
      <c r="B1526" t="s">
        <v>4072</v>
      </c>
      <c r="C1526">
        <v>3</v>
      </c>
      <c r="D1526" t="s">
        <v>4085</v>
      </c>
      <c r="E1526" t="s">
        <v>4086</v>
      </c>
      <c r="F1526" t="s">
        <v>4075</v>
      </c>
    </row>
    <row r="1527" spans="1:6" x14ac:dyDescent="0.25">
      <c r="A1527">
        <v>2075</v>
      </c>
      <c r="B1527" t="s">
        <v>4072</v>
      </c>
      <c r="C1527">
        <v>5</v>
      </c>
      <c r="D1527" t="s">
        <v>4087</v>
      </c>
      <c r="E1527" t="s">
        <v>4088</v>
      </c>
      <c r="F1527" t="s">
        <v>4075</v>
      </c>
    </row>
    <row r="1528" spans="1:6" x14ac:dyDescent="0.25">
      <c r="A1528">
        <v>2076</v>
      </c>
      <c r="B1528" t="s">
        <v>4072</v>
      </c>
      <c r="C1528">
        <v>2</v>
      </c>
      <c r="D1528" t="s">
        <v>4082</v>
      </c>
      <c r="E1528" t="s">
        <v>4083</v>
      </c>
      <c r="F1528" t="s">
        <v>4075</v>
      </c>
    </row>
    <row r="1529" spans="1:6" x14ac:dyDescent="0.25">
      <c r="A1529">
        <v>2079</v>
      </c>
      <c r="B1529" t="s">
        <v>4072</v>
      </c>
      <c r="C1529">
        <v>1</v>
      </c>
      <c r="D1529" t="s">
        <v>2761</v>
      </c>
      <c r="E1529" t="s">
        <v>4089</v>
      </c>
      <c r="F1529" t="s">
        <v>4075</v>
      </c>
    </row>
    <row r="1530" spans="1:6" x14ac:dyDescent="0.25">
      <c r="A1530">
        <v>2079</v>
      </c>
      <c r="B1530" t="s">
        <v>4072</v>
      </c>
      <c r="C1530">
        <v>38</v>
      </c>
      <c r="D1530" t="s">
        <v>2761</v>
      </c>
      <c r="E1530" t="s">
        <v>4089</v>
      </c>
      <c r="F1530" t="s">
        <v>4076</v>
      </c>
    </row>
    <row r="1531" spans="1:6" x14ac:dyDescent="0.25">
      <c r="A1531">
        <v>2080</v>
      </c>
      <c r="B1531" t="s">
        <v>4072</v>
      </c>
      <c r="C1531">
        <v>6</v>
      </c>
      <c r="D1531" t="s">
        <v>4073</v>
      </c>
      <c r="E1531" t="s">
        <v>4074</v>
      </c>
      <c r="F1531" t="s">
        <v>4075</v>
      </c>
    </row>
    <row r="1532" spans="1:6" x14ac:dyDescent="0.25">
      <c r="A1532">
        <v>2080</v>
      </c>
      <c r="B1532" t="s">
        <v>4072</v>
      </c>
      <c r="C1532">
        <v>19</v>
      </c>
      <c r="D1532" t="s">
        <v>4073</v>
      </c>
      <c r="E1532" t="s">
        <v>4074</v>
      </c>
      <c r="F1532" t="s">
        <v>4076</v>
      </c>
    </row>
    <row r="1533" spans="1:6" x14ac:dyDescent="0.25">
      <c r="A1533">
        <v>2080</v>
      </c>
      <c r="B1533" t="s">
        <v>4072</v>
      </c>
      <c r="C1533">
        <v>39</v>
      </c>
      <c r="D1533" t="s">
        <v>4073</v>
      </c>
      <c r="E1533" t="s">
        <v>4074</v>
      </c>
      <c r="F1533" t="s">
        <v>4079</v>
      </c>
    </row>
    <row r="1534" spans="1:6" x14ac:dyDescent="0.25">
      <c r="A1534">
        <v>2083</v>
      </c>
      <c r="B1534" t="s">
        <v>4072</v>
      </c>
      <c r="C1534">
        <v>3</v>
      </c>
      <c r="D1534" t="s">
        <v>4085</v>
      </c>
      <c r="E1534" t="s">
        <v>4086</v>
      </c>
      <c r="F1534" t="s">
        <v>4075</v>
      </c>
    </row>
    <row r="1535" spans="1:6" x14ac:dyDescent="0.25">
      <c r="A1535">
        <v>2083</v>
      </c>
      <c r="B1535" t="s">
        <v>4072</v>
      </c>
      <c r="C1535">
        <v>4</v>
      </c>
      <c r="D1535" t="s">
        <v>4077</v>
      </c>
      <c r="E1535" t="s">
        <v>4078</v>
      </c>
      <c r="F1535" t="s">
        <v>4075</v>
      </c>
    </row>
    <row r="1536" spans="1:6" x14ac:dyDescent="0.25">
      <c r="A1536">
        <v>2083</v>
      </c>
      <c r="B1536" t="s">
        <v>4072</v>
      </c>
      <c r="C1536">
        <v>5</v>
      </c>
      <c r="D1536" t="s">
        <v>4087</v>
      </c>
      <c r="E1536" t="s">
        <v>4088</v>
      </c>
      <c r="F1536" t="s">
        <v>4075</v>
      </c>
    </row>
    <row r="1537" spans="1:6" x14ac:dyDescent="0.25">
      <c r="A1537">
        <v>2083</v>
      </c>
      <c r="B1537" t="s">
        <v>4072</v>
      </c>
      <c r="C1537">
        <v>15</v>
      </c>
      <c r="D1537" t="s">
        <v>4080</v>
      </c>
      <c r="E1537" t="s">
        <v>4081</v>
      </c>
      <c r="F1537" t="s">
        <v>4076</v>
      </c>
    </row>
    <row r="1538" spans="1:6" x14ac:dyDescent="0.25">
      <c r="A1538">
        <v>2083</v>
      </c>
      <c r="B1538" t="s">
        <v>4072</v>
      </c>
      <c r="C1538">
        <v>16</v>
      </c>
      <c r="D1538" t="s">
        <v>4077</v>
      </c>
      <c r="E1538" t="s">
        <v>4078</v>
      </c>
      <c r="F1538" t="s">
        <v>4076</v>
      </c>
    </row>
    <row r="1539" spans="1:6" x14ac:dyDescent="0.25">
      <c r="A1539">
        <v>2083</v>
      </c>
      <c r="B1539" t="s">
        <v>4072</v>
      </c>
      <c r="C1539">
        <v>40</v>
      </c>
      <c r="D1539" t="s">
        <v>4080</v>
      </c>
      <c r="E1539" t="s">
        <v>4081</v>
      </c>
      <c r="F1539" t="s">
        <v>4079</v>
      </c>
    </row>
    <row r="1540" spans="1:6" x14ac:dyDescent="0.25">
      <c r="A1540">
        <v>2083</v>
      </c>
      <c r="B1540" t="s">
        <v>4072</v>
      </c>
      <c r="C1540">
        <v>44</v>
      </c>
      <c r="D1540" t="s">
        <v>4077</v>
      </c>
      <c r="E1540" t="s">
        <v>4078</v>
      </c>
      <c r="F1540" t="s">
        <v>4079</v>
      </c>
    </row>
    <row r="1541" spans="1:6" x14ac:dyDescent="0.25">
      <c r="A1541">
        <v>2084</v>
      </c>
      <c r="B1541" t="s">
        <v>4072</v>
      </c>
      <c r="C1541">
        <v>19</v>
      </c>
      <c r="D1541" t="s">
        <v>4073</v>
      </c>
      <c r="E1541" t="s">
        <v>4074</v>
      </c>
      <c r="F1541" t="s">
        <v>4076</v>
      </c>
    </row>
    <row r="1542" spans="1:6" x14ac:dyDescent="0.25">
      <c r="A1542">
        <v>2084</v>
      </c>
      <c r="B1542" t="s">
        <v>4072</v>
      </c>
      <c r="C1542">
        <v>39</v>
      </c>
      <c r="D1542" t="s">
        <v>4073</v>
      </c>
      <c r="E1542" t="s">
        <v>4074</v>
      </c>
      <c r="F1542" t="s">
        <v>4079</v>
      </c>
    </row>
    <row r="1543" spans="1:6" x14ac:dyDescent="0.25">
      <c r="A1543">
        <v>2085</v>
      </c>
      <c r="B1543" t="s">
        <v>4072</v>
      </c>
      <c r="C1543">
        <v>5</v>
      </c>
      <c r="D1543" t="s">
        <v>4087</v>
      </c>
      <c r="E1543" t="s">
        <v>4088</v>
      </c>
      <c r="F1543" t="s">
        <v>4075</v>
      </c>
    </row>
    <row r="1544" spans="1:6" x14ac:dyDescent="0.25">
      <c r="A1544">
        <v>2085</v>
      </c>
      <c r="B1544" t="s">
        <v>4072</v>
      </c>
      <c r="C1544">
        <v>15</v>
      </c>
      <c r="D1544" t="s">
        <v>4080</v>
      </c>
      <c r="E1544" t="s">
        <v>4081</v>
      </c>
      <c r="F1544" t="s">
        <v>4076</v>
      </c>
    </row>
    <row r="1545" spans="1:6" x14ac:dyDescent="0.25">
      <c r="A1545">
        <v>2085</v>
      </c>
      <c r="B1545" t="s">
        <v>4072</v>
      </c>
      <c r="C1545">
        <v>40</v>
      </c>
      <c r="D1545" t="s">
        <v>4080</v>
      </c>
      <c r="E1545" t="s">
        <v>4081</v>
      </c>
      <c r="F1545" t="s">
        <v>4079</v>
      </c>
    </row>
    <row r="1546" spans="1:6" x14ac:dyDescent="0.25">
      <c r="A1546">
        <v>2086</v>
      </c>
      <c r="B1546" t="s">
        <v>4072</v>
      </c>
      <c r="C1546">
        <v>3</v>
      </c>
      <c r="D1546" t="s">
        <v>4085</v>
      </c>
      <c r="E1546" t="s">
        <v>4086</v>
      </c>
      <c r="F1546" t="s">
        <v>4075</v>
      </c>
    </row>
    <row r="1547" spans="1:6" x14ac:dyDescent="0.25">
      <c r="A1547">
        <v>2086</v>
      </c>
      <c r="B1547" t="s">
        <v>4072</v>
      </c>
      <c r="C1547">
        <v>15</v>
      </c>
      <c r="D1547" t="s">
        <v>4080</v>
      </c>
      <c r="E1547" t="s">
        <v>4081</v>
      </c>
      <c r="F1547" t="s">
        <v>4076</v>
      </c>
    </row>
    <row r="1548" spans="1:6" x14ac:dyDescent="0.25">
      <c r="A1548">
        <v>2086</v>
      </c>
      <c r="B1548" t="s">
        <v>4072</v>
      </c>
      <c r="C1548">
        <v>40</v>
      </c>
      <c r="D1548" t="s">
        <v>4080</v>
      </c>
      <c r="E1548" t="s">
        <v>4081</v>
      </c>
      <c r="F1548" t="s">
        <v>4079</v>
      </c>
    </row>
    <row r="1549" spans="1:6" x14ac:dyDescent="0.25">
      <c r="A1549">
        <v>2087</v>
      </c>
      <c r="B1549" t="s">
        <v>4092</v>
      </c>
      <c r="C1549">
        <v>23</v>
      </c>
      <c r="D1549" t="s">
        <v>2757</v>
      </c>
      <c r="E1549" t="s">
        <v>4093</v>
      </c>
      <c r="F1549" t="s">
        <v>4075</v>
      </c>
    </row>
    <row r="1550" spans="1:6" x14ac:dyDescent="0.25">
      <c r="A1550">
        <v>2087</v>
      </c>
      <c r="B1550" t="s">
        <v>4092</v>
      </c>
      <c r="C1550">
        <v>28</v>
      </c>
      <c r="D1550" t="s">
        <v>2757</v>
      </c>
      <c r="E1550" t="s">
        <v>4093</v>
      </c>
      <c r="F1550" t="s">
        <v>4076</v>
      </c>
    </row>
    <row r="1551" spans="1:6" x14ac:dyDescent="0.25">
      <c r="A1551">
        <v>2087</v>
      </c>
      <c r="B1551" t="s">
        <v>4092</v>
      </c>
      <c r="C1551">
        <v>48</v>
      </c>
      <c r="D1551" t="s">
        <v>2757</v>
      </c>
      <c r="E1551" t="s">
        <v>4093</v>
      </c>
      <c r="F1551" t="s">
        <v>4079</v>
      </c>
    </row>
    <row r="1552" spans="1:6" x14ac:dyDescent="0.25">
      <c r="A1552">
        <v>2088</v>
      </c>
      <c r="B1552" t="s">
        <v>4092</v>
      </c>
      <c r="C1552">
        <v>25</v>
      </c>
      <c r="D1552" t="s">
        <v>4102</v>
      </c>
      <c r="E1552" t="s">
        <v>4103</v>
      </c>
      <c r="F1552" t="s">
        <v>4075</v>
      </c>
    </row>
    <row r="1553" spans="1:6" x14ac:dyDescent="0.25">
      <c r="A1553">
        <v>2088</v>
      </c>
      <c r="B1553" t="s">
        <v>4092</v>
      </c>
      <c r="C1553">
        <v>30</v>
      </c>
      <c r="D1553" t="s">
        <v>4102</v>
      </c>
      <c r="E1553" t="s">
        <v>4103</v>
      </c>
      <c r="F1553" t="s">
        <v>4076</v>
      </c>
    </row>
    <row r="1554" spans="1:6" x14ac:dyDescent="0.25">
      <c r="A1554">
        <v>2088</v>
      </c>
      <c r="B1554" t="s">
        <v>4092</v>
      </c>
      <c r="C1554">
        <v>50</v>
      </c>
      <c r="D1554" t="s">
        <v>4102</v>
      </c>
      <c r="E1554" t="s">
        <v>4103</v>
      </c>
      <c r="F1554" t="s">
        <v>4079</v>
      </c>
    </row>
    <row r="1555" spans="1:6" x14ac:dyDescent="0.25">
      <c r="A1555">
        <v>2090</v>
      </c>
      <c r="B1555" t="s">
        <v>4072</v>
      </c>
      <c r="C1555">
        <v>19</v>
      </c>
      <c r="D1555" t="s">
        <v>4073</v>
      </c>
      <c r="E1555" t="s">
        <v>4074</v>
      </c>
      <c r="F1555" t="s">
        <v>4076</v>
      </c>
    </row>
    <row r="1556" spans="1:6" x14ac:dyDescent="0.25">
      <c r="A1556">
        <v>2093</v>
      </c>
      <c r="B1556" t="s">
        <v>4072</v>
      </c>
      <c r="C1556">
        <v>6</v>
      </c>
      <c r="D1556" t="s">
        <v>4073</v>
      </c>
      <c r="E1556" t="s">
        <v>4074</v>
      </c>
      <c r="F1556" t="s">
        <v>4075</v>
      </c>
    </row>
    <row r="1557" spans="1:6" x14ac:dyDescent="0.25">
      <c r="A1557">
        <v>2093</v>
      </c>
      <c r="B1557" t="s">
        <v>4072</v>
      </c>
      <c r="C1557">
        <v>19</v>
      </c>
      <c r="D1557" t="s">
        <v>4073</v>
      </c>
      <c r="E1557" t="s">
        <v>4074</v>
      </c>
      <c r="F1557" t="s">
        <v>4076</v>
      </c>
    </row>
    <row r="1558" spans="1:6" x14ac:dyDescent="0.25">
      <c r="A1558">
        <v>2094</v>
      </c>
      <c r="B1558" t="s">
        <v>4072</v>
      </c>
      <c r="C1558">
        <v>6</v>
      </c>
      <c r="D1558" t="s">
        <v>4073</v>
      </c>
      <c r="E1558" t="s">
        <v>4074</v>
      </c>
      <c r="F1558" t="s">
        <v>4075</v>
      </c>
    </row>
    <row r="1559" spans="1:6" x14ac:dyDescent="0.25">
      <c r="A1559">
        <v>2094</v>
      </c>
      <c r="B1559" t="s">
        <v>4072</v>
      </c>
      <c r="C1559">
        <v>19</v>
      </c>
      <c r="D1559" t="s">
        <v>4073</v>
      </c>
      <c r="E1559" t="s">
        <v>4074</v>
      </c>
      <c r="F1559" t="s">
        <v>4076</v>
      </c>
    </row>
    <row r="1560" spans="1:6" x14ac:dyDescent="0.25">
      <c r="A1560">
        <v>2096</v>
      </c>
      <c r="B1560" t="s">
        <v>4072</v>
      </c>
      <c r="C1560">
        <v>2</v>
      </c>
      <c r="D1560" t="s">
        <v>4082</v>
      </c>
      <c r="E1560" t="s">
        <v>4083</v>
      </c>
      <c r="F1560" t="s">
        <v>4075</v>
      </c>
    </row>
    <row r="1561" spans="1:6" x14ac:dyDescent="0.25">
      <c r="A1561">
        <v>2096</v>
      </c>
      <c r="B1561" t="s">
        <v>4072</v>
      </c>
      <c r="C1561">
        <v>17</v>
      </c>
      <c r="D1561" t="s">
        <v>4082</v>
      </c>
      <c r="E1561" t="s">
        <v>4084</v>
      </c>
      <c r="F1561" t="s">
        <v>4076</v>
      </c>
    </row>
    <row r="1562" spans="1:6" x14ac:dyDescent="0.25">
      <c r="A1562">
        <v>2096</v>
      </c>
      <c r="B1562" t="s">
        <v>4072</v>
      </c>
      <c r="C1562">
        <v>42</v>
      </c>
      <c r="D1562" t="s">
        <v>4082</v>
      </c>
      <c r="E1562" t="s">
        <v>4083</v>
      </c>
      <c r="F1562" t="s">
        <v>4079</v>
      </c>
    </row>
    <row r="1563" spans="1:6" x14ac:dyDescent="0.25">
      <c r="A1563">
        <v>2097</v>
      </c>
      <c r="B1563" t="s">
        <v>4072</v>
      </c>
      <c r="C1563">
        <v>2</v>
      </c>
      <c r="D1563" t="s">
        <v>4082</v>
      </c>
      <c r="E1563" t="s">
        <v>4083</v>
      </c>
      <c r="F1563" t="s">
        <v>4075</v>
      </c>
    </row>
    <row r="1564" spans="1:6" x14ac:dyDescent="0.25">
      <c r="A1564">
        <v>2097</v>
      </c>
      <c r="B1564" t="s">
        <v>4072</v>
      </c>
      <c r="C1564">
        <v>17</v>
      </c>
      <c r="D1564" t="s">
        <v>4082</v>
      </c>
      <c r="E1564" t="s">
        <v>4084</v>
      </c>
      <c r="F1564" t="s">
        <v>4076</v>
      </c>
    </row>
    <row r="1565" spans="1:6" x14ac:dyDescent="0.25">
      <c r="A1565">
        <v>2097</v>
      </c>
      <c r="B1565" t="s">
        <v>4072</v>
      </c>
      <c r="C1565">
        <v>42</v>
      </c>
      <c r="D1565" t="s">
        <v>4082</v>
      </c>
      <c r="E1565" t="s">
        <v>4083</v>
      </c>
      <c r="F1565" t="s">
        <v>4079</v>
      </c>
    </row>
    <row r="1566" spans="1:6" x14ac:dyDescent="0.25">
      <c r="A1566">
        <v>2098</v>
      </c>
      <c r="B1566" t="s">
        <v>4072</v>
      </c>
      <c r="C1566">
        <v>5</v>
      </c>
      <c r="D1566" t="s">
        <v>4087</v>
      </c>
      <c r="E1566" t="s">
        <v>4088</v>
      </c>
      <c r="F1566" t="s">
        <v>4075</v>
      </c>
    </row>
    <row r="1567" spans="1:6" x14ac:dyDescent="0.25">
      <c r="A1567">
        <v>2098</v>
      </c>
      <c r="B1567" t="s">
        <v>4072</v>
      </c>
      <c r="C1567">
        <v>15</v>
      </c>
      <c r="D1567" t="s">
        <v>4080</v>
      </c>
      <c r="E1567" t="s">
        <v>4081</v>
      </c>
      <c r="F1567" t="s">
        <v>4076</v>
      </c>
    </row>
    <row r="1568" spans="1:6" x14ac:dyDescent="0.25">
      <c r="A1568">
        <v>2098</v>
      </c>
      <c r="B1568" t="s">
        <v>4072</v>
      </c>
      <c r="C1568">
        <v>40</v>
      </c>
      <c r="D1568" t="s">
        <v>4080</v>
      </c>
      <c r="E1568" t="s">
        <v>4081</v>
      </c>
      <c r="F1568" t="s">
        <v>4079</v>
      </c>
    </row>
    <row r="1569" spans="1:6" x14ac:dyDescent="0.25">
      <c r="A1569">
        <v>2099</v>
      </c>
      <c r="B1569" t="s">
        <v>4072</v>
      </c>
      <c r="C1569">
        <v>14</v>
      </c>
      <c r="D1569" t="s">
        <v>4090</v>
      </c>
      <c r="E1569" t="s">
        <v>4091</v>
      </c>
      <c r="F1569" t="s">
        <v>4076</v>
      </c>
    </row>
    <row r="1570" spans="1:6" x14ac:dyDescent="0.25">
      <c r="A1570">
        <v>2099</v>
      </c>
      <c r="B1570" t="s">
        <v>4072</v>
      </c>
      <c r="C1570">
        <v>37</v>
      </c>
      <c r="D1570" t="s">
        <v>2398</v>
      </c>
      <c r="E1570" t="s">
        <v>4101</v>
      </c>
      <c r="F1570" t="s">
        <v>4075</v>
      </c>
    </row>
    <row r="1571" spans="1:6" x14ac:dyDescent="0.25">
      <c r="A1571">
        <v>2099</v>
      </c>
      <c r="B1571" t="s">
        <v>4072</v>
      </c>
      <c r="C1571">
        <v>41</v>
      </c>
      <c r="D1571" t="s">
        <v>4090</v>
      </c>
      <c r="E1571" t="s">
        <v>4091</v>
      </c>
      <c r="F1571" t="s">
        <v>4079</v>
      </c>
    </row>
    <row r="1572" spans="1:6" x14ac:dyDescent="0.25">
      <c r="A1572">
        <v>2103</v>
      </c>
      <c r="B1572" t="s">
        <v>4072</v>
      </c>
      <c r="C1572">
        <v>12</v>
      </c>
      <c r="D1572" t="s">
        <v>2159</v>
      </c>
      <c r="E1572" t="s">
        <v>4094</v>
      </c>
      <c r="F1572" t="s">
        <v>4076</v>
      </c>
    </row>
    <row r="1573" spans="1:6" x14ac:dyDescent="0.25">
      <c r="A1573">
        <v>2103</v>
      </c>
      <c r="B1573" t="s">
        <v>4072</v>
      </c>
      <c r="C1573">
        <v>45</v>
      </c>
      <c r="D1573" t="s">
        <v>2159</v>
      </c>
      <c r="E1573" t="s">
        <v>4094</v>
      </c>
      <c r="F1573" t="s">
        <v>4079</v>
      </c>
    </row>
    <row r="1574" spans="1:6" x14ac:dyDescent="0.25">
      <c r="A1574">
        <v>2111</v>
      </c>
      <c r="B1574" t="s">
        <v>4072</v>
      </c>
      <c r="C1574">
        <v>2</v>
      </c>
      <c r="D1574" t="s">
        <v>4082</v>
      </c>
      <c r="E1574" t="s">
        <v>4083</v>
      </c>
      <c r="F1574" t="s">
        <v>4075</v>
      </c>
    </row>
    <row r="1575" spans="1:6" x14ac:dyDescent="0.25">
      <c r="A1575">
        <v>2111</v>
      </c>
      <c r="B1575" t="s">
        <v>4072</v>
      </c>
      <c r="C1575">
        <v>17</v>
      </c>
      <c r="D1575" t="s">
        <v>4082</v>
      </c>
      <c r="E1575" t="s">
        <v>4084</v>
      </c>
      <c r="F1575" t="s">
        <v>4076</v>
      </c>
    </row>
    <row r="1576" spans="1:6" x14ac:dyDescent="0.25">
      <c r="A1576">
        <v>2111</v>
      </c>
      <c r="B1576" t="s">
        <v>4072</v>
      </c>
      <c r="C1576">
        <v>42</v>
      </c>
      <c r="D1576" t="s">
        <v>4082</v>
      </c>
      <c r="E1576" t="s">
        <v>4083</v>
      </c>
      <c r="F1576" t="s">
        <v>4079</v>
      </c>
    </row>
    <row r="1577" spans="1:6" x14ac:dyDescent="0.25">
      <c r="A1577">
        <v>2115</v>
      </c>
      <c r="B1577" t="s">
        <v>4072</v>
      </c>
      <c r="C1577">
        <v>6</v>
      </c>
      <c r="D1577" t="s">
        <v>4073</v>
      </c>
      <c r="E1577" t="s">
        <v>4074</v>
      </c>
      <c r="F1577" t="s">
        <v>4075</v>
      </c>
    </row>
    <row r="1578" spans="1:6" x14ac:dyDescent="0.25">
      <c r="A1578">
        <v>2115</v>
      </c>
      <c r="B1578" t="s">
        <v>4072</v>
      </c>
      <c r="C1578">
        <v>19</v>
      </c>
      <c r="D1578" t="s">
        <v>4073</v>
      </c>
      <c r="E1578" t="s">
        <v>4074</v>
      </c>
      <c r="F1578" t="s">
        <v>4076</v>
      </c>
    </row>
    <row r="1579" spans="1:6" x14ac:dyDescent="0.25">
      <c r="A1579">
        <v>2115</v>
      </c>
      <c r="B1579" t="s">
        <v>4072</v>
      </c>
      <c r="C1579">
        <v>39</v>
      </c>
      <c r="D1579" t="s">
        <v>4073</v>
      </c>
      <c r="E1579" t="s">
        <v>4074</v>
      </c>
      <c r="F1579" t="s">
        <v>4079</v>
      </c>
    </row>
    <row r="1580" spans="1:6" x14ac:dyDescent="0.25">
      <c r="A1580">
        <v>2119</v>
      </c>
      <c r="B1580" t="s">
        <v>4072</v>
      </c>
      <c r="C1580">
        <v>2</v>
      </c>
      <c r="D1580" t="s">
        <v>4082</v>
      </c>
      <c r="E1580" t="s">
        <v>4083</v>
      </c>
      <c r="F1580" t="s">
        <v>4075</v>
      </c>
    </row>
    <row r="1581" spans="1:6" x14ac:dyDescent="0.25">
      <c r="A1581">
        <v>2119</v>
      </c>
      <c r="B1581" t="s">
        <v>4072</v>
      </c>
      <c r="C1581">
        <v>17</v>
      </c>
      <c r="D1581" t="s">
        <v>4082</v>
      </c>
      <c r="E1581" t="s">
        <v>4084</v>
      </c>
      <c r="F1581" t="s">
        <v>4076</v>
      </c>
    </row>
    <row r="1582" spans="1:6" x14ac:dyDescent="0.25">
      <c r="A1582">
        <v>2119</v>
      </c>
      <c r="B1582" t="s">
        <v>4072</v>
      </c>
      <c r="C1582">
        <v>42</v>
      </c>
      <c r="D1582" t="s">
        <v>4082</v>
      </c>
      <c r="E1582" t="s">
        <v>4083</v>
      </c>
      <c r="F1582" t="s">
        <v>4079</v>
      </c>
    </row>
    <row r="1583" spans="1:6" x14ac:dyDescent="0.25">
      <c r="A1583">
        <v>2120</v>
      </c>
      <c r="B1583" t="s">
        <v>4072</v>
      </c>
      <c r="C1583">
        <v>3</v>
      </c>
      <c r="D1583" t="s">
        <v>4085</v>
      </c>
      <c r="E1583" t="s">
        <v>4086</v>
      </c>
      <c r="F1583" t="s">
        <v>4075</v>
      </c>
    </row>
    <row r="1584" spans="1:6" x14ac:dyDescent="0.25">
      <c r="A1584">
        <v>2120</v>
      </c>
      <c r="B1584" t="s">
        <v>4072</v>
      </c>
      <c r="C1584">
        <v>15</v>
      </c>
      <c r="D1584" t="s">
        <v>4080</v>
      </c>
      <c r="E1584" t="s">
        <v>4081</v>
      </c>
      <c r="F1584" t="s">
        <v>4076</v>
      </c>
    </row>
    <row r="1585" spans="1:6" x14ac:dyDescent="0.25">
      <c r="A1585">
        <v>2120</v>
      </c>
      <c r="B1585" t="s">
        <v>4072</v>
      </c>
      <c r="C1585">
        <v>40</v>
      </c>
      <c r="D1585" t="s">
        <v>4080</v>
      </c>
      <c r="E1585" t="s">
        <v>4081</v>
      </c>
      <c r="F1585" t="s">
        <v>4079</v>
      </c>
    </row>
    <row r="1586" spans="1:6" x14ac:dyDescent="0.25">
      <c r="A1586">
        <v>2121</v>
      </c>
      <c r="B1586" t="s">
        <v>4072</v>
      </c>
      <c r="C1586">
        <v>4</v>
      </c>
      <c r="D1586" t="s">
        <v>4077</v>
      </c>
      <c r="E1586" t="s">
        <v>4078</v>
      </c>
      <c r="F1586" t="s">
        <v>4075</v>
      </c>
    </row>
    <row r="1587" spans="1:6" x14ac:dyDescent="0.25">
      <c r="A1587">
        <v>2121</v>
      </c>
      <c r="B1587" t="s">
        <v>4072</v>
      </c>
      <c r="C1587">
        <v>16</v>
      </c>
      <c r="D1587" t="s">
        <v>4077</v>
      </c>
      <c r="E1587" t="s">
        <v>4078</v>
      </c>
      <c r="F1587" t="s">
        <v>4076</v>
      </c>
    </row>
    <row r="1588" spans="1:6" x14ac:dyDescent="0.25">
      <c r="A1588">
        <v>2121</v>
      </c>
      <c r="B1588" t="s">
        <v>4072</v>
      </c>
      <c r="C1588">
        <v>44</v>
      </c>
      <c r="D1588" t="s">
        <v>4077</v>
      </c>
      <c r="E1588" t="s">
        <v>4078</v>
      </c>
      <c r="F1588" t="s">
        <v>4079</v>
      </c>
    </row>
    <row r="1589" spans="1:6" x14ac:dyDescent="0.25">
      <c r="A1589">
        <v>2122</v>
      </c>
      <c r="B1589" t="s">
        <v>4072</v>
      </c>
      <c r="C1589">
        <v>2</v>
      </c>
      <c r="D1589" t="s">
        <v>4082</v>
      </c>
      <c r="E1589" t="s">
        <v>4083</v>
      </c>
      <c r="F1589" t="s">
        <v>4075</v>
      </c>
    </row>
    <row r="1590" spans="1:6" x14ac:dyDescent="0.25">
      <c r="A1590">
        <v>2122</v>
      </c>
      <c r="B1590" t="s">
        <v>4072</v>
      </c>
      <c r="C1590">
        <v>17</v>
      </c>
      <c r="D1590" t="s">
        <v>4082</v>
      </c>
      <c r="E1590" t="s">
        <v>4084</v>
      </c>
      <c r="F1590" t="s">
        <v>4076</v>
      </c>
    </row>
    <row r="1591" spans="1:6" x14ac:dyDescent="0.25">
      <c r="A1591">
        <v>2122</v>
      </c>
      <c r="B1591" t="s">
        <v>4072</v>
      </c>
      <c r="C1591">
        <v>42</v>
      </c>
      <c r="D1591" t="s">
        <v>4082</v>
      </c>
      <c r="E1591" t="s">
        <v>4083</v>
      </c>
      <c r="F1591" t="s">
        <v>4079</v>
      </c>
    </row>
    <row r="1592" spans="1:6" x14ac:dyDescent="0.25">
      <c r="A1592">
        <v>2123</v>
      </c>
      <c r="B1592" t="s">
        <v>4072</v>
      </c>
      <c r="C1592">
        <v>5</v>
      </c>
      <c r="D1592" t="s">
        <v>4087</v>
      </c>
      <c r="E1592" t="s">
        <v>4088</v>
      </c>
      <c r="F1592" t="s">
        <v>4075</v>
      </c>
    </row>
    <row r="1593" spans="1:6" x14ac:dyDescent="0.25">
      <c r="A1593">
        <v>2123</v>
      </c>
      <c r="B1593" t="s">
        <v>4072</v>
      </c>
      <c r="C1593">
        <v>15</v>
      </c>
      <c r="D1593" t="s">
        <v>4080</v>
      </c>
      <c r="E1593" t="s">
        <v>4081</v>
      </c>
      <c r="F1593" t="s">
        <v>4076</v>
      </c>
    </row>
    <row r="1594" spans="1:6" x14ac:dyDescent="0.25">
      <c r="A1594">
        <v>2123</v>
      </c>
      <c r="B1594" t="s">
        <v>4072</v>
      </c>
      <c r="C1594">
        <v>40</v>
      </c>
      <c r="D1594" t="s">
        <v>4080</v>
      </c>
      <c r="E1594" t="s">
        <v>4081</v>
      </c>
      <c r="F1594" t="s">
        <v>4079</v>
      </c>
    </row>
    <row r="1595" spans="1:6" x14ac:dyDescent="0.25">
      <c r="A1595">
        <v>2124</v>
      </c>
      <c r="B1595" t="s">
        <v>4072</v>
      </c>
      <c r="C1595">
        <v>6</v>
      </c>
      <c r="D1595" t="s">
        <v>4073</v>
      </c>
      <c r="E1595" t="s">
        <v>4074</v>
      </c>
      <c r="F1595" t="s">
        <v>4075</v>
      </c>
    </row>
    <row r="1596" spans="1:6" x14ac:dyDescent="0.25">
      <c r="A1596">
        <v>2124</v>
      </c>
      <c r="B1596" t="s">
        <v>4072</v>
      </c>
      <c r="C1596">
        <v>19</v>
      </c>
      <c r="D1596" t="s">
        <v>4073</v>
      </c>
      <c r="E1596" t="s">
        <v>4074</v>
      </c>
      <c r="F1596" t="s">
        <v>4076</v>
      </c>
    </row>
    <row r="1597" spans="1:6" x14ac:dyDescent="0.25">
      <c r="A1597">
        <v>2124</v>
      </c>
      <c r="B1597" t="s">
        <v>4072</v>
      </c>
      <c r="C1597">
        <v>39</v>
      </c>
      <c r="D1597" t="s">
        <v>4073</v>
      </c>
      <c r="E1597" t="s">
        <v>4074</v>
      </c>
      <c r="F1597" t="s">
        <v>4079</v>
      </c>
    </row>
    <row r="1598" spans="1:6" x14ac:dyDescent="0.25">
      <c r="A1598">
        <v>2125</v>
      </c>
      <c r="B1598" t="s">
        <v>4072</v>
      </c>
      <c r="C1598">
        <v>5</v>
      </c>
      <c r="D1598" t="s">
        <v>4087</v>
      </c>
      <c r="E1598" t="s">
        <v>4088</v>
      </c>
      <c r="F1598" t="s">
        <v>4075</v>
      </c>
    </row>
    <row r="1599" spans="1:6" x14ac:dyDescent="0.25">
      <c r="A1599">
        <v>2125</v>
      </c>
      <c r="B1599" t="s">
        <v>4072</v>
      </c>
      <c r="C1599">
        <v>15</v>
      </c>
      <c r="D1599" t="s">
        <v>4080</v>
      </c>
      <c r="E1599" t="s">
        <v>4081</v>
      </c>
      <c r="F1599" t="s">
        <v>4076</v>
      </c>
    </row>
    <row r="1600" spans="1:6" x14ac:dyDescent="0.25">
      <c r="A1600">
        <v>2125</v>
      </c>
      <c r="B1600" t="s">
        <v>4072</v>
      </c>
      <c r="C1600">
        <v>40</v>
      </c>
      <c r="D1600" t="s">
        <v>4080</v>
      </c>
      <c r="E1600" t="s">
        <v>4081</v>
      </c>
      <c r="F1600" t="s">
        <v>4079</v>
      </c>
    </row>
    <row r="1601" spans="1:6" x14ac:dyDescent="0.25">
      <c r="A1601">
        <v>2126</v>
      </c>
      <c r="B1601" t="s">
        <v>4072</v>
      </c>
      <c r="C1601">
        <v>2</v>
      </c>
      <c r="D1601" t="s">
        <v>4082</v>
      </c>
      <c r="E1601" t="s">
        <v>4083</v>
      </c>
      <c r="F1601" t="s">
        <v>4075</v>
      </c>
    </row>
    <row r="1602" spans="1:6" x14ac:dyDescent="0.25">
      <c r="A1602">
        <v>2126</v>
      </c>
      <c r="B1602" t="s">
        <v>4072</v>
      </c>
      <c r="C1602">
        <v>17</v>
      </c>
      <c r="D1602" t="s">
        <v>4082</v>
      </c>
      <c r="E1602" t="s">
        <v>4084</v>
      </c>
      <c r="F1602" t="s">
        <v>4076</v>
      </c>
    </row>
    <row r="1603" spans="1:6" x14ac:dyDescent="0.25">
      <c r="A1603">
        <v>2126</v>
      </c>
      <c r="B1603" t="s">
        <v>4072</v>
      </c>
      <c r="C1603">
        <v>42</v>
      </c>
      <c r="D1603" t="s">
        <v>4082</v>
      </c>
      <c r="E1603" t="s">
        <v>4083</v>
      </c>
      <c r="F1603" t="s">
        <v>4079</v>
      </c>
    </row>
    <row r="1604" spans="1:6" x14ac:dyDescent="0.25">
      <c r="A1604">
        <v>2127</v>
      </c>
      <c r="B1604" t="s">
        <v>4072</v>
      </c>
      <c r="C1604">
        <v>2</v>
      </c>
      <c r="D1604" t="s">
        <v>4082</v>
      </c>
      <c r="E1604" t="s">
        <v>4083</v>
      </c>
      <c r="F1604" t="s">
        <v>4075</v>
      </c>
    </row>
    <row r="1605" spans="1:6" x14ac:dyDescent="0.25">
      <c r="A1605">
        <v>2127</v>
      </c>
      <c r="B1605" t="s">
        <v>4072</v>
      </c>
      <c r="C1605">
        <v>17</v>
      </c>
      <c r="D1605" t="s">
        <v>4082</v>
      </c>
      <c r="E1605" t="s">
        <v>4084</v>
      </c>
      <c r="F1605" t="s">
        <v>4076</v>
      </c>
    </row>
    <row r="1606" spans="1:6" x14ac:dyDescent="0.25">
      <c r="A1606">
        <v>2127</v>
      </c>
      <c r="B1606" t="s">
        <v>4072</v>
      </c>
      <c r="C1606">
        <v>42</v>
      </c>
      <c r="D1606" t="s">
        <v>4082</v>
      </c>
      <c r="E1606" t="s">
        <v>4083</v>
      </c>
      <c r="F1606" t="s">
        <v>4079</v>
      </c>
    </row>
    <row r="1607" spans="1:6" x14ac:dyDescent="0.25">
      <c r="A1607">
        <v>2128</v>
      </c>
      <c r="B1607" t="s">
        <v>4072</v>
      </c>
      <c r="C1607">
        <v>5</v>
      </c>
      <c r="D1607" t="s">
        <v>4087</v>
      </c>
      <c r="E1607" t="s">
        <v>4088</v>
      </c>
      <c r="F1607" t="s">
        <v>4075</v>
      </c>
    </row>
    <row r="1608" spans="1:6" x14ac:dyDescent="0.25">
      <c r="A1608">
        <v>2128</v>
      </c>
      <c r="B1608" t="s">
        <v>4072</v>
      </c>
      <c r="C1608">
        <v>15</v>
      </c>
      <c r="D1608" t="s">
        <v>4080</v>
      </c>
      <c r="E1608" t="s">
        <v>4081</v>
      </c>
      <c r="F1608" t="s">
        <v>4076</v>
      </c>
    </row>
    <row r="1609" spans="1:6" x14ac:dyDescent="0.25">
      <c r="A1609">
        <v>2128</v>
      </c>
      <c r="B1609" t="s">
        <v>4072</v>
      </c>
      <c r="C1609">
        <v>40</v>
      </c>
      <c r="D1609" t="s">
        <v>4080</v>
      </c>
      <c r="E1609" t="s">
        <v>4081</v>
      </c>
      <c r="F1609" t="s">
        <v>4079</v>
      </c>
    </row>
    <row r="1610" spans="1:6" x14ac:dyDescent="0.25">
      <c r="A1610">
        <v>2129</v>
      </c>
      <c r="B1610" t="s">
        <v>4092</v>
      </c>
      <c r="C1610">
        <v>23</v>
      </c>
      <c r="D1610" t="s">
        <v>2757</v>
      </c>
      <c r="E1610" t="s">
        <v>4093</v>
      </c>
      <c r="F1610" t="s">
        <v>4075</v>
      </c>
    </row>
    <row r="1611" spans="1:6" x14ac:dyDescent="0.25">
      <c r="A1611">
        <v>2129</v>
      </c>
      <c r="B1611" t="s">
        <v>4092</v>
      </c>
      <c r="C1611">
        <v>28</v>
      </c>
      <c r="D1611" t="s">
        <v>2757</v>
      </c>
      <c r="E1611" t="s">
        <v>4093</v>
      </c>
      <c r="F1611" t="s">
        <v>4076</v>
      </c>
    </row>
    <row r="1612" spans="1:6" x14ac:dyDescent="0.25">
      <c r="A1612">
        <v>2129</v>
      </c>
      <c r="B1612" t="s">
        <v>4092</v>
      </c>
      <c r="C1612">
        <v>48</v>
      </c>
      <c r="D1612" t="s">
        <v>2757</v>
      </c>
      <c r="E1612" t="s">
        <v>4093</v>
      </c>
      <c r="F1612" t="s">
        <v>4079</v>
      </c>
    </row>
    <row r="1613" spans="1:6" x14ac:dyDescent="0.25">
      <c r="A1613">
        <v>2130</v>
      </c>
      <c r="B1613" t="s">
        <v>4092</v>
      </c>
      <c r="C1613">
        <v>23</v>
      </c>
      <c r="D1613" t="s">
        <v>2757</v>
      </c>
      <c r="E1613" t="s">
        <v>4093</v>
      </c>
      <c r="F1613" t="s">
        <v>4075</v>
      </c>
    </row>
    <row r="1614" spans="1:6" x14ac:dyDescent="0.25">
      <c r="A1614">
        <v>2130</v>
      </c>
      <c r="B1614" t="s">
        <v>4092</v>
      </c>
      <c r="C1614">
        <v>28</v>
      </c>
      <c r="D1614" t="s">
        <v>2757</v>
      </c>
      <c r="E1614" t="s">
        <v>4093</v>
      </c>
      <c r="F1614" t="s">
        <v>4076</v>
      </c>
    </row>
    <row r="1615" spans="1:6" x14ac:dyDescent="0.25">
      <c r="A1615">
        <v>2130</v>
      </c>
      <c r="B1615" t="s">
        <v>4092</v>
      </c>
      <c r="C1615">
        <v>48</v>
      </c>
      <c r="D1615" t="s">
        <v>2757</v>
      </c>
      <c r="E1615" t="s">
        <v>4093</v>
      </c>
      <c r="F1615" t="s">
        <v>4079</v>
      </c>
    </row>
    <row r="1616" spans="1:6" x14ac:dyDescent="0.25">
      <c r="A1616">
        <v>2131</v>
      </c>
      <c r="B1616" t="s">
        <v>4092</v>
      </c>
      <c r="C1616">
        <v>23</v>
      </c>
      <c r="D1616" t="s">
        <v>2757</v>
      </c>
      <c r="E1616" t="s">
        <v>4093</v>
      </c>
      <c r="F1616" t="s">
        <v>4075</v>
      </c>
    </row>
    <row r="1617" spans="1:6" x14ac:dyDescent="0.25">
      <c r="A1617">
        <v>2131</v>
      </c>
      <c r="B1617" t="s">
        <v>4092</v>
      </c>
      <c r="C1617">
        <v>28</v>
      </c>
      <c r="D1617" t="s">
        <v>2757</v>
      </c>
      <c r="E1617" t="s">
        <v>4093</v>
      </c>
      <c r="F1617" t="s">
        <v>4076</v>
      </c>
    </row>
    <row r="1618" spans="1:6" x14ac:dyDescent="0.25">
      <c r="A1618">
        <v>2131</v>
      </c>
      <c r="B1618" t="s">
        <v>4092</v>
      </c>
      <c r="C1618">
        <v>48</v>
      </c>
      <c r="D1618" t="s">
        <v>2757</v>
      </c>
      <c r="E1618" t="s">
        <v>4093</v>
      </c>
      <c r="F1618" t="s">
        <v>4079</v>
      </c>
    </row>
    <row r="1619" spans="1:6" x14ac:dyDescent="0.25">
      <c r="A1619">
        <v>2133</v>
      </c>
      <c r="B1619" t="s">
        <v>4092</v>
      </c>
      <c r="C1619">
        <v>24</v>
      </c>
      <c r="D1619" t="s">
        <v>2760</v>
      </c>
      <c r="E1619" t="s">
        <v>4108</v>
      </c>
      <c r="F1619" t="s">
        <v>4075</v>
      </c>
    </row>
    <row r="1620" spans="1:6" x14ac:dyDescent="0.25">
      <c r="A1620">
        <v>2133</v>
      </c>
      <c r="B1620" t="s">
        <v>4092</v>
      </c>
      <c r="C1620">
        <v>29</v>
      </c>
      <c r="D1620" t="s">
        <v>2760</v>
      </c>
      <c r="E1620" t="s">
        <v>4108</v>
      </c>
      <c r="F1620" t="s">
        <v>4076</v>
      </c>
    </row>
    <row r="1621" spans="1:6" x14ac:dyDescent="0.25">
      <c r="A1621">
        <v>2133</v>
      </c>
      <c r="B1621" t="s">
        <v>4092</v>
      </c>
      <c r="C1621">
        <v>49</v>
      </c>
      <c r="D1621" t="s">
        <v>2760</v>
      </c>
      <c r="E1621" t="s">
        <v>4108</v>
      </c>
      <c r="F1621" t="s">
        <v>4079</v>
      </c>
    </row>
    <row r="1622" spans="1:6" x14ac:dyDescent="0.25">
      <c r="A1622">
        <v>2134</v>
      </c>
      <c r="B1622" t="s">
        <v>4072</v>
      </c>
      <c r="C1622">
        <v>10</v>
      </c>
      <c r="D1622" t="s">
        <v>4095</v>
      </c>
      <c r="E1622" t="s">
        <v>4096</v>
      </c>
      <c r="F1622" t="s">
        <v>4075</v>
      </c>
    </row>
    <row r="1623" spans="1:6" x14ac:dyDescent="0.25">
      <c r="A1623">
        <v>2134</v>
      </c>
      <c r="B1623" t="s">
        <v>4072</v>
      </c>
      <c r="C1623">
        <v>13</v>
      </c>
      <c r="D1623" t="s">
        <v>4097</v>
      </c>
      <c r="E1623" t="s">
        <v>4098</v>
      </c>
      <c r="F1623" t="s">
        <v>4076</v>
      </c>
    </row>
    <row r="1624" spans="1:6" x14ac:dyDescent="0.25">
      <c r="A1624">
        <v>2135</v>
      </c>
      <c r="B1624" t="s">
        <v>4072</v>
      </c>
      <c r="C1624">
        <v>10</v>
      </c>
      <c r="D1624" t="s">
        <v>4095</v>
      </c>
      <c r="E1624" t="s">
        <v>4096</v>
      </c>
      <c r="F1624" t="s">
        <v>4075</v>
      </c>
    </row>
    <row r="1625" spans="1:6" x14ac:dyDescent="0.25">
      <c r="A1625">
        <v>2135</v>
      </c>
      <c r="B1625" t="s">
        <v>4072</v>
      </c>
      <c r="C1625">
        <v>13</v>
      </c>
      <c r="D1625" t="s">
        <v>4097</v>
      </c>
      <c r="E1625" t="s">
        <v>4098</v>
      </c>
      <c r="F1625" t="s">
        <v>4076</v>
      </c>
    </row>
    <row r="1626" spans="1:6" x14ac:dyDescent="0.25">
      <c r="A1626">
        <v>2135</v>
      </c>
      <c r="B1626" t="s">
        <v>4072</v>
      </c>
      <c r="C1626">
        <v>46</v>
      </c>
      <c r="D1626" t="s">
        <v>4099</v>
      </c>
      <c r="E1626" t="s">
        <v>4100</v>
      </c>
      <c r="F1626" t="s">
        <v>4079</v>
      </c>
    </row>
    <row r="1627" spans="1:6" x14ac:dyDescent="0.25">
      <c r="A1627">
        <v>2137</v>
      </c>
      <c r="B1627" t="s">
        <v>4072</v>
      </c>
      <c r="C1627">
        <v>19</v>
      </c>
      <c r="D1627" t="s">
        <v>4073</v>
      </c>
      <c r="E1627" t="s">
        <v>4074</v>
      </c>
      <c r="F1627" t="s">
        <v>4076</v>
      </c>
    </row>
    <row r="1628" spans="1:6" x14ac:dyDescent="0.25">
      <c r="A1628">
        <v>2137</v>
      </c>
      <c r="B1628" t="s">
        <v>4072</v>
      </c>
      <c r="C1628">
        <v>39</v>
      </c>
      <c r="D1628" t="s">
        <v>4073</v>
      </c>
      <c r="E1628" t="s">
        <v>4074</v>
      </c>
      <c r="F1628" t="s">
        <v>4079</v>
      </c>
    </row>
    <row r="1629" spans="1:6" x14ac:dyDescent="0.25">
      <c r="A1629">
        <v>2138</v>
      </c>
      <c r="B1629" t="s">
        <v>4072</v>
      </c>
      <c r="C1629">
        <v>6</v>
      </c>
      <c r="D1629" t="s">
        <v>4073</v>
      </c>
      <c r="E1629" t="s">
        <v>4074</v>
      </c>
      <c r="F1629" t="s">
        <v>4075</v>
      </c>
    </row>
    <row r="1630" spans="1:6" x14ac:dyDescent="0.25">
      <c r="A1630">
        <v>2138</v>
      </c>
      <c r="B1630" t="s">
        <v>4072</v>
      </c>
      <c r="C1630">
        <v>19</v>
      </c>
      <c r="D1630" t="s">
        <v>4073</v>
      </c>
      <c r="E1630" t="s">
        <v>4074</v>
      </c>
      <c r="F1630" t="s">
        <v>4076</v>
      </c>
    </row>
    <row r="1631" spans="1:6" x14ac:dyDescent="0.25">
      <c r="A1631">
        <v>2138</v>
      </c>
      <c r="B1631" t="s">
        <v>4072</v>
      </c>
      <c r="C1631">
        <v>39</v>
      </c>
      <c r="D1631" t="s">
        <v>4073</v>
      </c>
      <c r="E1631" t="s">
        <v>4074</v>
      </c>
      <c r="F1631" t="s">
        <v>4079</v>
      </c>
    </row>
    <row r="1632" spans="1:6" x14ac:dyDescent="0.25">
      <c r="A1632">
        <v>2139</v>
      </c>
      <c r="B1632" t="s">
        <v>4072</v>
      </c>
      <c r="C1632">
        <v>6</v>
      </c>
      <c r="D1632" t="s">
        <v>4073</v>
      </c>
      <c r="E1632" t="s">
        <v>4074</v>
      </c>
      <c r="F1632" t="s">
        <v>4075</v>
      </c>
    </row>
    <row r="1633" spans="1:6" x14ac:dyDescent="0.25">
      <c r="A1633">
        <v>2139</v>
      </c>
      <c r="B1633" t="s">
        <v>4072</v>
      </c>
      <c r="C1633">
        <v>19</v>
      </c>
      <c r="D1633" t="s">
        <v>4073</v>
      </c>
      <c r="E1633" t="s">
        <v>4074</v>
      </c>
      <c r="F1633" t="s">
        <v>4076</v>
      </c>
    </row>
    <row r="1634" spans="1:6" x14ac:dyDescent="0.25">
      <c r="A1634">
        <v>2139</v>
      </c>
      <c r="B1634" t="s">
        <v>4072</v>
      </c>
      <c r="C1634">
        <v>39</v>
      </c>
      <c r="D1634" t="s">
        <v>4073</v>
      </c>
      <c r="E1634" t="s">
        <v>4074</v>
      </c>
      <c r="F1634" t="s">
        <v>4079</v>
      </c>
    </row>
    <row r="1635" spans="1:6" x14ac:dyDescent="0.25">
      <c r="A1635">
        <v>2140</v>
      </c>
      <c r="B1635" t="s">
        <v>4072</v>
      </c>
      <c r="C1635">
        <v>6</v>
      </c>
      <c r="D1635" t="s">
        <v>4073</v>
      </c>
      <c r="E1635" t="s">
        <v>4074</v>
      </c>
      <c r="F1635" t="s">
        <v>4075</v>
      </c>
    </row>
    <row r="1636" spans="1:6" x14ac:dyDescent="0.25">
      <c r="A1636">
        <v>2140</v>
      </c>
      <c r="B1636" t="s">
        <v>4072</v>
      </c>
      <c r="C1636">
        <v>19</v>
      </c>
      <c r="D1636" t="s">
        <v>4073</v>
      </c>
      <c r="E1636" t="s">
        <v>4074</v>
      </c>
      <c r="F1636" t="s">
        <v>4076</v>
      </c>
    </row>
    <row r="1637" spans="1:6" x14ac:dyDescent="0.25">
      <c r="A1637">
        <v>2140</v>
      </c>
      <c r="B1637" t="s">
        <v>4072</v>
      </c>
      <c r="C1637">
        <v>39</v>
      </c>
      <c r="D1637" t="s">
        <v>4073</v>
      </c>
      <c r="E1637" t="s">
        <v>4074</v>
      </c>
      <c r="F1637" t="s">
        <v>4079</v>
      </c>
    </row>
    <row r="1638" spans="1:6" x14ac:dyDescent="0.25">
      <c r="A1638">
        <v>2141</v>
      </c>
      <c r="B1638" t="s">
        <v>4072</v>
      </c>
      <c r="C1638">
        <v>19</v>
      </c>
      <c r="D1638" t="s">
        <v>4073</v>
      </c>
      <c r="E1638" t="s">
        <v>4074</v>
      </c>
      <c r="F1638" t="s">
        <v>4076</v>
      </c>
    </row>
    <row r="1639" spans="1:6" x14ac:dyDescent="0.25">
      <c r="A1639">
        <v>2142</v>
      </c>
      <c r="B1639" t="s">
        <v>4072</v>
      </c>
      <c r="C1639">
        <v>6</v>
      </c>
      <c r="D1639" t="s">
        <v>4073</v>
      </c>
      <c r="E1639" t="s">
        <v>4074</v>
      </c>
      <c r="F1639" t="s">
        <v>4075</v>
      </c>
    </row>
    <row r="1640" spans="1:6" x14ac:dyDescent="0.25">
      <c r="A1640">
        <v>2142</v>
      </c>
      <c r="B1640" t="s">
        <v>4072</v>
      </c>
      <c r="C1640">
        <v>19</v>
      </c>
      <c r="D1640" t="s">
        <v>4073</v>
      </c>
      <c r="E1640" t="s">
        <v>4074</v>
      </c>
      <c r="F1640" t="s">
        <v>4076</v>
      </c>
    </row>
    <row r="1641" spans="1:6" x14ac:dyDescent="0.25">
      <c r="A1641">
        <v>2142</v>
      </c>
      <c r="B1641" t="s">
        <v>4072</v>
      </c>
      <c r="C1641">
        <v>39</v>
      </c>
      <c r="D1641" t="s">
        <v>4073</v>
      </c>
      <c r="E1641" t="s">
        <v>4074</v>
      </c>
      <c r="F1641" t="s">
        <v>4079</v>
      </c>
    </row>
    <row r="1642" spans="1:6" x14ac:dyDescent="0.25">
      <c r="A1642">
        <v>2155</v>
      </c>
      <c r="B1642" t="s">
        <v>4072</v>
      </c>
      <c r="C1642">
        <v>5</v>
      </c>
      <c r="D1642" t="s">
        <v>4087</v>
      </c>
      <c r="E1642" t="s">
        <v>4088</v>
      </c>
      <c r="F1642" t="s">
        <v>4075</v>
      </c>
    </row>
    <row r="1643" spans="1:6" x14ac:dyDescent="0.25">
      <c r="A1643">
        <v>2155</v>
      </c>
      <c r="B1643" t="s">
        <v>4072</v>
      </c>
      <c r="C1643">
        <v>15</v>
      </c>
      <c r="D1643" t="s">
        <v>4080</v>
      </c>
      <c r="E1643" t="s">
        <v>4081</v>
      </c>
      <c r="F1643" t="s">
        <v>4076</v>
      </c>
    </row>
    <row r="1644" spans="1:6" x14ac:dyDescent="0.25">
      <c r="A1644">
        <v>2155</v>
      </c>
      <c r="B1644" t="s">
        <v>4072</v>
      </c>
      <c r="C1644">
        <v>40</v>
      </c>
      <c r="D1644" t="s">
        <v>4080</v>
      </c>
      <c r="E1644" t="s">
        <v>4081</v>
      </c>
      <c r="F1644" t="s">
        <v>4079</v>
      </c>
    </row>
    <row r="1645" spans="1:6" x14ac:dyDescent="0.25">
      <c r="A1645">
        <v>2156</v>
      </c>
      <c r="B1645" t="s">
        <v>4072</v>
      </c>
      <c r="C1645">
        <v>6</v>
      </c>
      <c r="D1645" t="s">
        <v>4073</v>
      </c>
      <c r="E1645" t="s">
        <v>4074</v>
      </c>
      <c r="F1645" t="s">
        <v>4075</v>
      </c>
    </row>
    <row r="1646" spans="1:6" x14ac:dyDescent="0.25">
      <c r="A1646">
        <v>2156</v>
      </c>
      <c r="B1646" t="s">
        <v>4072</v>
      </c>
      <c r="C1646">
        <v>19</v>
      </c>
      <c r="D1646" t="s">
        <v>4073</v>
      </c>
      <c r="E1646" t="s">
        <v>4074</v>
      </c>
      <c r="F1646" t="s">
        <v>4076</v>
      </c>
    </row>
    <row r="1647" spans="1:6" x14ac:dyDescent="0.25">
      <c r="A1647">
        <v>2156</v>
      </c>
      <c r="B1647" t="s">
        <v>4072</v>
      </c>
      <c r="C1647">
        <v>39</v>
      </c>
      <c r="D1647" t="s">
        <v>4073</v>
      </c>
      <c r="E1647" t="s">
        <v>4074</v>
      </c>
      <c r="F1647" t="s">
        <v>4079</v>
      </c>
    </row>
    <row r="1648" spans="1:6" x14ac:dyDescent="0.25">
      <c r="A1648">
        <v>2158</v>
      </c>
      <c r="B1648" t="s">
        <v>4072</v>
      </c>
      <c r="C1648">
        <v>6</v>
      </c>
      <c r="D1648" t="s">
        <v>4073</v>
      </c>
      <c r="E1648" t="s">
        <v>4074</v>
      </c>
      <c r="F1648" t="s">
        <v>4075</v>
      </c>
    </row>
    <row r="1649" spans="1:6" x14ac:dyDescent="0.25">
      <c r="A1649">
        <v>2158</v>
      </c>
      <c r="B1649" t="s">
        <v>4072</v>
      </c>
      <c r="C1649">
        <v>19</v>
      </c>
      <c r="D1649" t="s">
        <v>4073</v>
      </c>
      <c r="E1649" t="s">
        <v>4074</v>
      </c>
      <c r="F1649" t="s">
        <v>4076</v>
      </c>
    </row>
    <row r="1650" spans="1:6" x14ac:dyDescent="0.25">
      <c r="A1650">
        <v>2158</v>
      </c>
      <c r="B1650" t="s">
        <v>4072</v>
      </c>
      <c r="C1650">
        <v>39</v>
      </c>
      <c r="D1650" t="s">
        <v>4073</v>
      </c>
      <c r="E1650" t="s">
        <v>4074</v>
      </c>
      <c r="F1650" t="s">
        <v>4079</v>
      </c>
    </row>
    <row r="1651" spans="1:6" x14ac:dyDescent="0.25">
      <c r="A1651">
        <v>2163</v>
      </c>
      <c r="B1651" t="s">
        <v>4072</v>
      </c>
      <c r="C1651">
        <v>3</v>
      </c>
      <c r="D1651" t="s">
        <v>4085</v>
      </c>
      <c r="E1651" t="s">
        <v>4086</v>
      </c>
      <c r="F1651" t="s">
        <v>4075</v>
      </c>
    </row>
    <row r="1652" spans="1:6" x14ac:dyDescent="0.25">
      <c r="A1652">
        <v>2163</v>
      </c>
      <c r="B1652" t="s">
        <v>4072</v>
      </c>
      <c r="C1652">
        <v>15</v>
      </c>
      <c r="D1652" t="s">
        <v>4080</v>
      </c>
      <c r="E1652" t="s">
        <v>4081</v>
      </c>
      <c r="F1652" t="s">
        <v>4076</v>
      </c>
    </row>
    <row r="1653" spans="1:6" x14ac:dyDescent="0.25">
      <c r="A1653">
        <v>2164</v>
      </c>
      <c r="B1653" t="s">
        <v>4072</v>
      </c>
      <c r="C1653">
        <v>4</v>
      </c>
      <c r="D1653" t="s">
        <v>4077</v>
      </c>
      <c r="E1653" t="s">
        <v>4078</v>
      </c>
      <c r="F1653" t="s">
        <v>4075</v>
      </c>
    </row>
    <row r="1654" spans="1:6" x14ac:dyDescent="0.25">
      <c r="A1654">
        <v>2164</v>
      </c>
      <c r="B1654" t="s">
        <v>4072</v>
      </c>
      <c r="C1654">
        <v>16</v>
      </c>
      <c r="D1654" t="s">
        <v>4077</v>
      </c>
      <c r="E1654" t="s">
        <v>4078</v>
      </c>
      <c r="F1654" t="s">
        <v>4076</v>
      </c>
    </row>
    <row r="1655" spans="1:6" x14ac:dyDescent="0.25">
      <c r="A1655">
        <v>2165</v>
      </c>
      <c r="B1655" t="s">
        <v>4072</v>
      </c>
      <c r="C1655">
        <v>4</v>
      </c>
      <c r="D1655" t="s">
        <v>4077</v>
      </c>
      <c r="E1655" t="s">
        <v>4078</v>
      </c>
      <c r="F1655" t="s">
        <v>4075</v>
      </c>
    </row>
    <row r="1656" spans="1:6" x14ac:dyDescent="0.25">
      <c r="A1656">
        <v>2165</v>
      </c>
      <c r="B1656" t="s">
        <v>4072</v>
      </c>
      <c r="C1656">
        <v>16</v>
      </c>
      <c r="D1656" t="s">
        <v>4077</v>
      </c>
      <c r="E1656" t="s">
        <v>4078</v>
      </c>
      <c r="F1656" t="s">
        <v>4076</v>
      </c>
    </row>
    <row r="1657" spans="1:6" x14ac:dyDescent="0.25">
      <c r="A1657">
        <v>2166</v>
      </c>
      <c r="B1657" t="s">
        <v>4072</v>
      </c>
      <c r="C1657">
        <v>4</v>
      </c>
      <c r="D1657" t="s">
        <v>4077</v>
      </c>
      <c r="E1657" t="s">
        <v>4078</v>
      </c>
      <c r="F1657" t="s">
        <v>4075</v>
      </c>
    </row>
    <row r="1658" spans="1:6" x14ac:dyDescent="0.25">
      <c r="A1658">
        <v>2166</v>
      </c>
      <c r="B1658" t="s">
        <v>4072</v>
      </c>
      <c r="C1658">
        <v>16</v>
      </c>
      <c r="D1658" t="s">
        <v>4077</v>
      </c>
      <c r="E1658" t="s">
        <v>4078</v>
      </c>
      <c r="F1658" t="s">
        <v>4076</v>
      </c>
    </row>
    <row r="1659" spans="1:6" x14ac:dyDescent="0.25">
      <c r="A1659">
        <v>2167</v>
      </c>
      <c r="B1659" t="s">
        <v>4092</v>
      </c>
      <c r="C1659">
        <v>23</v>
      </c>
      <c r="D1659" t="s">
        <v>2757</v>
      </c>
      <c r="E1659" t="s">
        <v>4093</v>
      </c>
      <c r="F1659" t="s">
        <v>4075</v>
      </c>
    </row>
    <row r="1660" spans="1:6" x14ac:dyDescent="0.25">
      <c r="A1660">
        <v>2167</v>
      </c>
      <c r="B1660" t="s">
        <v>4092</v>
      </c>
      <c r="C1660">
        <v>24</v>
      </c>
      <c r="D1660" t="s">
        <v>2760</v>
      </c>
      <c r="E1660" t="s">
        <v>4108</v>
      </c>
      <c r="F1660" t="s">
        <v>4075</v>
      </c>
    </row>
    <row r="1661" spans="1:6" x14ac:dyDescent="0.25">
      <c r="A1661">
        <v>2167</v>
      </c>
      <c r="B1661" t="s">
        <v>4092</v>
      </c>
      <c r="C1661">
        <v>28</v>
      </c>
      <c r="D1661" t="s">
        <v>2757</v>
      </c>
      <c r="E1661" t="s">
        <v>4093</v>
      </c>
      <c r="F1661" t="s">
        <v>4076</v>
      </c>
    </row>
    <row r="1662" spans="1:6" x14ac:dyDescent="0.25">
      <c r="A1662">
        <v>2167</v>
      </c>
      <c r="B1662" t="s">
        <v>4092</v>
      </c>
      <c r="C1662">
        <v>29</v>
      </c>
      <c r="D1662" t="s">
        <v>2760</v>
      </c>
      <c r="E1662" t="s">
        <v>4108</v>
      </c>
      <c r="F1662" t="s">
        <v>4076</v>
      </c>
    </row>
    <row r="1663" spans="1:6" x14ac:dyDescent="0.25">
      <c r="A1663">
        <v>2173</v>
      </c>
      <c r="B1663" t="s">
        <v>4072</v>
      </c>
      <c r="C1663">
        <v>2</v>
      </c>
      <c r="D1663" t="s">
        <v>4082</v>
      </c>
      <c r="E1663" t="s">
        <v>4083</v>
      </c>
      <c r="F1663" t="s">
        <v>4075</v>
      </c>
    </row>
    <row r="1664" spans="1:6" x14ac:dyDescent="0.25">
      <c r="A1664">
        <v>2173</v>
      </c>
      <c r="B1664" t="s">
        <v>4072</v>
      </c>
      <c r="C1664">
        <v>17</v>
      </c>
      <c r="D1664" t="s">
        <v>4082</v>
      </c>
      <c r="E1664" t="s">
        <v>4084</v>
      </c>
      <c r="F1664" t="s">
        <v>4076</v>
      </c>
    </row>
    <row r="1665" spans="1:6" x14ac:dyDescent="0.25">
      <c r="A1665">
        <v>2173</v>
      </c>
      <c r="B1665" t="s">
        <v>4072</v>
      </c>
      <c r="C1665">
        <v>42</v>
      </c>
      <c r="D1665" t="s">
        <v>4082</v>
      </c>
      <c r="E1665" t="s">
        <v>4083</v>
      </c>
      <c r="F1665" t="s">
        <v>4079</v>
      </c>
    </row>
    <row r="1666" spans="1:6" x14ac:dyDescent="0.25">
      <c r="A1666">
        <v>2175</v>
      </c>
      <c r="B1666" t="s">
        <v>4072</v>
      </c>
      <c r="C1666">
        <v>6</v>
      </c>
      <c r="D1666" t="s">
        <v>4073</v>
      </c>
      <c r="E1666" t="s">
        <v>4074</v>
      </c>
      <c r="F1666" t="s">
        <v>4075</v>
      </c>
    </row>
    <row r="1667" spans="1:6" x14ac:dyDescent="0.25">
      <c r="A1667">
        <v>2175</v>
      </c>
      <c r="B1667" t="s">
        <v>4072</v>
      </c>
      <c r="C1667">
        <v>19</v>
      </c>
      <c r="D1667" t="s">
        <v>4073</v>
      </c>
      <c r="E1667" t="s">
        <v>4074</v>
      </c>
      <c r="F1667" t="s">
        <v>4076</v>
      </c>
    </row>
    <row r="1668" spans="1:6" x14ac:dyDescent="0.25">
      <c r="A1668">
        <v>2175</v>
      </c>
      <c r="B1668" t="s">
        <v>4072</v>
      </c>
      <c r="C1668">
        <v>39</v>
      </c>
      <c r="D1668" t="s">
        <v>4073</v>
      </c>
      <c r="E1668" t="s">
        <v>4074</v>
      </c>
      <c r="F1668" t="s">
        <v>4079</v>
      </c>
    </row>
    <row r="1669" spans="1:6" x14ac:dyDescent="0.25">
      <c r="A1669">
        <v>2183</v>
      </c>
      <c r="B1669" t="s">
        <v>4072</v>
      </c>
      <c r="C1669">
        <v>2</v>
      </c>
      <c r="D1669" t="s">
        <v>4082</v>
      </c>
      <c r="E1669" t="s">
        <v>4083</v>
      </c>
      <c r="F1669" t="s">
        <v>4075</v>
      </c>
    </row>
    <row r="1670" spans="1:6" x14ac:dyDescent="0.25">
      <c r="A1670">
        <v>2183</v>
      </c>
      <c r="B1670" t="s">
        <v>4072</v>
      </c>
      <c r="C1670">
        <v>17</v>
      </c>
      <c r="D1670" t="s">
        <v>4082</v>
      </c>
      <c r="E1670" t="s">
        <v>4084</v>
      </c>
      <c r="F1670" t="s">
        <v>4076</v>
      </c>
    </row>
    <row r="1671" spans="1:6" x14ac:dyDescent="0.25">
      <c r="A1671">
        <v>2183</v>
      </c>
      <c r="B1671" t="s">
        <v>4072</v>
      </c>
      <c r="C1671">
        <v>42</v>
      </c>
      <c r="D1671" t="s">
        <v>4082</v>
      </c>
      <c r="E1671" t="s">
        <v>4083</v>
      </c>
      <c r="F1671" t="s">
        <v>4079</v>
      </c>
    </row>
    <row r="1672" spans="1:6" x14ac:dyDescent="0.25">
      <c r="A1672">
        <v>2186</v>
      </c>
      <c r="B1672" t="s">
        <v>4072</v>
      </c>
      <c r="C1672">
        <v>5</v>
      </c>
      <c r="D1672" t="s">
        <v>4087</v>
      </c>
      <c r="E1672" t="s">
        <v>4088</v>
      </c>
      <c r="F1672" t="s">
        <v>4075</v>
      </c>
    </row>
    <row r="1673" spans="1:6" x14ac:dyDescent="0.25">
      <c r="A1673">
        <v>2186</v>
      </c>
      <c r="B1673" t="s">
        <v>4072</v>
      </c>
      <c r="C1673">
        <v>15</v>
      </c>
      <c r="D1673" t="s">
        <v>4080</v>
      </c>
      <c r="E1673" t="s">
        <v>4081</v>
      </c>
      <c r="F1673" t="s">
        <v>4076</v>
      </c>
    </row>
    <row r="1674" spans="1:6" x14ac:dyDescent="0.25">
      <c r="A1674">
        <v>2192</v>
      </c>
      <c r="B1674" t="s">
        <v>4092</v>
      </c>
      <c r="C1674">
        <v>24</v>
      </c>
      <c r="D1674" t="s">
        <v>2760</v>
      </c>
      <c r="E1674" t="s">
        <v>4108</v>
      </c>
      <c r="F1674" t="s">
        <v>4075</v>
      </c>
    </row>
    <row r="1675" spans="1:6" x14ac:dyDescent="0.25">
      <c r="A1675">
        <v>2192</v>
      </c>
      <c r="B1675" t="s">
        <v>4092</v>
      </c>
      <c r="C1675">
        <v>29</v>
      </c>
      <c r="D1675" t="s">
        <v>2760</v>
      </c>
      <c r="E1675" t="s">
        <v>4108</v>
      </c>
      <c r="F1675" t="s">
        <v>4076</v>
      </c>
    </row>
    <row r="1676" spans="1:6" x14ac:dyDescent="0.25">
      <c r="A1676">
        <v>2193</v>
      </c>
      <c r="B1676" t="s">
        <v>4072</v>
      </c>
      <c r="C1676">
        <v>5</v>
      </c>
      <c r="D1676" t="s">
        <v>4087</v>
      </c>
      <c r="E1676" t="s">
        <v>4088</v>
      </c>
      <c r="F1676" t="s">
        <v>4075</v>
      </c>
    </row>
    <row r="1677" spans="1:6" x14ac:dyDescent="0.25">
      <c r="A1677">
        <v>2193</v>
      </c>
      <c r="B1677" t="s">
        <v>4072</v>
      </c>
      <c r="C1677">
        <v>15</v>
      </c>
      <c r="D1677" t="s">
        <v>4080</v>
      </c>
      <c r="E1677" t="s">
        <v>4081</v>
      </c>
      <c r="F1677" t="s">
        <v>4076</v>
      </c>
    </row>
    <row r="1678" spans="1:6" x14ac:dyDescent="0.25">
      <c r="A1678">
        <v>2193</v>
      </c>
      <c r="B1678" t="s">
        <v>4072</v>
      </c>
      <c r="C1678">
        <v>40</v>
      </c>
      <c r="D1678" t="s">
        <v>4080</v>
      </c>
      <c r="E1678" t="s">
        <v>4081</v>
      </c>
      <c r="F1678" t="s">
        <v>4079</v>
      </c>
    </row>
    <row r="1679" spans="1:6" x14ac:dyDescent="0.25">
      <c r="A1679">
        <v>2194</v>
      </c>
      <c r="B1679" t="s">
        <v>4072</v>
      </c>
      <c r="C1679">
        <v>5</v>
      </c>
      <c r="D1679" t="s">
        <v>4087</v>
      </c>
      <c r="E1679" t="s">
        <v>4088</v>
      </c>
      <c r="F1679" t="s">
        <v>4075</v>
      </c>
    </row>
    <row r="1680" spans="1:6" x14ac:dyDescent="0.25">
      <c r="A1680">
        <v>2194</v>
      </c>
      <c r="B1680" t="s">
        <v>4072</v>
      </c>
      <c r="C1680">
        <v>15</v>
      </c>
      <c r="D1680" t="s">
        <v>4080</v>
      </c>
      <c r="E1680" t="s">
        <v>4081</v>
      </c>
      <c r="F1680" t="s">
        <v>4076</v>
      </c>
    </row>
    <row r="1681" spans="1:6" x14ac:dyDescent="0.25">
      <c r="A1681">
        <v>2194</v>
      </c>
      <c r="B1681" t="s">
        <v>4072</v>
      </c>
      <c r="C1681">
        <v>40</v>
      </c>
      <c r="D1681" t="s">
        <v>4080</v>
      </c>
      <c r="E1681" t="s">
        <v>4081</v>
      </c>
      <c r="F1681" t="s">
        <v>4079</v>
      </c>
    </row>
    <row r="1682" spans="1:6" x14ac:dyDescent="0.25">
      <c r="A1682">
        <v>2196</v>
      </c>
      <c r="B1682" t="s">
        <v>4072</v>
      </c>
      <c r="C1682">
        <v>5</v>
      </c>
      <c r="D1682" t="s">
        <v>4087</v>
      </c>
      <c r="E1682" t="s">
        <v>4088</v>
      </c>
      <c r="F1682" t="s">
        <v>4075</v>
      </c>
    </row>
    <row r="1683" spans="1:6" x14ac:dyDescent="0.25">
      <c r="A1683">
        <v>2196</v>
      </c>
      <c r="B1683" t="s">
        <v>4072</v>
      </c>
      <c r="C1683">
        <v>15</v>
      </c>
      <c r="D1683" t="s">
        <v>4080</v>
      </c>
      <c r="E1683" t="s">
        <v>4081</v>
      </c>
      <c r="F1683" t="s">
        <v>4076</v>
      </c>
    </row>
    <row r="1684" spans="1:6" x14ac:dyDescent="0.25">
      <c r="A1684">
        <v>2196</v>
      </c>
      <c r="B1684" t="s">
        <v>4072</v>
      </c>
      <c r="C1684">
        <v>40</v>
      </c>
      <c r="D1684" t="s">
        <v>4080</v>
      </c>
      <c r="E1684" t="s">
        <v>4081</v>
      </c>
      <c r="F1684" t="s">
        <v>4079</v>
      </c>
    </row>
    <row r="1685" spans="1:6" x14ac:dyDescent="0.25">
      <c r="A1685">
        <v>2197</v>
      </c>
      <c r="B1685" t="s">
        <v>4072</v>
      </c>
      <c r="C1685">
        <v>6</v>
      </c>
      <c r="D1685" t="s">
        <v>4073</v>
      </c>
      <c r="E1685" t="s">
        <v>4074</v>
      </c>
      <c r="F1685" t="s">
        <v>4075</v>
      </c>
    </row>
    <row r="1686" spans="1:6" x14ac:dyDescent="0.25">
      <c r="A1686">
        <v>2200</v>
      </c>
      <c r="B1686" t="s">
        <v>4072</v>
      </c>
      <c r="C1686">
        <v>10</v>
      </c>
      <c r="D1686" t="s">
        <v>4095</v>
      </c>
      <c r="E1686" t="s">
        <v>4096</v>
      </c>
      <c r="F1686" t="s">
        <v>4075</v>
      </c>
    </row>
    <row r="1687" spans="1:6" x14ac:dyDescent="0.25">
      <c r="A1687">
        <v>2200</v>
      </c>
      <c r="B1687" t="s">
        <v>4072</v>
      </c>
      <c r="C1687">
        <v>13</v>
      </c>
      <c r="D1687" t="s">
        <v>4097</v>
      </c>
      <c r="E1687" t="s">
        <v>4098</v>
      </c>
      <c r="F1687" t="s">
        <v>4076</v>
      </c>
    </row>
    <row r="1688" spans="1:6" x14ac:dyDescent="0.25">
      <c r="A1688">
        <v>2200</v>
      </c>
      <c r="B1688" t="s">
        <v>4072</v>
      </c>
      <c r="C1688">
        <v>46</v>
      </c>
      <c r="D1688" t="s">
        <v>4099</v>
      </c>
      <c r="E1688" t="s">
        <v>4100</v>
      </c>
      <c r="F1688" t="s">
        <v>4079</v>
      </c>
    </row>
    <row r="1689" spans="1:6" x14ac:dyDescent="0.25">
      <c r="A1689">
        <v>2202</v>
      </c>
      <c r="B1689" t="s">
        <v>4072</v>
      </c>
      <c r="C1689">
        <v>5</v>
      </c>
      <c r="D1689" t="s">
        <v>4087</v>
      </c>
      <c r="E1689" t="s">
        <v>4088</v>
      </c>
      <c r="F1689" t="s">
        <v>4075</v>
      </c>
    </row>
    <row r="1690" spans="1:6" x14ac:dyDescent="0.25">
      <c r="A1690">
        <v>2202</v>
      </c>
      <c r="B1690" t="s">
        <v>4072</v>
      </c>
      <c r="C1690">
        <v>15</v>
      </c>
      <c r="D1690" t="s">
        <v>4080</v>
      </c>
      <c r="E1690" t="s">
        <v>4081</v>
      </c>
      <c r="F1690" t="s">
        <v>4076</v>
      </c>
    </row>
    <row r="1691" spans="1:6" x14ac:dyDescent="0.25">
      <c r="A1691">
        <v>2202</v>
      </c>
      <c r="B1691" t="s">
        <v>4072</v>
      </c>
      <c r="C1691">
        <v>40</v>
      </c>
      <c r="D1691" t="s">
        <v>4080</v>
      </c>
      <c r="E1691" t="s">
        <v>4081</v>
      </c>
      <c r="F1691" t="s">
        <v>4079</v>
      </c>
    </row>
    <row r="1692" spans="1:6" x14ac:dyDescent="0.25">
      <c r="A1692">
        <v>2210</v>
      </c>
      <c r="B1692" t="s">
        <v>4072</v>
      </c>
      <c r="C1692">
        <v>4</v>
      </c>
      <c r="D1692" t="s">
        <v>4077</v>
      </c>
      <c r="E1692" t="s">
        <v>4078</v>
      </c>
      <c r="F1692" t="s">
        <v>4075</v>
      </c>
    </row>
    <row r="1693" spans="1:6" x14ac:dyDescent="0.25">
      <c r="A1693">
        <v>2210</v>
      </c>
      <c r="B1693" t="s">
        <v>4072</v>
      </c>
      <c r="C1693">
        <v>16</v>
      </c>
      <c r="D1693" t="s">
        <v>4077</v>
      </c>
      <c r="E1693" t="s">
        <v>4078</v>
      </c>
      <c r="F1693" t="s">
        <v>4076</v>
      </c>
    </row>
    <row r="1694" spans="1:6" x14ac:dyDescent="0.25">
      <c r="A1694">
        <v>2210</v>
      </c>
      <c r="B1694" t="s">
        <v>4072</v>
      </c>
      <c r="C1694">
        <v>44</v>
      </c>
      <c r="D1694" t="s">
        <v>4077</v>
      </c>
      <c r="E1694" t="s">
        <v>4078</v>
      </c>
      <c r="F1694" t="s">
        <v>4079</v>
      </c>
    </row>
    <row r="1695" spans="1:6" x14ac:dyDescent="0.25">
      <c r="A1695">
        <v>2212</v>
      </c>
      <c r="B1695" t="s">
        <v>4072</v>
      </c>
      <c r="C1695">
        <v>2</v>
      </c>
      <c r="D1695" t="s">
        <v>4082</v>
      </c>
      <c r="E1695" t="s">
        <v>4083</v>
      </c>
      <c r="F1695" t="s">
        <v>4075</v>
      </c>
    </row>
    <row r="1696" spans="1:6" x14ac:dyDescent="0.25">
      <c r="A1696">
        <v>2212</v>
      </c>
      <c r="B1696" t="s">
        <v>4072</v>
      </c>
      <c r="C1696">
        <v>17</v>
      </c>
      <c r="D1696" t="s">
        <v>4082</v>
      </c>
      <c r="E1696" t="s">
        <v>4084</v>
      </c>
      <c r="F1696" t="s">
        <v>4076</v>
      </c>
    </row>
    <row r="1697" spans="1:6" x14ac:dyDescent="0.25">
      <c r="A1697">
        <v>2212</v>
      </c>
      <c r="B1697" t="s">
        <v>4072</v>
      </c>
      <c r="C1697">
        <v>42</v>
      </c>
      <c r="D1697" t="s">
        <v>4082</v>
      </c>
      <c r="E1697" t="s">
        <v>4083</v>
      </c>
      <c r="F1697" t="s">
        <v>4079</v>
      </c>
    </row>
    <row r="1698" spans="1:6" x14ac:dyDescent="0.25">
      <c r="A1698">
        <v>2215</v>
      </c>
      <c r="B1698" t="s">
        <v>4072</v>
      </c>
      <c r="C1698">
        <v>2</v>
      </c>
      <c r="D1698" t="s">
        <v>4082</v>
      </c>
      <c r="E1698" t="s">
        <v>4083</v>
      </c>
      <c r="F1698" t="s">
        <v>4075</v>
      </c>
    </row>
    <row r="1699" spans="1:6" x14ac:dyDescent="0.25">
      <c r="A1699">
        <v>2215</v>
      </c>
      <c r="B1699" t="s">
        <v>4072</v>
      </c>
      <c r="C1699">
        <v>17</v>
      </c>
      <c r="D1699" t="s">
        <v>4082</v>
      </c>
      <c r="E1699" t="s">
        <v>4084</v>
      </c>
      <c r="F1699" t="s">
        <v>4076</v>
      </c>
    </row>
    <row r="1700" spans="1:6" x14ac:dyDescent="0.25">
      <c r="A1700">
        <v>2215</v>
      </c>
      <c r="B1700" t="s">
        <v>4072</v>
      </c>
      <c r="C1700">
        <v>42</v>
      </c>
      <c r="D1700" t="s">
        <v>4082</v>
      </c>
      <c r="E1700" t="s">
        <v>4083</v>
      </c>
      <c r="F1700" t="s">
        <v>4079</v>
      </c>
    </row>
    <row r="1701" spans="1:6" x14ac:dyDescent="0.25">
      <c r="A1701">
        <v>2216</v>
      </c>
      <c r="B1701" t="s">
        <v>4072</v>
      </c>
      <c r="C1701">
        <v>5</v>
      </c>
      <c r="D1701" t="s">
        <v>4087</v>
      </c>
      <c r="E1701" t="s">
        <v>4088</v>
      </c>
      <c r="F1701" t="s">
        <v>4075</v>
      </c>
    </row>
    <row r="1702" spans="1:6" x14ac:dyDescent="0.25">
      <c r="A1702">
        <v>2216</v>
      </c>
      <c r="B1702" t="s">
        <v>4072</v>
      </c>
      <c r="C1702">
        <v>15</v>
      </c>
      <c r="D1702" t="s">
        <v>4080</v>
      </c>
      <c r="E1702" t="s">
        <v>4081</v>
      </c>
      <c r="F1702" t="s">
        <v>4076</v>
      </c>
    </row>
    <row r="1703" spans="1:6" x14ac:dyDescent="0.25">
      <c r="A1703">
        <v>2217</v>
      </c>
      <c r="B1703" t="s">
        <v>4072</v>
      </c>
      <c r="C1703">
        <v>6</v>
      </c>
      <c r="D1703" t="s">
        <v>4073</v>
      </c>
      <c r="E1703" t="s">
        <v>4074</v>
      </c>
      <c r="F1703" t="s">
        <v>4075</v>
      </c>
    </row>
    <row r="1704" spans="1:6" x14ac:dyDescent="0.25">
      <c r="A1704">
        <v>2217</v>
      </c>
      <c r="B1704" t="s">
        <v>4072</v>
      </c>
      <c r="C1704">
        <v>19</v>
      </c>
      <c r="D1704" t="s">
        <v>4073</v>
      </c>
      <c r="E1704" t="s">
        <v>4074</v>
      </c>
      <c r="F1704" t="s">
        <v>4076</v>
      </c>
    </row>
    <row r="1705" spans="1:6" x14ac:dyDescent="0.25">
      <c r="A1705">
        <v>2218</v>
      </c>
      <c r="B1705" t="s">
        <v>4072</v>
      </c>
      <c r="C1705">
        <v>4</v>
      </c>
      <c r="D1705" t="s">
        <v>4077</v>
      </c>
      <c r="E1705" t="s">
        <v>4078</v>
      </c>
      <c r="F1705" t="s">
        <v>4075</v>
      </c>
    </row>
    <row r="1706" spans="1:6" x14ac:dyDescent="0.25">
      <c r="A1706">
        <v>2218</v>
      </c>
      <c r="B1706" t="s">
        <v>4072</v>
      </c>
      <c r="C1706">
        <v>16</v>
      </c>
      <c r="D1706" t="s">
        <v>4077</v>
      </c>
      <c r="E1706" t="s">
        <v>4078</v>
      </c>
      <c r="F1706" t="s">
        <v>4076</v>
      </c>
    </row>
    <row r="1707" spans="1:6" x14ac:dyDescent="0.25">
      <c r="A1707">
        <v>2220</v>
      </c>
      <c r="B1707" t="s">
        <v>4072</v>
      </c>
      <c r="C1707">
        <v>19</v>
      </c>
      <c r="D1707" t="s">
        <v>4073</v>
      </c>
      <c r="E1707" t="s">
        <v>4074</v>
      </c>
      <c r="F1707" t="s">
        <v>4076</v>
      </c>
    </row>
    <row r="1708" spans="1:6" x14ac:dyDescent="0.25">
      <c r="A1708">
        <v>2221</v>
      </c>
      <c r="B1708" t="s">
        <v>4072</v>
      </c>
      <c r="C1708">
        <v>2</v>
      </c>
      <c r="D1708" t="s">
        <v>4082</v>
      </c>
      <c r="E1708" t="s">
        <v>4083</v>
      </c>
      <c r="F1708" t="s">
        <v>4075</v>
      </c>
    </row>
    <row r="1709" spans="1:6" x14ac:dyDescent="0.25">
      <c r="A1709">
        <v>2221</v>
      </c>
      <c r="B1709" t="s">
        <v>4072</v>
      </c>
      <c r="C1709">
        <v>17</v>
      </c>
      <c r="D1709" t="s">
        <v>4082</v>
      </c>
      <c r="E1709" t="s">
        <v>4084</v>
      </c>
      <c r="F1709" t="s">
        <v>4076</v>
      </c>
    </row>
    <row r="1710" spans="1:6" x14ac:dyDescent="0.25">
      <c r="A1710">
        <v>2221</v>
      </c>
      <c r="B1710" t="s">
        <v>4072</v>
      </c>
      <c r="C1710">
        <v>42</v>
      </c>
      <c r="D1710" t="s">
        <v>4082</v>
      </c>
      <c r="E1710" t="s">
        <v>4083</v>
      </c>
      <c r="F1710" t="s">
        <v>4079</v>
      </c>
    </row>
    <row r="1711" spans="1:6" x14ac:dyDescent="0.25">
      <c r="A1711">
        <v>2223</v>
      </c>
      <c r="B1711" t="s">
        <v>4072</v>
      </c>
      <c r="C1711">
        <v>5</v>
      </c>
      <c r="D1711" t="s">
        <v>4087</v>
      </c>
      <c r="E1711" t="s">
        <v>4088</v>
      </c>
      <c r="F1711" t="s">
        <v>4075</v>
      </c>
    </row>
    <row r="1712" spans="1:6" x14ac:dyDescent="0.25">
      <c r="A1712">
        <v>2223</v>
      </c>
      <c r="B1712" t="s">
        <v>4072</v>
      </c>
      <c r="C1712">
        <v>15</v>
      </c>
      <c r="D1712" t="s">
        <v>4080</v>
      </c>
      <c r="E1712" t="s">
        <v>4081</v>
      </c>
      <c r="F1712" t="s">
        <v>4076</v>
      </c>
    </row>
    <row r="1713" spans="1:6" x14ac:dyDescent="0.25">
      <c r="A1713">
        <v>2223</v>
      </c>
      <c r="B1713" t="s">
        <v>4072</v>
      </c>
      <c r="C1713">
        <v>40</v>
      </c>
      <c r="D1713" t="s">
        <v>4080</v>
      </c>
      <c r="E1713" t="s">
        <v>4081</v>
      </c>
      <c r="F1713" t="s">
        <v>4079</v>
      </c>
    </row>
    <row r="1714" spans="1:6" x14ac:dyDescent="0.25">
      <c r="A1714">
        <v>2225</v>
      </c>
      <c r="B1714" t="s">
        <v>4072</v>
      </c>
      <c r="C1714">
        <v>5</v>
      </c>
      <c r="D1714" t="s">
        <v>4087</v>
      </c>
      <c r="E1714" t="s">
        <v>4088</v>
      </c>
      <c r="F1714" t="s">
        <v>4075</v>
      </c>
    </row>
    <row r="1715" spans="1:6" x14ac:dyDescent="0.25">
      <c r="A1715">
        <v>2225</v>
      </c>
      <c r="B1715" t="s">
        <v>4072</v>
      </c>
      <c r="C1715">
        <v>15</v>
      </c>
      <c r="D1715" t="s">
        <v>4080</v>
      </c>
      <c r="E1715" t="s">
        <v>4081</v>
      </c>
      <c r="F1715" t="s">
        <v>4076</v>
      </c>
    </row>
    <row r="1716" spans="1:6" x14ac:dyDescent="0.25">
      <c r="A1716">
        <v>2225</v>
      </c>
      <c r="B1716" t="s">
        <v>4072</v>
      </c>
      <c r="C1716">
        <v>40</v>
      </c>
      <c r="D1716" t="s">
        <v>4080</v>
      </c>
      <c r="E1716" t="s">
        <v>4081</v>
      </c>
      <c r="F1716" t="s">
        <v>4079</v>
      </c>
    </row>
    <row r="1717" spans="1:6" x14ac:dyDescent="0.25">
      <c r="A1717">
        <v>2226</v>
      </c>
      <c r="B1717" t="s">
        <v>4072</v>
      </c>
      <c r="C1717">
        <v>5</v>
      </c>
      <c r="D1717" t="s">
        <v>4087</v>
      </c>
      <c r="E1717" t="s">
        <v>4088</v>
      </c>
      <c r="F1717" t="s">
        <v>4075</v>
      </c>
    </row>
    <row r="1718" spans="1:6" x14ac:dyDescent="0.25">
      <c r="A1718">
        <v>2226</v>
      </c>
      <c r="B1718" t="s">
        <v>4072</v>
      </c>
      <c r="C1718">
        <v>15</v>
      </c>
      <c r="D1718" t="s">
        <v>4080</v>
      </c>
      <c r="E1718" t="s">
        <v>4081</v>
      </c>
      <c r="F1718" t="s">
        <v>4076</v>
      </c>
    </row>
    <row r="1719" spans="1:6" x14ac:dyDescent="0.25">
      <c r="A1719">
        <v>2226</v>
      </c>
      <c r="B1719" t="s">
        <v>4072</v>
      </c>
      <c r="C1719">
        <v>40</v>
      </c>
      <c r="D1719" t="s">
        <v>4080</v>
      </c>
      <c r="E1719" t="s">
        <v>4081</v>
      </c>
      <c r="F1719" t="s">
        <v>4079</v>
      </c>
    </row>
    <row r="1720" spans="1:6" x14ac:dyDescent="0.25">
      <c r="A1720">
        <v>2227</v>
      </c>
      <c r="B1720" t="s">
        <v>4072</v>
      </c>
      <c r="C1720">
        <v>1</v>
      </c>
      <c r="D1720" t="s">
        <v>2761</v>
      </c>
      <c r="E1720" t="s">
        <v>4089</v>
      </c>
      <c r="F1720" t="s">
        <v>4075</v>
      </c>
    </row>
    <row r="1721" spans="1:6" x14ac:dyDescent="0.25">
      <c r="A1721">
        <v>2227</v>
      </c>
      <c r="B1721" t="s">
        <v>4072</v>
      </c>
      <c r="C1721">
        <v>38</v>
      </c>
      <c r="D1721" t="s">
        <v>2761</v>
      </c>
      <c r="E1721" t="s">
        <v>4089</v>
      </c>
      <c r="F1721" t="s">
        <v>4076</v>
      </c>
    </row>
    <row r="1722" spans="1:6" x14ac:dyDescent="0.25">
      <c r="A1722">
        <v>2228</v>
      </c>
      <c r="B1722" t="s">
        <v>4072</v>
      </c>
      <c r="C1722">
        <v>19</v>
      </c>
      <c r="D1722" t="s">
        <v>4073</v>
      </c>
      <c r="E1722" t="s">
        <v>4074</v>
      </c>
      <c r="F1722" t="s">
        <v>4076</v>
      </c>
    </row>
    <row r="1723" spans="1:6" x14ac:dyDescent="0.25">
      <c r="A1723">
        <v>2228</v>
      </c>
      <c r="B1723" t="s">
        <v>4072</v>
      </c>
      <c r="C1723">
        <v>39</v>
      </c>
      <c r="D1723" t="s">
        <v>4073</v>
      </c>
      <c r="E1723" t="s">
        <v>4074</v>
      </c>
      <c r="F1723" t="s">
        <v>4079</v>
      </c>
    </row>
    <row r="1724" spans="1:6" x14ac:dyDescent="0.25">
      <c r="A1724">
        <v>2229</v>
      </c>
      <c r="B1724" t="s">
        <v>4072</v>
      </c>
      <c r="C1724">
        <v>19</v>
      </c>
      <c r="D1724" t="s">
        <v>4073</v>
      </c>
      <c r="E1724" t="s">
        <v>4074</v>
      </c>
      <c r="F1724" t="s">
        <v>4076</v>
      </c>
    </row>
    <row r="1725" spans="1:6" x14ac:dyDescent="0.25">
      <c r="A1725">
        <v>2229</v>
      </c>
      <c r="B1725" t="s">
        <v>4072</v>
      </c>
      <c r="C1725">
        <v>39</v>
      </c>
      <c r="D1725" t="s">
        <v>4073</v>
      </c>
      <c r="E1725" t="s">
        <v>4074</v>
      </c>
      <c r="F1725" t="s">
        <v>4079</v>
      </c>
    </row>
    <row r="1726" spans="1:6" x14ac:dyDescent="0.25">
      <c r="A1726">
        <v>2231</v>
      </c>
      <c r="B1726" t="s">
        <v>4072</v>
      </c>
      <c r="C1726">
        <v>13</v>
      </c>
      <c r="D1726" t="s">
        <v>4097</v>
      </c>
      <c r="E1726" t="s">
        <v>4098</v>
      </c>
      <c r="F1726" t="s">
        <v>4076</v>
      </c>
    </row>
    <row r="1727" spans="1:6" x14ac:dyDescent="0.25">
      <c r="A1727">
        <v>2231</v>
      </c>
      <c r="B1727" t="s">
        <v>4072</v>
      </c>
      <c r="C1727">
        <v>14</v>
      </c>
      <c r="D1727" t="s">
        <v>4090</v>
      </c>
      <c r="E1727" t="s">
        <v>4091</v>
      </c>
      <c r="F1727" t="s">
        <v>4076</v>
      </c>
    </row>
    <row r="1728" spans="1:6" x14ac:dyDescent="0.25">
      <c r="A1728">
        <v>2231</v>
      </c>
      <c r="B1728" t="s">
        <v>4072</v>
      </c>
      <c r="C1728">
        <v>41</v>
      </c>
      <c r="D1728" t="s">
        <v>4090</v>
      </c>
      <c r="E1728" t="s">
        <v>4091</v>
      </c>
      <c r="F1728" t="s">
        <v>4079</v>
      </c>
    </row>
    <row r="1729" spans="1:6" x14ac:dyDescent="0.25">
      <c r="A1729">
        <v>2231</v>
      </c>
      <c r="B1729" t="s">
        <v>4072</v>
      </c>
      <c r="C1729">
        <v>46</v>
      </c>
      <c r="D1729" t="s">
        <v>4099</v>
      </c>
      <c r="E1729" t="s">
        <v>4100</v>
      </c>
      <c r="F1729" t="s">
        <v>4079</v>
      </c>
    </row>
    <row r="1730" spans="1:6" x14ac:dyDescent="0.25">
      <c r="A1730">
        <v>2232</v>
      </c>
      <c r="B1730" t="s">
        <v>4072</v>
      </c>
      <c r="C1730">
        <v>2</v>
      </c>
      <c r="D1730" t="s">
        <v>4082</v>
      </c>
      <c r="E1730" t="s">
        <v>4083</v>
      </c>
      <c r="F1730" t="s">
        <v>4075</v>
      </c>
    </row>
    <row r="1731" spans="1:6" x14ac:dyDescent="0.25">
      <c r="A1731">
        <v>2232</v>
      </c>
      <c r="B1731" t="s">
        <v>4072</v>
      </c>
      <c r="C1731">
        <v>17</v>
      </c>
      <c r="D1731" t="s">
        <v>4082</v>
      </c>
      <c r="E1731" t="s">
        <v>4084</v>
      </c>
      <c r="F1731" t="s">
        <v>4076</v>
      </c>
    </row>
    <row r="1732" spans="1:6" x14ac:dyDescent="0.25">
      <c r="A1732">
        <v>2233</v>
      </c>
      <c r="B1732" t="s">
        <v>4072</v>
      </c>
      <c r="C1732">
        <v>2</v>
      </c>
      <c r="D1732" t="s">
        <v>4082</v>
      </c>
      <c r="E1732" t="s">
        <v>4083</v>
      </c>
      <c r="F1732" t="s">
        <v>4075</v>
      </c>
    </row>
    <row r="1733" spans="1:6" x14ac:dyDescent="0.25">
      <c r="A1733">
        <v>2233</v>
      </c>
      <c r="B1733" t="s">
        <v>4072</v>
      </c>
      <c r="C1733">
        <v>17</v>
      </c>
      <c r="D1733" t="s">
        <v>4082</v>
      </c>
      <c r="E1733" t="s">
        <v>4084</v>
      </c>
      <c r="F1733" t="s">
        <v>4076</v>
      </c>
    </row>
    <row r="1734" spans="1:6" x14ac:dyDescent="0.25">
      <c r="A1734">
        <v>2233</v>
      </c>
      <c r="B1734" t="s">
        <v>4072</v>
      </c>
      <c r="C1734">
        <v>42</v>
      </c>
      <c r="D1734" t="s">
        <v>4082</v>
      </c>
      <c r="E1734" t="s">
        <v>4083</v>
      </c>
      <c r="F1734" t="s">
        <v>4079</v>
      </c>
    </row>
    <row r="1735" spans="1:6" x14ac:dyDescent="0.25">
      <c r="A1735">
        <v>2234</v>
      </c>
      <c r="B1735" t="s">
        <v>4072</v>
      </c>
      <c r="C1735">
        <v>2</v>
      </c>
      <c r="D1735" t="s">
        <v>4082</v>
      </c>
      <c r="E1735" t="s">
        <v>4083</v>
      </c>
      <c r="F1735" t="s">
        <v>4075</v>
      </c>
    </row>
    <row r="1736" spans="1:6" x14ac:dyDescent="0.25">
      <c r="A1736">
        <v>2234</v>
      </c>
      <c r="B1736" t="s">
        <v>4072</v>
      </c>
      <c r="C1736">
        <v>17</v>
      </c>
      <c r="D1736" t="s">
        <v>4082</v>
      </c>
      <c r="E1736" t="s">
        <v>4084</v>
      </c>
      <c r="F1736" t="s">
        <v>4076</v>
      </c>
    </row>
    <row r="1737" spans="1:6" x14ac:dyDescent="0.25">
      <c r="A1737">
        <v>2234</v>
      </c>
      <c r="B1737" t="s">
        <v>4072</v>
      </c>
      <c r="C1737">
        <v>42</v>
      </c>
      <c r="D1737" t="s">
        <v>4082</v>
      </c>
      <c r="E1737" t="s">
        <v>4083</v>
      </c>
      <c r="F1737" t="s">
        <v>4079</v>
      </c>
    </row>
    <row r="1738" spans="1:6" x14ac:dyDescent="0.25">
      <c r="A1738">
        <v>2238</v>
      </c>
      <c r="B1738" t="s">
        <v>4072</v>
      </c>
      <c r="C1738">
        <v>6</v>
      </c>
      <c r="D1738" t="s">
        <v>4073</v>
      </c>
      <c r="E1738" t="s">
        <v>4074</v>
      </c>
      <c r="F1738" t="s">
        <v>4075</v>
      </c>
    </row>
    <row r="1739" spans="1:6" x14ac:dyDescent="0.25">
      <c r="A1739">
        <v>2238</v>
      </c>
      <c r="B1739" t="s">
        <v>4072</v>
      </c>
      <c r="C1739">
        <v>19</v>
      </c>
      <c r="D1739" t="s">
        <v>4073</v>
      </c>
      <c r="E1739" t="s">
        <v>4074</v>
      </c>
      <c r="F1739" t="s">
        <v>4076</v>
      </c>
    </row>
    <row r="1740" spans="1:6" x14ac:dyDescent="0.25">
      <c r="A1740">
        <v>2242</v>
      </c>
      <c r="B1740" t="s">
        <v>4072</v>
      </c>
      <c r="C1740">
        <v>5</v>
      </c>
      <c r="D1740" t="s">
        <v>4087</v>
      </c>
      <c r="E1740" t="s">
        <v>4088</v>
      </c>
      <c r="F1740" t="s">
        <v>4075</v>
      </c>
    </row>
    <row r="1741" spans="1:6" x14ac:dyDescent="0.25">
      <c r="A1741">
        <v>2242</v>
      </c>
      <c r="B1741" t="s">
        <v>4072</v>
      </c>
      <c r="C1741">
        <v>15</v>
      </c>
      <c r="D1741" t="s">
        <v>4080</v>
      </c>
      <c r="E1741" t="s">
        <v>4081</v>
      </c>
      <c r="F1741" t="s">
        <v>4076</v>
      </c>
    </row>
    <row r="1742" spans="1:6" x14ac:dyDescent="0.25">
      <c r="A1742">
        <v>2252</v>
      </c>
      <c r="B1742" t="s">
        <v>4072</v>
      </c>
      <c r="C1742">
        <v>6</v>
      </c>
      <c r="D1742" t="s">
        <v>4073</v>
      </c>
      <c r="E1742" t="s">
        <v>4074</v>
      </c>
      <c r="F1742" t="s">
        <v>4075</v>
      </c>
    </row>
    <row r="1743" spans="1:6" x14ac:dyDescent="0.25">
      <c r="A1743">
        <v>2254</v>
      </c>
      <c r="B1743" t="s">
        <v>4072</v>
      </c>
      <c r="C1743">
        <v>10</v>
      </c>
      <c r="D1743" t="s">
        <v>4095</v>
      </c>
      <c r="E1743" t="s">
        <v>4096</v>
      </c>
      <c r="F1743" t="s">
        <v>4075</v>
      </c>
    </row>
    <row r="1744" spans="1:6" x14ac:dyDescent="0.25">
      <c r="A1744">
        <v>2255</v>
      </c>
      <c r="B1744" t="s">
        <v>4072</v>
      </c>
      <c r="C1744">
        <v>12</v>
      </c>
      <c r="D1744" t="s">
        <v>2159</v>
      </c>
      <c r="E1744" t="s">
        <v>4094</v>
      </c>
      <c r="F1744" t="s">
        <v>4076</v>
      </c>
    </row>
    <row r="1745" spans="1:6" x14ac:dyDescent="0.25">
      <c r="A1745">
        <v>2255</v>
      </c>
      <c r="B1745" t="s">
        <v>4072</v>
      </c>
      <c r="C1745">
        <v>13</v>
      </c>
      <c r="D1745" t="s">
        <v>4097</v>
      </c>
      <c r="E1745" t="s">
        <v>4098</v>
      </c>
      <c r="F1745" t="s">
        <v>4076</v>
      </c>
    </row>
    <row r="1746" spans="1:6" x14ac:dyDescent="0.25">
      <c r="A1746">
        <v>2255</v>
      </c>
      <c r="B1746" t="s">
        <v>4072</v>
      </c>
      <c r="C1746">
        <v>14</v>
      </c>
      <c r="D1746" t="s">
        <v>4090</v>
      </c>
      <c r="E1746" t="s">
        <v>4091</v>
      </c>
      <c r="F1746" t="s">
        <v>4076</v>
      </c>
    </row>
    <row r="1747" spans="1:6" x14ac:dyDescent="0.25">
      <c r="A1747">
        <v>2255</v>
      </c>
      <c r="B1747" t="s">
        <v>4072</v>
      </c>
      <c r="C1747">
        <v>15</v>
      </c>
      <c r="D1747" t="s">
        <v>4080</v>
      </c>
      <c r="E1747" t="s">
        <v>4081</v>
      </c>
      <c r="F1747" t="s">
        <v>4076</v>
      </c>
    </row>
    <row r="1748" spans="1:6" x14ac:dyDescent="0.25">
      <c r="A1748">
        <v>2255</v>
      </c>
      <c r="B1748" t="s">
        <v>4072</v>
      </c>
      <c r="C1748">
        <v>40</v>
      </c>
      <c r="D1748" t="s">
        <v>4080</v>
      </c>
      <c r="E1748" t="s">
        <v>4081</v>
      </c>
      <c r="F1748" t="s">
        <v>4079</v>
      </c>
    </row>
    <row r="1749" spans="1:6" x14ac:dyDescent="0.25">
      <c r="A1749">
        <v>2255</v>
      </c>
      <c r="B1749" t="s">
        <v>4072</v>
      </c>
      <c r="C1749">
        <v>41</v>
      </c>
      <c r="D1749" t="s">
        <v>4090</v>
      </c>
      <c r="E1749" t="s">
        <v>4091</v>
      </c>
      <c r="F1749" t="s">
        <v>4079</v>
      </c>
    </row>
    <row r="1750" spans="1:6" x14ac:dyDescent="0.25">
      <c r="A1750">
        <v>2255</v>
      </c>
      <c r="B1750" t="s">
        <v>4072</v>
      </c>
      <c r="C1750">
        <v>45</v>
      </c>
      <c r="D1750" t="s">
        <v>2159</v>
      </c>
      <c r="E1750" t="s">
        <v>4094</v>
      </c>
      <c r="F1750" t="s">
        <v>4079</v>
      </c>
    </row>
    <row r="1751" spans="1:6" x14ac:dyDescent="0.25">
      <c r="A1751">
        <v>2255</v>
      </c>
      <c r="B1751" t="s">
        <v>4072</v>
      </c>
      <c r="C1751">
        <v>46</v>
      </c>
      <c r="D1751" t="s">
        <v>4099</v>
      </c>
      <c r="E1751" t="s">
        <v>4100</v>
      </c>
      <c r="F1751" t="s">
        <v>4079</v>
      </c>
    </row>
    <row r="1752" spans="1:6" x14ac:dyDescent="0.25">
      <c r="A1752">
        <v>2256</v>
      </c>
      <c r="B1752" t="s">
        <v>4072</v>
      </c>
      <c r="C1752">
        <v>12</v>
      </c>
      <c r="D1752" t="s">
        <v>2159</v>
      </c>
      <c r="E1752" t="s">
        <v>4094</v>
      </c>
      <c r="F1752" t="s">
        <v>4076</v>
      </c>
    </row>
    <row r="1753" spans="1:6" x14ac:dyDescent="0.25">
      <c r="A1753">
        <v>2256</v>
      </c>
      <c r="B1753" t="s">
        <v>4072</v>
      </c>
      <c r="C1753">
        <v>45</v>
      </c>
      <c r="D1753" t="s">
        <v>2159</v>
      </c>
      <c r="E1753" t="s">
        <v>4094</v>
      </c>
      <c r="F1753" t="s">
        <v>4079</v>
      </c>
    </row>
    <row r="1754" spans="1:6" x14ac:dyDescent="0.25">
      <c r="A1754">
        <v>2257</v>
      </c>
      <c r="B1754" t="s">
        <v>4072</v>
      </c>
      <c r="C1754">
        <v>13</v>
      </c>
      <c r="D1754" t="s">
        <v>4097</v>
      </c>
      <c r="E1754" t="s">
        <v>4098</v>
      </c>
      <c r="F1754" t="s">
        <v>4076</v>
      </c>
    </row>
    <row r="1755" spans="1:6" x14ac:dyDescent="0.25">
      <c r="A1755">
        <v>2257</v>
      </c>
      <c r="B1755" t="s">
        <v>4072</v>
      </c>
      <c r="C1755">
        <v>14</v>
      </c>
      <c r="D1755" t="s">
        <v>4090</v>
      </c>
      <c r="E1755" t="s">
        <v>4091</v>
      </c>
      <c r="F1755" t="s">
        <v>4076</v>
      </c>
    </row>
    <row r="1756" spans="1:6" x14ac:dyDescent="0.25">
      <c r="A1756">
        <v>2257</v>
      </c>
      <c r="B1756" t="s">
        <v>4072</v>
      </c>
      <c r="C1756">
        <v>41</v>
      </c>
      <c r="D1756" t="s">
        <v>4090</v>
      </c>
      <c r="E1756" t="s">
        <v>4091</v>
      </c>
      <c r="F1756" t="s">
        <v>4079</v>
      </c>
    </row>
    <row r="1757" spans="1:6" x14ac:dyDescent="0.25">
      <c r="A1757">
        <v>2257</v>
      </c>
      <c r="B1757" t="s">
        <v>4072</v>
      </c>
      <c r="C1757">
        <v>46</v>
      </c>
      <c r="D1757" t="s">
        <v>4099</v>
      </c>
      <c r="E1757" t="s">
        <v>4100</v>
      </c>
      <c r="F1757" t="s">
        <v>4079</v>
      </c>
    </row>
    <row r="1758" spans="1:6" x14ac:dyDescent="0.25">
      <c r="A1758">
        <v>2260</v>
      </c>
      <c r="B1758" t="s">
        <v>4072</v>
      </c>
      <c r="C1758">
        <v>13</v>
      </c>
      <c r="D1758" t="s">
        <v>4097</v>
      </c>
      <c r="E1758" t="s">
        <v>4098</v>
      </c>
      <c r="F1758" t="s">
        <v>4076</v>
      </c>
    </row>
    <row r="1759" spans="1:6" x14ac:dyDescent="0.25">
      <c r="A1759">
        <v>2263</v>
      </c>
      <c r="B1759" t="s">
        <v>4072</v>
      </c>
      <c r="C1759">
        <v>13</v>
      </c>
      <c r="D1759" t="s">
        <v>4097</v>
      </c>
      <c r="E1759" t="s">
        <v>4098</v>
      </c>
      <c r="F1759" t="s">
        <v>4076</v>
      </c>
    </row>
    <row r="1760" spans="1:6" x14ac:dyDescent="0.25">
      <c r="A1760">
        <v>2264</v>
      </c>
      <c r="B1760" t="s">
        <v>4072</v>
      </c>
      <c r="C1760">
        <v>2</v>
      </c>
      <c r="D1760" t="s">
        <v>4082</v>
      </c>
      <c r="E1760" t="s">
        <v>4083</v>
      </c>
      <c r="F1760" t="s">
        <v>4075</v>
      </c>
    </row>
    <row r="1761" spans="1:6" x14ac:dyDescent="0.25">
      <c r="A1761">
        <v>2264</v>
      </c>
      <c r="B1761" t="s">
        <v>4072</v>
      </c>
      <c r="C1761">
        <v>17</v>
      </c>
      <c r="D1761" t="s">
        <v>4082</v>
      </c>
      <c r="E1761" t="s">
        <v>4084</v>
      </c>
      <c r="F1761" t="s">
        <v>4076</v>
      </c>
    </row>
    <row r="1762" spans="1:6" x14ac:dyDescent="0.25">
      <c r="A1762">
        <v>2264</v>
      </c>
      <c r="B1762" t="s">
        <v>4072</v>
      </c>
      <c r="C1762">
        <v>42</v>
      </c>
      <c r="D1762" t="s">
        <v>4082</v>
      </c>
      <c r="E1762" t="s">
        <v>4083</v>
      </c>
      <c r="F1762" t="s">
        <v>4079</v>
      </c>
    </row>
    <row r="1763" spans="1:6" x14ac:dyDescent="0.25">
      <c r="A1763">
        <v>2265</v>
      </c>
      <c r="B1763" t="s">
        <v>4072</v>
      </c>
      <c r="C1763">
        <v>5</v>
      </c>
      <c r="D1763" t="s">
        <v>4087</v>
      </c>
      <c r="E1763" t="s">
        <v>4088</v>
      </c>
      <c r="F1763" t="s">
        <v>4075</v>
      </c>
    </row>
    <row r="1764" spans="1:6" x14ac:dyDescent="0.25">
      <c r="A1764">
        <v>2265</v>
      </c>
      <c r="B1764" t="s">
        <v>4072</v>
      </c>
      <c r="C1764">
        <v>15</v>
      </c>
      <c r="D1764" t="s">
        <v>4080</v>
      </c>
      <c r="E1764" t="s">
        <v>4081</v>
      </c>
      <c r="F1764" t="s">
        <v>4076</v>
      </c>
    </row>
    <row r="1765" spans="1:6" x14ac:dyDescent="0.25">
      <c r="A1765">
        <v>2265</v>
      </c>
      <c r="B1765" t="s">
        <v>4072</v>
      </c>
      <c r="C1765">
        <v>40</v>
      </c>
      <c r="D1765" t="s">
        <v>4080</v>
      </c>
      <c r="E1765" t="s">
        <v>4081</v>
      </c>
      <c r="F1765" t="s">
        <v>4079</v>
      </c>
    </row>
    <row r="1766" spans="1:6" x14ac:dyDescent="0.25">
      <c r="A1766">
        <v>2266</v>
      </c>
      <c r="B1766" t="s">
        <v>4072</v>
      </c>
      <c r="C1766">
        <v>3</v>
      </c>
      <c r="D1766" t="s">
        <v>4085</v>
      </c>
      <c r="E1766" t="s">
        <v>4086</v>
      </c>
      <c r="F1766" t="s">
        <v>4075</v>
      </c>
    </row>
    <row r="1767" spans="1:6" x14ac:dyDescent="0.25">
      <c r="A1767">
        <v>2266</v>
      </c>
      <c r="B1767" t="s">
        <v>4072</v>
      </c>
      <c r="C1767">
        <v>15</v>
      </c>
      <c r="D1767" t="s">
        <v>4080</v>
      </c>
      <c r="E1767" t="s">
        <v>4081</v>
      </c>
      <c r="F1767" t="s">
        <v>4076</v>
      </c>
    </row>
    <row r="1768" spans="1:6" x14ac:dyDescent="0.25">
      <c r="A1768">
        <v>2266</v>
      </c>
      <c r="B1768" t="s">
        <v>4072</v>
      </c>
      <c r="C1768">
        <v>40</v>
      </c>
      <c r="D1768" t="s">
        <v>4080</v>
      </c>
      <c r="E1768" t="s">
        <v>4081</v>
      </c>
      <c r="F1768" t="s">
        <v>4079</v>
      </c>
    </row>
    <row r="1769" spans="1:6" x14ac:dyDescent="0.25">
      <c r="A1769">
        <v>2274</v>
      </c>
      <c r="B1769" t="s">
        <v>4072</v>
      </c>
      <c r="C1769">
        <v>2</v>
      </c>
      <c r="D1769" t="s">
        <v>4082</v>
      </c>
      <c r="E1769" t="s">
        <v>4083</v>
      </c>
      <c r="F1769" t="s">
        <v>4075</v>
      </c>
    </row>
    <row r="1770" spans="1:6" x14ac:dyDescent="0.25">
      <c r="A1770">
        <v>2274</v>
      </c>
      <c r="B1770" t="s">
        <v>4072</v>
      </c>
      <c r="C1770">
        <v>17</v>
      </c>
      <c r="D1770" t="s">
        <v>4082</v>
      </c>
      <c r="E1770" t="s">
        <v>4084</v>
      </c>
      <c r="F1770" t="s">
        <v>4076</v>
      </c>
    </row>
    <row r="1771" spans="1:6" x14ac:dyDescent="0.25">
      <c r="A1771">
        <v>2274</v>
      </c>
      <c r="B1771" t="s">
        <v>4072</v>
      </c>
      <c r="C1771">
        <v>42</v>
      </c>
      <c r="D1771" t="s">
        <v>4082</v>
      </c>
      <c r="E1771" t="s">
        <v>4083</v>
      </c>
      <c r="F1771" t="s">
        <v>4079</v>
      </c>
    </row>
    <row r="1772" spans="1:6" x14ac:dyDescent="0.25">
      <c r="A1772">
        <v>2276</v>
      </c>
      <c r="B1772" t="s">
        <v>4072</v>
      </c>
      <c r="C1772">
        <v>4</v>
      </c>
      <c r="D1772" t="s">
        <v>4077</v>
      </c>
      <c r="E1772" t="s">
        <v>4078</v>
      </c>
      <c r="F1772" t="s">
        <v>4075</v>
      </c>
    </row>
    <row r="1773" spans="1:6" x14ac:dyDescent="0.25">
      <c r="A1773">
        <v>2276</v>
      </c>
      <c r="B1773" t="s">
        <v>4072</v>
      </c>
      <c r="C1773">
        <v>16</v>
      </c>
      <c r="D1773" t="s">
        <v>4077</v>
      </c>
      <c r="E1773" t="s">
        <v>4078</v>
      </c>
      <c r="F1773" t="s">
        <v>4076</v>
      </c>
    </row>
    <row r="1774" spans="1:6" x14ac:dyDescent="0.25">
      <c r="A1774">
        <v>2276</v>
      </c>
      <c r="B1774" t="s">
        <v>4072</v>
      </c>
      <c r="C1774">
        <v>44</v>
      </c>
      <c r="D1774" t="s">
        <v>4077</v>
      </c>
      <c r="E1774" t="s">
        <v>4078</v>
      </c>
      <c r="F1774" t="s">
        <v>4079</v>
      </c>
    </row>
    <row r="1775" spans="1:6" x14ac:dyDescent="0.25">
      <c r="A1775">
        <v>2277</v>
      </c>
      <c r="B1775" t="s">
        <v>4072</v>
      </c>
      <c r="C1775">
        <v>2</v>
      </c>
      <c r="D1775" t="s">
        <v>4082</v>
      </c>
      <c r="E1775" t="s">
        <v>4083</v>
      </c>
      <c r="F1775" t="s">
        <v>4075</v>
      </c>
    </row>
    <row r="1776" spans="1:6" x14ac:dyDescent="0.25">
      <c r="A1776">
        <v>2279</v>
      </c>
      <c r="B1776" t="s">
        <v>4072</v>
      </c>
      <c r="C1776">
        <v>5</v>
      </c>
      <c r="D1776" t="s">
        <v>4087</v>
      </c>
      <c r="E1776" t="s">
        <v>4088</v>
      </c>
      <c r="F1776" t="s">
        <v>4075</v>
      </c>
    </row>
    <row r="1777" spans="1:6" x14ac:dyDescent="0.25">
      <c r="A1777">
        <v>2280</v>
      </c>
      <c r="B1777" t="s">
        <v>4072</v>
      </c>
      <c r="C1777">
        <v>5</v>
      </c>
      <c r="D1777" t="s">
        <v>4087</v>
      </c>
      <c r="E1777" t="s">
        <v>4088</v>
      </c>
      <c r="F1777" t="s">
        <v>4075</v>
      </c>
    </row>
    <row r="1778" spans="1:6" x14ac:dyDescent="0.25">
      <c r="A1778">
        <v>2281</v>
      </c>
      <c r="B1778" t="s">
        <v>4072</v>
      </c>
      <c r="C1778">
        <v>2</v>
      </c>
      <c r="D1778" t="s">
        <v>4082</v>
      </c>
      <c r="E1778" t="s">
        <v>4083</v>
      </c>
      <c r="F1778" t="s">
        <v>4075</v>
      </c>
    </row>
    <row r="1779" spans="1:6" x14ac:dyDescent="0.25">
      <c r="A1779">
        <v>2283</v>
      </c>
      <c r="B1779" t="s">
        <v>4072</v>
      </c>
      <c r="C1779">
        <v>4</v>
      </c>
      <c r="D1779" t="s">
        <v>4077</v>
      </c>
      <c r="E1779" t="s">
        <v>4078</v>
      </c>
      <c r="F1779" t="s">
        <v>4075</v>
      </c>
    </row>
    <row r="1780" spans="1:6" x14ac:dyDescent="0.25">
      <c r="A1780">
        <v>2284</v>
      </c>
      <c r="B1780" t="s">
        <v>4072</v>
      </c>
      <c r="C1780">
        <v>2</v>
      </c>
      <c r="D1780" t="s">
        <v>4082</v>
      </c>
      <c r="E1780" t="s">
        <v>4083</v>
      </c>
      <c r="F1780" t="s">
        <v>4075</v>
      </c>
    </row>
    <row r="1781" spans="1:6" x14ac:dyDescent="0.25">
      <c r="A1781">
        <v>2285</v>
      </c>
      <c r="B1781" t="s">
        <v>4072</v>
      </c>
      <c r="C1781">
        <v>1</v>
      </c>
      <c r="D1781" t="s">
        <v>2761</v>
      </c>
      <c r="E1781" t="s">
        <v>4089</v>
      </c>
      <c r="F1781" t="s">
        <v>4075</v>
      </c>
    </row>
    <row r="1782" spans="1:6" x14ac:dyDescent="0.25">
      <c r="A1782">
        <v>2286</v>
      </c>
      <c r="B1782" t="s">
        <v>4072</v>
      </c>
      <c r="C1782">
        <v>5</v>
      </c>
      <c r="D1782" t="s">
        <v>4087</v>
      </c>
      <c r="E1782" t="s">
        <v>4088</v>
      </c>
      <c r="F1782" t="s">
        <v>4075</v>
      </c>
    </row>
    <row r="1783" spans="1:6" x14ac:dyDescent="0.25">
      <c r="A1783">
        <v>2287</v>
      </c>
      <c r="B1783" t="s">
        <v>4072</v>
      </c>
      <c r="C1783">
        <v>5</v>
      </c>
      <c r="D1783" t="s">
        <v>4087</v>
      </c>
      <c r="E1783" t="s">
        <v>4088</v>
      </c>
      <c r="F1783" t="s">
        <v>4075</v>
      </c>
    </row>
    <row r="1784" spans="1:6" x14ac:dyDescent="0.25">
      <c r="A1784">
        <v>2288</v>
      </c>
      <c r="B1784" t="s">
        <v>4072</v>
      </c>
      <c r="C1784">
        <v>5</v>
      </c>
      <c r="D1784" t="s">
        <v>4087</v>
      </c>
      <c r="E1784" t="s">
        <v>4088</v>
      </c>
      <c r="F1784" t="s">
        <v>4075</v>
      </c>
    </row>
    <row r="1785" spans="1:6" x14ac:dyDescent="0.25">
      <c r="A1785">
        <v>2289</v>
      </c>
      <c r="B1785" t="s">
        <v>4072</v>
      </c>
      <c r="C1785">
        <v>3</v>
      </c>
      <c r="D1785" t="s">
        <v>4085</v>
      </c>
      <c r="E1785" t="s">
        <v>4086</v>
      </c>
      <c r="F1785" t="s">
        <v>4075</v>
      </c>
    </row>
    <row r="1786" spans="1:6" x14ac:dyDescent="0.25">
      <c r="A1786">
        <v>2290</v>
      </c>
      <c r="B1786" t="s">
        <v>4072</v>
      </c>
      <c r="C1786">
        <v>4</v>
      </c>
      <c r="D1786" t="s">
        <v>4077</v>
      </c>
      <c r="E1786" t="s">
        <v>4078</v>
      </c>
      <c r="F1786" t="s">
        <v>4075</v>
      </c>
    </row>
    <row r="1787" spans="1:6" x14ac:dyDescent="0.25">
      <c r="A1787">
        <v>2298</v>
      </c>
      <c r="B1787" t="s">
        <v>4072</v>
      </c>
      <c r="C1787">
        <v>6</v>
      </c>
      <c r="D1787" t="s">
        <v>4073</v>
      </c>
      <c r="E1787" t="s">
        <v>4074</v>
      </c>
      <c r="F1787" t="s">
        <v>4075</v>
      </c>
    </row>
    <row r="1788" spans="1:6" x14ac:dyDescent="0.25">
      <c r="A1788">
        <v>2298</v>
      </c>
      <c r="B1788" t="s">
        <v>4072</v>
      </c>
      <c r="C1788">
        <v>19</v>
      </c>
      <c r="D1788" t="s">
        <v>4073</v>
      </c>
      <c r="E1788" t="s">
        <v>4074</v>
      </c>
      <c r="F1788" t="s">
        <v>4076</v>
      </c>
    </row>
    <row r="1789" spans="1:6" x14ac:dyDescent="0.25">
      <c r="A1789">
        <v>2299</v>
      </c>
      <c r="B1789" t="s">
        <v>4072</v>
      </c>
      <c r="C1789">
        <v>6</v>
      </c>
      <c r="D1789" t="s">
        <v>4073</v>
      </c>
      <c r="E1789" t="s">
        <v>4074</v>
      </c>
      <c r="F1789" t="s">
        <v>4075</v>
      </c>
    </row>
    <row r="1790" spans="1:6" x14ac:dyDescent="0.25">
      <c r="A1790">
        <v>2299</v>
      </c>
      <c r="B1790" t="s">
        <v>4072</v>
      </c>
      <c r="C1790">
        <v>19</v>
      </c>
      <c r="D1790" t="s">
        <v>4073</v>
      </c>
      <c r="E1790" t="s">
        <v>4074</v>
      </c>
      <c r="F1790" t="s">
        <v>4076</v>
      </c>
    </row>
    <row r="1791" spans="1:6" x14ac:dyDescent="0.25">
      <c r="A1791">
        <v>2306</v>
      </c>
      <c r="B1791" t="s">
        <v>4072</v>
      </c>
      <c r="C1791">
        <v>3</v>
      </c>
      <c r="D1791" t="s">
        <v>4085</v>
      </c>
      <c r="E1791" t="s">
        <v>4086</v>
      </c>
      <c r="F1791" t="s">
        <v>4075</v>
      </c>
    </row>
    <row r="1792" spans="1:6" x14ac:dyDescent="0.25">
      <c r="A1792">
        <v>2306</v>
      </c>
      <c r="B1792" t="s">
        <v>4072</v>
      </c>
      <c r="C1792">
        <v>15</v>
      </c>
      <c r="D1792" t="s">
        <v>4080</v>
      </c>
      <c r="E1792" t="s">
        <v>4081</v>
      </c>
      <c r="F1792" t="s">
        <v>4076</v>
      </c>
    </row>
    <row r="1793" spans="1:6" x14ac:dyDescent="0.25">
      <c r="A1793">
        <v>2307</v>
      </c>
      <c r="B1793" t="s">
        <v>4072</v>
      </c>
      <c r="C1793">
        <v>3</v>
      </c>
      <c r="D1793" t="s">
        <v>4085</v>
      </c>
      <c r="E1793" t="s">
        <v>4086</v>
      </c>
      <c r="F1793" t="s">
        <v>4075</v>
      </c>
    </row>
    <row r="1794" spans="1:6" x14ac:dyDescent="0.25">
      <c r="A1794">
        <v>2307</v>
      </c>
      <c r="B1794" t="s">
        <v>4072</v>
      </c>
      <c r="C1794">
        <v>5</v>
      </c>
      <c r="D1794" t="s">
        <v>4087</v>
      </c>
      <c r="E1794" t="s">
        <v>4088</v>
      </c>
      <c r="F1794" t="s">
        <v>4075</v>
      </c>
    </row>
    <row r="1795" spans="1:6" x14ac:dyDescent="0.25">
      <c r="A1795">
        <v>2307</v>
      </c>
      <c r="B1795" t="s">
        <v>4072</v>
      </c>
      <c r="C1795">
        <v>15</v>
      </c>
      <c r="D1795" t="s">
        <v>4080</v>
      </c>
      <c r="E1795" t="s">
        <v>4081</v>
      </c>
      <c r="F1795" t="s">
        <v>4076</v>
      </c>
    </row>
    <row r="1796" spans="1:6" x14ac:dyDescent="0.25">
      <c r="A1796">
        <v>2307</v>
      </c>
      <c r="B1796" t="s">
        <v>4072</v>
      </c>
      <c r="C1796">
        <v>40</v>
      </c>
      <c r="D1796" t="s">
        <v>4080</v>
      </c>
      <c r="E1796" t="s">
        <v>4081</v>
      </c>
      <c r="F1796" t="s">
        <v>4079</v>
      </c>
    </row>
    <row r="1797" spans="1:6" x14ac:dyDescent="0.25">
      <c r="A1797">
        <v>2309</v>
      </c>
      <c r="B1797" t="s">
        <v>4072</v>
      </c>
      <c r="C1797">
        <v>4</v>
      </c>
      <c r="D1797" t="s">
        <v>4077</v>
      </c>
      <c r="E1797" t="s">
        <v>4078</v>
      </c>
      <c r="F1797" t="s">
        <v>4075</v>
      </c>
    </row>
    <row r="1798" spans="1:6" x14ac:dyDescent="0.25">
      <c r="A1798">
        <v>2309</v>
      </c>
      <c r="B1798" t="s">
        <v>4072</v>
      </c>
      <c r="C1798">
        <v>16</v>
      </c>
      <c r="D1798" t="s">
        <v>4077</v>
      </c>
      <c r="E1798" t="s">
        <v>4078</v>
      </c>
      <c r="F1798" t="s">
        <v>4076</v>
      </c>
    </row>
    <row r="1799" spans="1:6" x14ac:dyDescent="0.25">
      <c r="A1799">
        <v>2309</v>
      </c>
      <c r="B1799" t="s">
        <v>4072</v>
      </c>
      <c r="C1799">
        <v>44</v>
      </c>
      <c r="D1799" t="s">
        <v>4077</v>
      </c>
      <c r="E1799" t="s">
        <v>4078</v>
      </c>
      <c r="F1799" t="s">
        <v>4079</v>
      </c>
    </row>
    <row r="1800" spans="1:6" x14ac:dyDescent="0.25">
      <c r="A1800">
        <v>2311</v>
      </c>
      <c r="B1800" t="s">
        <v>4072</v>
      </c>
      <c r="C1800">
        <v>3</v>
      </c>
      <c r="D1800" t="s">
        <v>4085</v>
      </c>
      <c r="E1800" t="s">
        <v>4086</v>
      </c>
      <c r="F1800" t="s">
        <v>4075</v>
      </c>
    </row>
    <row r="1801" spans="1:6" x14ac:dyDescent="0.25">
      <c r="A1801">
        <v>2311</v>
      </c>
      <c r="B1801" t="s">
        <v>4072</v>
      </c>
      <c r="C1801">
        <v>15</v>
      </c>
      <c r="D1801" t="s">
        <v>4080</v>
      </c>
      <c r="E1801" t="s">
        <v>4081</v>
      </c>
      <c r="F1801" t="s">
        <v>4076</v>
      </c>
    </row>
    <row r="1802" spans="1:6" x14ac:dyDescent="0.25">
      <c r="A1802">
        <v>2316</v>
      </c>
      <c r="B1802" t="s">
        <v>4072</v>
      </c>
      <c r="C1802">
        <v>6</v>
      </c>
      <c r="D1802" t="s">
        <v>4073</v>
      </c>
      <c r="E1802" t="s">
        <v>4074</v>
      </c>
      <c r="F1802" t="s">
        <v>4075</v>
      </c>
    </row>
    <row r="1803" spans="1:6" x14ac:dyDescent="0.25">
      <c r="A1803">
        <v>2316</v>
      </c>
      <c r="B1803" t="s">
        <v>4072</v>
      </c>
      <c r="C1803">
        <v>19</v>
      </c>
      <c r="D1803" t="s">
        <v>4073</v>
      </c>
      <c r="E1803" t="s">
        <v>4074</v>
      </c>
      <c r="F1803" t="s">
        <v>4076</v>
      </c>
    </row>
    <row r="1804" spans="1:6" x14ac:dyDescent="0.25">
      <c r="A1804">
        <v>2316</v>
      </c>
      <c r="B1804" t="s">
        <v>4072</v>
      </c>
      <c r="C1804">
        <v>39</v>
      </c>
      <c r="D1804" t="s">
        <v>4073</v>
      </c>
      <c r="E1804" t="s">
        <v>4074</v>
      </c>
      <c r="F1804" t="s">
        <v>4079</v>
      </c>
    </row>
    <row r="1805" spans="1:6" x14ac:dyDescent="0.25">
      <c r="A1805">
        <v>2317</v>
      </c>
      <c r="B1805" t="s">
        <v>4072</v>
      </c>
      <c r="C1805">
        <v>2</v>
      </c>
      <c r="D1805" t="s">
        <v>4082</v>
      </c>
      <c r="E1805" t="s">
        <v>4083</v>
      </c>
      <c r="F1805" t="s">
        <v>4075</v>
      </c>
    </row>
    <row r="1806" spans="1:6" x14ac:dyDescent="0.25">
      <c r="A1806">
        <v>2317</v>
      </c>
      <c r="B1806" t="s">
        <v>4072</v>
      </c>
      <c r="C1806">
        <v>17</v>
      </c>
      <c r="D1806" t="s">
        <v>4082</v>
      </c>
      <c r="E1806" t="s">
        <v>4084</v>
      </c>
      <c r="F1806" t="s">
        <v>4076</v>
      </c>
    </row>
    <row r="1807" spans="1:6" x14ac:dyDescent="0.25">
      <c r="A1807">
        <v>2317</v>
      </c>
      <c r="B1807" t="s">
        <v>4072</v>
      </c>
      <c r="C1807">
        <v>42</v>
      </c>
      <c r="D1807" t="s">
        <v>4082</v>
      </c>
      <c r="E1807" t="s">
        <v>4083</v>
      </c>
      <c r="F1807" t="s">
        <v>4079</v>
      </c>
    </row>
    <row r="1808" spans="1:6" x14ac:dyDescent="0.25">
      <c r="A1808">
        <v>2318</v>
      </c>
      <c r="B1808" t="s">
        <v>4072</v>
      </c>
      <c r="C1808">
        <v>4</v>
      </c>
      <c r="D1808" t="s">
        <v>4077</v>
      </c>
      <c r="E1808" t="s">
        <v>4078</v>
      </c>
      <c r="F1808" t="s">
        <v>4075</v>
      </c>
    </row>
    <row r="1809" spans="1:6" x14ac:dyDescent="0.25">
      <c r="A1809">
        <v>2318</v>
      </c>
      <c r="B1809" t="s">
        <v>4072</v>
      </c>
      <c r="C1809">
        <v>5</v>
      </c>
      <c r="D1809" t="s">
        <v>4087</v>
      </c>
      <c r="E1809" t="s">
        <v>4088</v>
      </c>
      <c r="F1809" t="s">
        <v>4075</v>
      </c>
    </row>
    <row r="1810" spans="1:6" x14ac:dyDescent="0.25">
      <c r="A1810">
        <v>2318</v>
      </c>
      <c r="B1810" t="s">
        <v>4072</v>
      </c>
      <c r="C1810">
        <v>15</v>
      </c>
      <c r="D1810" t="s">
        <v>4080</v>
      </c>
      <c r="E1810" t="s">
        <v>4081</v>
      </c>
      <c r="F1810" t="s">
        <v>4076</v>
      </c>
    </row>
    <row r="1811" spans="1:6" x14ac:dyDescent="0.25">
      <c r="A1811">
        <v>2318</v>
      </c>
      <c r="B1811" t="s">
        <v>4072</v>
      </c>
      <c r="C1811">
        <v>16</v>
      </c>
      <c r="D1811" t="s">
        <v>4077</v>
      </c>
      <c r="E1811" t="s">
        <v>4078</v>
      </c>
      <c r="F1811" t="s">
        <v>4076</v>
      </c>
    </row>
    <row r="1812" spans="1:6" x14ac:dyDescent="0.25">
      <c r="A1812">
        <v>2318</v>
      </c>
      <c r="B1812" t="s">
        <v>4072</v>
      </c>
      <c r="C1812">
        <v>40</v>
      </c>
      <c r="D1812" t="s">
        <v>4080</v>
      </c>
      <c r="E1812" t="s">
        <v>4081</v>
      </c>
      <c r="F1812" t="s">
        <v>4079</v>
      </c>
    </row>
    <row r="1813" spans="1:6" x14ac:dyDescent="0.25">
      <c r="A1813">
        <v>2318</v>
      </c>
      <c r="B1813" t="s">
        <v>4072</v>
      </c>
      <c r="C1813">
        <v>44</v>
      </c>
      <c r="D1813" t="s">
        <v>4077</v>
      </c>
      <c r="E1813" t="s">
        <v>4078</v>
      </c>
      <c r="F1813" t="s">
        <v>4079</v>
      </c>
    </row>
    <row r="1814" spans="1:6" x14ac:dyDescent="0.25">
      <c r="A1814">
        <v>2320</v>
      </c>
      <c r="B1814" t="s">
        <v>4072</v>
      </c>
      <c r="C1814">
        <v>6</v>
      </c>
      <c r="D1814" t="s">
        <v>4073</v>
      </c>
      <c r="E1814" t="s">
        <v>4074</v>
      </c>
      <c r="F1814" t="s">
        <v>4075</v>
      </c>
    </row>
    <row r="1815" spans="1:6" x14ac:dyDescent="0.25">
      <c r="A1815">
        <v>2320</v>
      </c>
      <c r="B1815" t="s">
        <v>4072</v>
      </c>
      <c r="C1815">
        <v>19</v>
      </c>
      <c r="D1815" t="s">
        <v>4073</v>
      </c>
      <c r="E1815" t="s">
        <v>4074</v>
      </c>
      <c r="F1815" t="s">
        <v>4076</v>
      </c>
    </row>
    <row r="1816" spans="1:6" x14ac:dyDescent="0.25">
      <c r="A1816">
        <v>2320</v>
      </c>
      <c r="B1816" t="s">
        <v>4072</v>
      </c>
      <c r="C1816">
        <v>39</v>
      </c>
      <c r="D1816" t="s">
        <v>4073</v>
      </c>
      <c r="E1816" t="s">
        <v>4074</v>
      </c>
      <c r="F1816" t="s">
        <v>4079</v>
      </c>
    </row>
    <row r="1817" spans="1:6" x14ac:dyDescent="0.25">
      <c r="A1817">
        <v>2321</v>
      </c>
      <c r="B1817" t="s">
        <v>4072</v>
      </c>
      <c r="C1817">
        <v>6</v>
      </c>
      <c r="D1817" t="s">
        <v>4073</v>
      </c>
      <c r="E1817" t="s">
        <v>4074</v>
      </c>
      <c r="F1817" t="s">
        <v>4075</v>
      </c>
    </row>
    <row r="1818" spans="1:6" x14ac:dyDescent="0.25">
      <c r="A1818">
        <v>2321</v>
      </c>
      <c r="B1818" t="s">
        <v>4072</v>
      </c>
      <c r="C1818">
        <v>19</v>
      </c>
      <c r="D1818" t="s">
        <v>4073</v>
      </c>
      <c r="E1818" t="s">
        <v>4074</v>
      </c>
      <c r="F1818" t="s">
        <v>4076</v>
      </c>
    </row>
    <row r="1819" spans="1:6" x14ac:dyDescent="0.25">
      <c r="A1819">
        <v>2321</v>
      </c>
      <c r="B1819" t="s">
        <v>4072</v>
      </c>
      <c r="C1819">
        <v>39</v>
      </c>
      <c r="D1819" t="s">
        <v>4073</v>
      </c>
      <c r="E1819" t="s">
        <v>4074</v>
      </c>
      <c r="F1819" t="s">
        <v>4079</v>
      </c>
    </row>
    <row r="1820" spans="1:6" x14ac:dyDescent="0.25">
      <c r="A1820">
        <v>2322</v>
      </c>
      <c r="B1820" t="s">
        <v>4072</v>
      </c>
      <c r="C1820">
        <v>14</v>
      </c>
      <c r="D1820" t="s">
        <v>4090</v>
      </c>
      <c r="E1820" t="s">
        <v>4091</v>
      </c>
      <c r="F1820" t="s">
        <v>4076</v>
      </c>
    </row>
    <row r="1821" spans="1:6" x14ac:dyDescent="0.25">
      <c r="A1821">
        <v>2322</v>
      </c>
      <c r="B1821" t="s">
        <v>4072</v>
      </c>
      <c r="C1821">
        <v>37</v>
      </c>
      <c r="D1821" t="s">
        <v>2398</v>
      </c>
      <c r="E1821" t="s">
        <v>4101</v>
      </c>
      <c r="F1821" t="s">
        <v>4075</v>
      </c>
    </row>
    <row r="1822" spans="1:6" x14ac:dyDescent="0.25">
      <c r="A1822">
        <v>2322</v>
      </c>
      <c r="B1822" t="s">
        <v>4072</v>
      </c>
      <c r="C1822">
        <v>41</v>
      </c>
      <c r="D1822" t="s">
        <v>4090</v>
      </c>
      <c r="E1822" t="s">
        <v>4091</v>
      </c>
      <c r="F1822" t="s">
        <v>4079</v>
      </c>
    </row>
    <row r="1823" spans="1:6" x14ac:dyDescent="0.25">
      <c r="A1823">
        <v>2323</v>
      </c>
      <c r="B1823" t="s">
        <v>4072</v>
      </c>
      <c r="C1823">
        <v>2</v>
      </c>
      <c r="D1823" t="s">
        <v>4082</v>
      </c>
      <c r="E1823" t="s">
        <v>4083</v>
      </c>
      <c r="F1823" t="s">
        <v>4075</v>
      </c>
    </row>
    <row r="1824" spans="1:6" x14ac:dyDescent="0.25">
      <c r="A1824">
        <v>2323</v>
      </c>
      <c r="B1824" t="s">
        <v>4072</v>
      </c>
      <c r="C1824">
        <v>17</v>
      </c>
      <c r="D1824" t="s">
        <v>4082</v>
      </c>
      <c r="E1824" t="s">
        <v>4084</v>
      </c>
      <c r="F1824" t="s">
        <v>4076</v>
      </c>
    </row>
    <row r="1825" spans="1:6" x14ac:dyDescent="0.25">
      <c r="A1825">
        <v>2323</v>
      </c>
      <c r="B1825" t="s">
        <v>4072</v>
      </c>
      <c r="C1825">
        <v>42</v>
      </c>
      <c r="D1825" t="s">
        <v>4082</v>
      </c>
      <c r="E1825" t="s">
        <v>4083</v>
      </c>
      <c r="F1825" t="s">
        <v>4079</v>
      </c>
    </row>
    <row r="1826" spans="1:6" x14ac:dyDescent="0.25">
      <c r="A1826">
        <v>2324</v>
      </c>
      <c r="B1826" t="s">
        <v>4072</v>
      </c>
      <c r="C1826">
        <v>2</v>
      </c>
      <c r="D1826" t="s">
        <v>4082</v>
      </c>
      <c r="E1826" t="s">
        <v>4083</v>
      </c>
      <c r="F1826" t="s">
        <v>4075</v>
      </c>
    </row>
    <row r="1827" spans="1:6" x14ac:dyDescent="0.25">
      <c r="A1827">
        <v>2324</v>
      </c>
      <c r="B1827" t="s">
        <v>4072</v>
      </c>
      <c r="C1827">
        <v>17</v>
      </c>
      <c r="D1827" t="s">
        <v>4082</v>
      </c>
      <c r="E1827" t="s">
        <v>4084</v>
      </c>
      <c r="F1827" t="s">
        <v>4076</v>
      </c>
    </row>
    <row r="1828" spans="1:6" x14ac:dyDescent="0.25">
      <c r="A1828">
        <v>2324</v>
      </c>
      <c r="B1828" t="s">
        <v>4072</v>
      </c>
      <c r="C1828">
        <v>42</v>
      </c>
      <c r="D1828" t="s">
        <v>4082</v>
      </c>
      <c r="E1828" t="s">
        <v>4083</v>
      </c>
      <c r="F1828" t="s">
        <v>4079</v>
      </c>
    </row>
    <row r="1829" spans="1:6" x14ac:dyDescent="0.25">
      <c r="A1829">
        <v>2325</v>
      </c>
      <c r="B1829" t="s">
        <v>4072</v>
      </c>
      <c r="C1829">
        <v>2</v>
      </c>
      <c r="D1829" t="s">
        <v>4082</v>
      </c>
      <c r="E1829" t="s">
        <v>4083</v>
      </c>
      <c r="F1829" t="s">
        <v>4075</v>
      </c>
    </row>
    <row r="1830" spans="1:6" x14ac:dyDescent="0.25">
      <c r="A1830">
        <v>2325</v>
      </c>
      <c r="B1830" t="s">
        <v>4072</v>
      </c>
      <c r="C1830">
        <v>17</v>
      </c>
      <c r="D1830" t="s">
        <v>4082</v>
      </c>
      <c r="E1830" t="s">
        <v>4084</v>
      </c>
      <c r="F1830" t="s">
        <v>4076</v>
      </c>
    </row>
    <row r="1831" spans="1:6" x14ac:dyDescent="0.25">
      <c r="A1831">
        <v>2325</v>
      </c>
      <c r="B1831" t="s">
        <v>4072</v>
      </c>
      <c r="C1831">
        <v>42</v>
      </c>
      <c r="D1831" t="s">
        <v>4082</v>
      </c>
      <c r="E1831" t="s">
        <v>4083</v>
      </c>
      <c r="F1831" t="s">
        <v>4079</v>
      </c>
    </row>
    <row r="1832" spans="1:6" x14ac:dyDescent="0.25">
      <c r="A1832">
        <v>2327</v>
      </c>
      <c r="B1832" t="s">
        <v>4072</v>
      </c>
      <c r="C1832">
        <v>2</v>
      </c>
      <c r="D1832" t="s">
        <v>4082</v>
      </c>
      <c r="E1832" t="s">
        <v>4083</v>
      </c>
      <c r="F1832" t="s">
        <v>4075</v>
      </c>
    </row>
    <row r="1833" spans="1:6" x14ac:dyDescent="0.25">
      <c r="A1833">
        <v>2327</v>
      </c>
      <c r="B1833" t="s">
        <v>4072</v>
      </c>
      <c r="C1833">
        <v>17</v>
      </c>
      <c r="D1833" t="s">
        <v>4082</v>
      </c>
      <c r="E1833" t="s">
        <v>4084</v>
      </c>
      <c r="F1833" t="s">
        <v>4076</v>
      </c>
    </row>
    <row r="1834" spans="1:6" x14ac:dyDescent="0.25">
      <c r="A1834">
        <v>2327</v>
      </c>
      <c r="B1834" t="s">
        <v>4072</v>
      </c>
      <c r="C1834">
        <v>42</v>
      </c>
      <c r="D1834" t="s">
        <v>4082</v>
      </c>
      <c r="E1834" t="s">
        <v>4083</v>
      </c>
      <c r="F1834" t="s">
        <v>4079</v>
      </c>
    </row>
    <row r="1835" spans="1:6" x14ac:dyDescent="0.25">
      <c r="A1835">
        <v>2328</v>
      </c>
      <c r="B1835" t="s">
        <v>4072</v>
      </c>
      <c r="C1835">
        <v>2</v>
      </c>
      <c r="D1835" t="s">
        <v>4082</v>
      </c>
      <c r="E1835" t="s">
        <v>4083</v>
      </c>
      <c r="F1835" t="s">
        <v>4075</v>
      </c>
    </row>
    <row r="1836" spans="1:6" x14ac:dyDescent="0.25">
      <c r="A1836">
        <v>2328</v>
      </c>
      <c r="B1836" t="s">
        <v>4072</v>
      </c>
      <c r="C1836">
        <v>17</v>
      </c>
      <c r="D1836" t="s">
        <v>4082</v>
      </c>
      <c r="E1836" t="s">
        <v>4084</v>
      </c>
      <c r="F1836" t="s">
        <v>4076</v>
      </c>
    </row>
    <row r="1837" spans="1:6" x14ac:dyDescent="0.25">
      <c r="A1837">
        <v>2328</v>
      </c>
      <c r="B1837" t="s">
        <v>4072</v>
      </c>
      <c r="C1837">
        <v>42</v>
      </c>
      <c r="D1837" t="s">
        <v>4082</v>
      </c>
      <c r="E1837" t="s">
        <v>4083</v>
      </c>
      <c r="F1837" t="s">
        <v>4079</v>
      </c>
    </row>
    <row r="1838" spans="1:6" x14ac:dyDescent="0.25">
      <c r="A1838">
        <v>2329</v>
      </c>
      <c r="B1838" t="s">
        <v>4072</v>
      </c>
      <c r="C1838">
        <v>5</v>
      </c>
      <c r="D1838" t="s">
        <v>4087</v>
      </c>
      <c r="E1838" t="s">
        <v>4088</v>
      </c>
      <c r="F1838" t="s">
        <v>4075</v>
      </c>
    </row>
    <row r="1839" spans="1:6" x14ac:dyDescent="0.25">
      <c r="A1839">
        <v>2329</v>
      </c>
      <c r="B1839" t="s">
        <v>4072</v>
      </c>
      <c r="C1839">
        <v>15</v>
      </c>
      <c r="D1839" t="s">
        <v>4080</v>
      </c>
      <c r="E1839" t="s">
        <v>4081</v>
      </c>
      <c r="F1839" t="s">
        <v>4076</v>
      </c>
    </row>
    <row r="1840" spans="1:6" x14ac:dyDescent="0.25">
      <c r="A1840">
        <v>2329</v>
      </c>
      <c r="B1840" t="s">
        <v>4072</v>
      </c>
      <c r="C1840">
        <v>40</v>
      </c>
      <c r="D1840" t="s">
        <v>4080</v>
      </c>
      <c r="E1840" t="s">
        <v>4081</v>
      </c>
      <c r="F1840" t="s">
        <v>4079</v>
      </c>
    </row>
    <row r="1841" spans="1:6" x14ac:dyDescent="0.25">
      <c r="A1841">
        <v>2330</v>
      </c>
      <c r="B1841" t="s">
        <v>4072</v>
      </c>
      <c r="C1841">
        <v>1</v>
      </c>
      <c r="D1841" t="s">
        <v>2761</v>
      </c>
      <c r="E1841" t="s">
        <v>4089</v>
      </c>
      <c r="F1841" t="s">
        <v>4075</v>
      </c>
    </row>
    <row r="1842" spans="1:6" x14ac:dyDescent="0.25">
      <c r="A1842">
        <v>2330</v>
      </c>
      <c r="B1842" t="s">
        <v>4072</v>
      </c>
      <c r="C1842">
        <v>17</v>
      </c>
      <c r="D1842" t="s">
        <v>4082</v>
      </c>
      <c r="E1842" t="s">
        <v>4084</v>
      </c>
      <c r="F1842" t="s">
        <v>4076</v>
      </c>
    </row>
    <row r="1843" spans="1:6" x14ac:dyDescent="0.25">
      <c r="A1843">
        <v>2330</v>
      </c>
      <c r="B1843" t="s">
        <v>4072</v>
      </c>
      <c r="C1843">
        <v>42</v>
      </c>
      <c r="D1843" t="s">
        <v>4082</v>
      </c>
      <c r="E1843" t="s">
        <v>4083</v>
      </c>
      <c r="F1843" t="s">
        <v>4079</v>
      </c>
    </row>
    <row r="1844" spans="1:6" x14ac:dyDescent="0.25">
      <c r="A1844">
        <v>2333</v>
      </c>
      <c r="B1844" t="s">
        <v>4072</v>
      </c>
      <c r="C1844">
        <v>2</v>
      </c>
      <c r="D1844" t="s">
        <v>4082</v>
      </c>
      <c r="E1844" t="s">
        <v>4083</v>
      </c>
      <c r="F1844" t="s">
        <v>4075</v>
      </c>
    </row>
    <row r="1845" spans="1:6" x14ac:dyDescent="0.25">
      <c r="A1845">
        <v>2333</v>
      </c>
      <c r="B1845" t="s">
        <v>4072</v>
      </c>
      <c r="C1845">
        <v>17</v>
      </c>
      <c r="D1845" t="s">
        <v>4082</v>
      </c>
      <c r="E1845" t="s">
        <v>4084</v>
      </c>
      <c r="F1845" t="s">
        <v>4076</v>
      </c>
    </row>
    <row r="1846" spans="1:6" x14ac:dyDescent="0.25">
      <c r="A1846">
        <v>2333</v>
      </c>
      <c r="B1846" t="s">
        <v>4072</v>
      </c>
      <c r="C1846">
        <v>42</v>
      </c>
      <c r="D1846" t="s">
        <v>4082</v>
      </c>
      <c r="E1846" t="s">
        <v>4083</v>
      </c>
      <c r="F1846" t="s">
        <v>4079</v>
      </c>
    </row>
    <row r="1847" spans="1:6" x14ac:dyDescent="0.25">
      <c r="A1847">
        <v>2337</v>
      </c>
      <c r="B1847" t="s">
        <v>4072</v>
      </c>
      <c r="C1847">
        <v>5</v>
      </c>
      <c r="D1847" t="s">
        <v>4087</v>
      </c>
      <c r="E1847" t="s">
        <v>4088</v>
      </c>
      <c r="F1847" t="s">
        <v>4075</v>
      </c>
    </row>
    <row r="1848" spans="1:6" x14ac:dyDescent="0.25">
      <c r="A1848">
        <v>2337</v>
      </c>
      <c r="B1848" t="s">
        <v>4072</v>
      </c>
      <c r="C1848">
        <v>15</v>
      </c>
      <c r="D1848" t="s">
        <v>4080</v>
      </c>
      <c r="E1848" t="s">
        <v>4081</v>
      </c>
      <c r="F1848" t="s">
        <v>4076</v>
      </c>
    </row>
    <row r="1849" spans="1:6" x14ac:dyDescent="0.25">
      <c r="A1849">
        <v>2337</v>
      </c>
      <c r="B1849" t="s">
        <v>4072</v>
      </c>
      <c r="C1849">
        <v>40</v>
      </c>
      <c r="D1849" t="s">
        <v>4080</v>
      </c>
      <c r="E1849" t="s">
        <v>4081</v>
      </c>
      <c r="F1849" t="s">
        <v>4079</v>
      </c>
    </row>
    <row r="1850" spans="1:6" x14ac:dyDescent="0.25">
      <c r="A1850">
        <v>2338</v>
      </c>
      <c r="B1850" t="s">
        <v>4072</v>
      </c>
      <c r="C1850">
        <v>2</v>
      </c>
      <c r="D1850" t="s">
        <v>4082</v>
      </c>
      <c r="E1850" t="s">
        <v>4083</v>
      </c>
      <c r="F1850" t="s">
        <v>4075</v>
      </c>
    </row>
    <row r="1851" spans="1:6" x14ac:dyDescent="0.25">
      <c r="A1851">
        <v>2338</v>
      </c>
      <c r="B1851" t="s">
        <v>4072</v>
      </c>
      <c r="C1851">
        <v>17</v>
      </c>
      <c r="D1851" t="s">
        <v>4082</v>
      </c>
      <c r="E1851" t="s">
        <v>4084</v>
      </c>
      <c r="F1851" t="s">
        <v>4076</v>
      </c>
    </row>
    <row r="1852" spans="1:6" x14ac:dyDescent="0.25">
      <c r="A1852">
        <v>2338</v>
      </c>
      <c r="B1852" t="s">
        <v>4072</v>
      </c>
      <c r="C1852">
        <v>42</v>
      </c>
      <c r="D1852" t="s">
        <v>4082</v>
      </c>
      <c r="E1852" t="s">
        <v>4083</v>
      </c>
      <c r="F1852" t="s">
        <v>4079</v>
      </c>
    </row>
    <row r="1853" spans="1:6" x14ac:dyDescent="0.25">
      <c r="A1853">
        <v>2339</v>
      </c>
      <c r="B1853" t="s">
        <v>4072</v>
      </c>
      <c r="C1853">
        <v>3</v>
      </c>
      <c r="D1853" t="s">
        <v>4085</v>
      </c>
      <c r="E1853" t="s">
        <v>4086</v>
      </c>
      <c r="F1853" t="s">
        <v>4075</v>
      </c>
    </row>
    <row r="1854" spans="1:6" x14ac:dyDescent="0.25">
      <c r="A1854">
        <v>2339</v>
      </c>
      <c r="B1854" t="s">
        <v>4072</v>
      </c>
      <c r="C1854">
        <v>15</v>
      </c>
      <c r="D1854" t="s">
        <v>4080</v>
      </c>
      <c r="E1854" t="s">
        <v>4081</v>
      </c>
      <c r="F1854" t="s">
        <v>4076</v>
      </c>
    </row>
    <row r="1855" spans="1:6" x14ac:dyDescent="0.25">
      <c r="A1855">
        <v>2339</v>
      </c>
      <c r="B1855" t="s">
        <v>4072</v>
      </c>
      <c r="C1855">
        <v>40</v>
      </c>
      <c r="D1855" t="s">
        <v>4080</v>
      </c>
      <c r="E1855" t="s">
        <v>4081</v>
      </c>
      <c r="F1855" t="s">
        <v>4079</v>
      </c>
    </row>
    <row r="1856" spans="1:6" x14ac:dyDescent="0.25">
      <c r="A1856">
        <v>2340</v>
      </c>
      <c r="B1856" t="s">
        <v>4072</v>
      </c>
      <c r="C1856">
        <v>5</v>
      </c>
      <c r="D1856" t="s">
        <v>4087</v>
      </c>
      <c r="E1856" t="s">
        <v>4088</v>
      </c>
      <c r="F1856" t="s">
        <v>4075</v>
      </c>
    </row>
    <row r="1857" spans="1:6" x14ac:dyDescent="0.25">
      <c r="A1857">
        <v>2340</v>
      </c>
      <c r="B1857" t="s">
        <v>4072</v>
      </c>
      <c r="C1857">
        <v>15</v>
      </c>
      <c r="D1857" t="s">
        <v>4080</v>
      </c>
      <c r="E1857" t="s">
        <v>4081</v>
      </c>
      <c r="F1857" t="s">
        <v>4076</v>
      </c>
    </row>
    <row r="1858" spans="1:6" x14ac:dyDescent="0.25">
      <c r="A1858">
        <v>2340</v>
      </c>
      <c r="B1858" t="s">
        <v>4072</v>
      </c>
      <c r="C1858">
        <v>40</v>
      </c>
      <c r="D1858" t="s">
        <v>4080</v>
      </c>
      <c r="E1858" t="s">
        <v>4081</v>
      </c>
      <c r="F1858" t="s">
        <v>4079</v>
      </c>
    </row>
    <row r="1859" spans="1:6" x14ac:dyDescent="0.25">
      <c r="A1859">
        <v>2341</v>
      </c>
      <c r="B1859" t="s">
        <v>4072</v>
      </c>
      <c r="C1859">
        <v>5</v>
      </c>
      <c r="D1859" t="s">
        <v>4087</v>
      </c>
      <c r="E1859" t="s">
        <v>4088</v>
      </c>
      <c r="F1859" t="s">
        <v>4075</v>
      </c>
    </row>
    <row r="1860" spans="1:6" x14ac:dyDescent="0.25">
      <c r="A1860">
        <v>2341</v>
      </c>
      <c r="B1860" t="s">
        <v>4072</v>
      </c>
      <c r="C1860">
        <v>15</v>
      </c>
      <c r="D1860" t="s">
        <v>4080</v>
      </c>
      <c r="E1860" t="s">
        <v>4081</v>
      </c>
      <c r="F1860" t="s">
        <v>4076</v>
      </c>
    </row>
    <row r="1861" spans="1:6" x14ac:dyDescent="0.25">
      <c r="A1861">
        <v>2341</v>
      </c>
      <c r="B1861" t="s">
        <v>4072</v>
      </c>
      <c r="C1861">
        <v>40</v>
      </c>
      <c r="D1861" t="s">
        <v>4080</v>
      </c>
      <c r="E1861" t="s">
        <v>4081</v>
      </c>
      <c r="F1861" t="s">
        <v>4079</v>
      </c>
    </row>
    <row r="1862" spans="1:6" x14ac:dyDescent="0.25">
      <c r="A1862">
        <v>2342</v>
      </c>
      <c r="B1862" t="s">
        <v>4072</v>
      </c>
      <c r="C1862">
        <v>2</v>
      </c>
      <c r="D1862" t="s">
        <v>4082</v>
      </c>
      <c r="E1862" t="s">
        <v>4083</v>
      </c>
      <c r="F1862" t="s">
        <v>4075</v>
      </c>
    </row>
    <row r="1863" spans="1:6" x14ac:dyDescent="0.25">
      <c r="A1863">
        <v>2342</v>
      </c>
      <c r="B1863" t="s">
        <v>4072</v>
      </c>
      <c r="C1863">
        <v>17</v>
      </c>
      <c r="D1863" t="s">
        <v>4082</v>
      </c>
      <c r="E1863" t="s">
        <v>4084</v>
      </c>
      <c r="F1863" t="s">
        <v>4076</v>
      </c>
    </row>
    <row r="1864" spans="1:6" x14ac:dyDescent="0.25">
      <c r="A1864">
        <v>2342</v>
      </c>
      <c r="B1864" t="s">
        <v>4072</v>
      </c>
      <c r="C1864">
        <v>42</v>
      </c>
      <c r="D1864" t="s">
        <v>4082</v>
      </c>
      <c r="E1864" t="s">
        <v>4083</v>
      </c>
      <c r="F1864" t="s">
        <v>4079</v>
      </c>
    </row>
    <row r="1865" spans="1:6" x14ac:dyDescent="0.25">
      <c r="A1865">
        <v>2343</v>
      </c>
      <c r="B1865" t="s">
        <v>4072</v>
      </c>
      <c r="C1865">
        <v>5</v>
      </c>
      <c r="D1865" t="s">
        <v>4087</v>
      </c>
      <c r="E1865" t="s">
        <v>4088</v>
      </c>
      <c r="F1865" t="s">
        <v>4075</v>
      </c>
    </row>
    <row r="1866" spans="1:6" x14ac:dyDescent="0.25">
      <c r="A1866">
        <v>2343</v>
      </c>
      <c r="B1866" t="s">
        <v>4072</v>
      </c>
      <c r="C1866">
        <v>15</v>
      </c>
      <c r="D1866" t="s">
        <v>4080</v>
      </c>
      <c r="E1866" t="s">
        <v>4081</v>
      </c>
      <c r="F1866" t="s">
        <v>4076</v>
      </c>
    </row>
    <row r="1867" spans="1:6" x14ac:dyDescent="0.25">
      <c r="A1867">
        <v>2343</v>
      </c>
      <c r="B1867" t="s">
        <v>4072</v>
      </c>
      <c r="C1867">
        <v>40</v>
      </c>
      <c r="D1867" t="s">
        <v>4080</v>
      </c>
      <c r="E1867" t="s">
        <v>4081</v>
      </c>
      <c r="F1867" t="s">
        <v>4079</v>
      </c>
    </row>
    <row r="1868" spans="1:6" x14ac:dyDescent="0.25">
      <c r="A1868">
        <v>2345</v>
      </c>
      <c r="B1868" t="s">
        <v>4072</v>
      </c>
      <c r="C1868">
        <v>19</v>
      </c>
      <c r="D1868" t="s">
        <v>4073</v>
      </c>
      <c r="E1868" t="s">
        <v>4074</v>
      </c>
      <c r="F1868" t="s">
        <v>4076</v>
      </c>
    </row>
    <row r="1869" spans="1:6" x14ac:dyDescent="0.25">
      <c r="A1869">
        <v>2345</v>
      </c>
      <c r="B1869" t="s">
        <v>4072</v>
      </c>
      <c r="C1869">
        <v>39</v>
      </c>
      <c r="D1869" t="s">
        <v>4073</v>
      </c>
      <c r="E1869" t="s">
        <v>4074</v>
      </c>
      <c r="F1869" t="s">
        <v>4079</v>
      </c>
    </row>
    <row r="1870" spans="1:6" x14ac:dyDescent="0.25">
      <c r="A1870">
        <v>2347</v>
      </c>
      <c r="B1870" t="s">
        <v>4092</v>
      </c>
      <c r="C1870">
        <v>24</v>
      </c>
      <c r="D1870" t="s">
        <v>2760</v>
      </c>
      <c r="E1870" t="s">
        <v>4108</v>
      </c>
      <c r="F1870" t="s">
        <v>4075</v>
      </c>
    </row>
    <row r="1871" spans="1:6" x14ac:dyDescent="0.25">
      <c r="A1871">
        <v>2347</v>
      </c>
      <c r="B1871" t="s">
        <v>4092</v>
      </c>
      <c r="C1871">
        <v>29</v>
      </c>
      <c r="D1871" t="s">
        <v>2760</v>
      </c>
      <c r="E1871" t="s">
        <v>4108</v>
      </c>
      <c r="F1871" t="s">
        <v>4076</v>
      </c>
    </row>
    <row r="1872" spans="1:6" x14ac:dyDescent="0.25">
      <c r="A1872">
        <v>2347</v>
      </c>
      <c r="B1872" t="s">
        <v>4092</v>
      </c>
      <c r="C1872">
        <v>49</v>
      </c>
      <c r="D1872" t="s">
        <v>2760</v>
      </c>
      <c r="E1872" t="s">
        <v>4108</v>
      </c>
      <c r="F1872" t="s">
        <v>4079</v>
      </c>
    </row>
    <row r="1873" spans="1:6" x14ac:dyDescent="0.25">
      <c r="A1873">
        <v>2349</v>
      </c>
      <c r="B1873" t="s">
        <v>4072</v>
      </c>
      <c r="C1873">
        <v>5</v>
      </c>
      <c r="D1873" t="s">
        <v>4087</v>
      </c>
      <c r="E1873" t="s">
        <v>4088</v>
      </c>
      <c r="F1873" t="s">
        <v>4075</v>
      </c>
    </row>
    <row r="1874" spans="1:6" x14ac:dyDescent="0.25">
      <c r="A1874">
        <v>2349</v>
      </c>
      <c r="B1874" t="s">
        <v>4072</v>
      </c>
      <c r="C1874">
        <v>15</v>
      </c>
      <c r="D1874" t="s">
        <v>4080</v>
      </c>
      <c r="E1874" t="s">
        <v>4081</v>
      </c>
      <c r="F1874" t="s">
        <v>4076</v>
      </c>
    </row>
    <row r="1875" spans="1:6" x14ac:dyDescent="0.25">
      <c r="A1875">
        <v>2349</v>
      </c>
      <c r="B1875" t="s">
        <v>4072</v>
      </c>
      <c r="C1875">
        <v>40</v>
      </c>
      <c r="D1875" t="s">
        <v>4080</v>
      </c>
      <c r="E1875" t="s">
        <v>4081</v>
      </c>
      <c r="F1875" t="s">
        <v>4079</v>
      </c>
    </row>
    <row r="1876" spans="1:6" x14ac:dyDescent="0.25">
      <c r="A1876">
        <v>2353</v>
      </c>
      <c r="B1876" t="s">
        <v>4072</v>
      </c>
      <c r="C1876">
        <v>2</v>
      </c>
      <c r="D1876" t="s">
        <v>4082</v>
      </c>
      <c r="E1876" t="s">
        <v>4083</v>
      </c>
      <c r="F1876" t="s">
        <v>4075</v>
      </c>
    </row>
    <row r="1877" spans="1:6" x14ac:dyDescent="0.25">
      <c r="A1877">
        <v>2353</v>
      </c>
      <c r="B1877" t="s">
        <v>4072</v>
      </c>
      <c r="C1877">
        <v>17</v>
      </c>
      <c r="D1877" t="s">
        <v>4082</v>
      </c>
      <c r="E1877" t="s">
        <v>4084</v>
      </c>
      <c r="F1877" t="s">
        <v>4076</v>
      </c>
    </row>
    <row r="1878" spans="1:6" x14ac:dyDescent="0.25">
      <c r="A1878">
        <v>2353</v>
      </c>
      <c r="B1878" t="s">
        <v>4072</v>
      </c>
      <c r="C1878">
        <v>42</v>
      </c>
      <c r="D1878" t="s">
        <v>4082</v>
      </c>
      <c r="E1878" t="s">
        <v>4083</v>
      </c>
      <c r="F1878" t="s">
        <v>4079</v>
      </c>
    </row>
    <row r="1879" spans="1:6" x14ac:dyDescent="0.25">
      <c r="A1879">
        <v>2354</v>
      </c>
      <c r="B1879" t="s">
        <v>4072</v>
      </c>
      <c r="C1879">
        <v>2</v>
      </c>
      <c r="D1879" t="s">
        <v>4082</v>
      </c>
      <c r="E1879" t="s">
        <v>4083</v>
      </c>
      <c r="F1879" t="s">
        <v>4075</v>
      </c>
    </row>
    <row r="1880" spans="1:6" x14ac:dyDescent="0.25">
      <c r="A1880">
        <v>2354</v>
      </c>
      <c r="B1880" t="s">
        <v>4072</v>
      </c>
      <c r="C1880">
        <v>17</v>
      </c>
      <c r="D1880" t="s">
        <v>4082</v>
      </c>
      <c r="E1880" t="s">
        <v>4084</v>
      </c>
      <c r="F1880" t="s">
        <v>4076</v>
      </c>
    </row>
    <row r="1881" spans="1:6" x14ac:dyDescent="0.25">
      <c r="A1881">
        <v>2354</v>
      </c>
      <c r="B1881" t="s">
        <v>4072</v>
      </c>
      <c r="C1881">
        <v>42</v>
      </c>
      <c r="D1881" t="s">
        <v>4082</v>
      </c>
      <c r="E1881" t="s">
        <v>4083</v>
      </c>
      <c r="F1881" t="s">
        <v>4079</v>
      </c>
    </row>
    <row r="1882" spans="1:6" x14ac:dyDescent="0.25">
      <c r="A1882">
        <v>2356</v>
      </c>
      <c r="B1882" t="s">
        <v>4072</v>
      </c>
      <c r="C1882">
        <v>2</v>
      </c>
      <c r="D1882" t="s">
        <v>4082</v>
      </c>
      <c r="E1882" t="s">
        <v>4083</v>
      </c>
      <c r="F1882" t="s">
        <v>4075</v>
      </c>
    </row>
    <row r="1883" spans="1:6" x14ac:dyDescent="0.25">
      <c r="A1883">
        <v>2356</v>
      </c>
      <c r="B1883" t="s">
        <v>4072</v>
      </c>
      <c r="C1883">
        <v>17</v>
      </c>
      <c r="D1883" t="s">
        <v>4082</v>
      </c>
      <c r="E1883" t="s">
        <v>4084</v>
      </c>
      <c r="F1883" t="s">
        <v>4076</v>
      </c>
    </row>
    <row r="1884" spans="1:6" x14ac:dyDescent="0.25">
      <c r="A1884">
        <v>2356</v>
      </c>
      <c r="B1884" t="s">
        <v>4072</v>
      </c>
      <c r="C1884">
        <v>42</v>
      </c>
      <c r="D1884" t="s">
        <v>4082</v>
      </c>
      <c r="E1884" t="s">
        <v>4083</v>
      </c>
      <c r="F1884" t="s">
        <v>4079</v>
      </c>
    </row>
    <row r="1885" spans="1:6" x14ac:dyDescent="0.25">
      <c r="A1885">
        <v>2357</v>
      </c>
      <c r="B1885" t="s">
        <v>4072</v>
      </c>
      <c r="C1885">
        <v>5</v>
      </c>
      <c r="D1885" t="s">
        <v>4087</v>
      </c>
      <c r="E1885" t="s">
        <v>4088</v>
      </c>
      <c r="F1885" t="s">
        <v>4075</v>
      </c>
    </row>
    <row r="1886" spans="1:6" x14ac:dyDescent="0.25">
      <c r="A1886">
        <v>2357</v>
      </c>
      <c r="B1886" t="s">
        <v>4072</v>
      </c>
      <c r="C1886">
        <v>15</v>
      </c>
      <c r="D1886" t="s">
        <v>4080</v>
      </c>
      <c r="E1886" t="s">
        <v>4081</v>
      </c>
      <c r="F1886" t="s">
        <v>4076</v>
      </c>
    </row>
    <row r="1887" spans="1:6" x14ac:dyDescent="0.25">
      <c r="A1887">
        <v>2357</v>
      </c>
      <c r="B1887" t="s">
        <v>4072</v>
      </c>
      <c r="C1887">
        <v>40</v>
      </c>
      <c r="D1887" t="s">
        <v>4080</v>
      </c>
      <c r="E1887" t="s">
        <v>4081</v>
      </c>
      <c r="F1887" t="s">
        <v>4079</v>
      </c>
    </row>
    <row r="1888" spans="1:6" x14ac:dyDescent="0.25">
      <c r="A1888">
        <v>2360</v>
      </c>
      <c r="B1888" t="s">
        <v>4072</v>
      </c>
      <c r="C1888">
        <v>5</v>
      </c>
      <c r="D1888" t="s">
        <v>4087</v>
      </c>
      <c r="E1888" t="s">
        <v>4088</v>
      </c>
      <c r="F1888" t="s">
        <v>4075</v>
      </c>
    </row>
    <row r="1889" spans="1:6" x14ac:dyDescent="0.25">
      <c r="A1889">
        <v>2360</v>
      </c>
      <c r="B1889" t="s">
        <v>4072</v>
      </c>
      <c r="C1889">
        <v>15</v>
      </c>
      <c r="D1889" t="s">
        <v>4080</v>
      </c>
      <c r="E1889" t="s">
        <v>4081</v>
      </c>
      <c r="F1889" t="s">
        <v>4076</v>
      </c>
    </row>
    <row r="1890" spans="1:6" x14ac:dyDescent="0.25">
      <c r="A1890">
        <v>2360</v>
      </c>
      <c r="B1890" t="s">
        <v>4072</v>
      </c>
      <c r="C1890">
        <v>40</v>
      </c>
      <c r="D1890" t="s">
        <v>4080</v>
      </c>
      <c r="E1890" t="s">
        <v>4081</v>
      </c>
      <c r="F1890" t="s">
        <v>4079</v>
      </c>
    </row>
    <row r="1891" spans="1:6" x14ac:dyDescent="0.25">
      <c r="A1891">
        <v>2361</v>
      </c>
      <c r="B1891" t="s">
        <v>4112</v>
      </c>
      <c r="C1891">
        <v>55</v>
      </c>
      <c r="D1891" t="s">
        <v>4113</v>
      </c>
      <c r="E1891" t="s">
        <v>4114</v>
      </c>
      <c r="F1891" t="s">
        <v>4079</v>
      </c>
    </row>
    <row r="1892" spans="1:6" x14ac:dyDescent="0.25">
      <c r="A1892">
        <v>2362</v>
      </c>
      <c r="B1892" t="s">
        <v>4072</v>
      </c>
      <c r="C1892">
        <v>2</v>
      </c>
      <c r="D1892" t="s">
        <v>4082</v>
      </c>
      <c r="E1892" t="s">
        <v>4083</v>
      </c>
      <c r="F1892" t="s">
        <v>4075</v>
      </c>
    </row>
    <row r="1893" spans="1:6" x14ac:dyDescent="0.25">
      <c r="A1893">
        <v>2362</v>
      </c>
      <c r="B1893" t="s">
        <v>4072</v>
      </c>
      <c r="C1893">
        <v>17</v>
      </c>
      <c r="D1893" t="s">
        <v>4082</v>
      </c>
      <c r="E1893" t="s">
        <v>4084</v>
      </c>
      <c r="F1893" t="s">
        <v>4076</v>
      </c>
    </row>
    <row r="1894" spans="1:6" x14ac:dyDescent="0.25">
      <c r="A1894">
        <v>2362</v>
      </c>
      <c r="B1894" t="s">
        <v>4072</v>
      </c>
      <c r="C1894">
        <v>42</v>
      </c>
      <c r="D1894" t="s">
        <v>4082</v>
      </c>
      <c r="E1894" t="s">
        <v>4083</v>
      </c>
      <c r="F1894" t="s">
        <v>4079</v>
      </c>
    </row>
    <row r="1895" spans="1:6" x14ac:dyDescent="0.25">
      <c r="A1895">
        <v>2364</v>
      </c>
      <c r="B1895" t="s">
        <v>4072</v>
      </c>
      <c r="C1895">
        <v>2</v>
      </c>
      <c r="D1895" t="s">
        <v>4082</v>
      </c>
      <c r="E1895" t="s">
        <v>4083</v>
      </c>
      <c r="F1895" t="s">
        <v>4075</v>
      </c>
    </row>
    <row r="1896" spans="1:6" x14ac:dyDescent="0.25">
      <c r="A1896">
        <v>2364</v>
      </c>
      <c r="B1896" t="s">
        <v>4072</v>
      </c>
      <c r="C1896">
        <v>17</v>
      </c>
      <c r="D1896" t="s">
        <v>4082</v>
      </c>
      <c r="E1896" t="s">
        <v>4084</v>
      </c>
      <c r="F1896" t="s">
        <v>4076</v>
      </c>
    </row>
    <row r="1897" spans="1:6" x14ac:dyDescent="0.25">
      <c r="A1897">
        <v>2364</v>
      </c>
      <c r="B1897" t="s">
        <v>4072</v>
      </c>
      <c r="C1897">
        <v>42</v>
      </c>
      <c r="D1897" t="s">
        <v>4082</v>
      </c>
      <c r="E1897" t="s">
        <v>4083</v>
      </c>
      <c r="F1897" t="s">
        <v>4079</v>
      </c>
    </row>
    <row r="1898" spans="1:6" x14ac:dyDescent="0.25">
      <c r="A1898">
        <v>2365</v>
      </c>
      <c r="B1898" t="s">
        <v>4072</v>
      </c>
      <c r="C1898">
        <v>2</v>
      </c>
      <c r="D1898" t="s">
        <v>4082</v>
      </c>
      <c r="E1898" t="s">
        <v>4083</v>
      </c>
      <c r="F1898" t="s">
        <v>4075</v>
      </c>
    </row>
    <row r="1899" spans="1:6" x14ac:dyDescent="0.25">
      <c r="A1899">
        <v>2365</v>
      </c>
      <c r="B1899" t="s">
        <v>4072</v>
      </c>
      <c r="C1899">
        <v>17</v>
      </c>
      <c r="D1899" t="s">
        <v>4082</v>
      </c>
      <c r="E1899" t="s">
        <v>4084</v>
      </c>
      <c r="F1899" t="s">
        <v>4076</v>
      </c>
    </row>
    <row r="1900" spans="1:6" x14ac:dyDescent="0.25">
      <c r="A1900">
        <v>2365</v>
      </c>
      <c r="B1900" t="s">
        <v>4072</v>
      </c>
      <c r="C1900">
        <v>42</v>
      </c>
      <c r="D1900" t="s">
        <v>4082</v>
      </c>
      <c r="E1900" t="s">
        <v>4083</v>
      </c>
      <c r="F1900" t="s">
        <v>4079</v>
      </c>
    </row>
    <row r="1901" spans="1:6" x14ac:dyDescent="0.25">
      <c r="A1901">
        <v>2366</v>
      </c>
      <c r="B1901" t="s">
        <v>4072</v>
      </c>
      <c r="C1901">
        <v>1</v>
      </c>
      <c r="D1901" t="s">
        <v>2761</v>
      </c>
      <c r="E1901" t="s">
        <v>4089</v>
      </c>
      <c r="F1901" t="s">
        <v>4075</v>
      </c>
    </row>
    <row r="1902" spans="1:6" x14ac:dyDescent="0.25">
      <c r="A1902">
        <v>2366</v>
      </c>
      <c r="B1902" t="s">
        <v>4072</v>
      </c>
      <c r="C1902">
        <v>38</v>
      </c>
      <c r="D1902" t="s">
        <v>2761</v>
      </c>
      <c r="E1902" t="s">
        <v>4089</v>
      </c>
      <c r="F1902" t="s">
        <v>4076</v>
      </c>
    </row>
    <row r="1903" spans="1:6" x14ac:dyDescent="0.25">
      <c r="A1903">
        <v>2366</v>
      </c>
      <c r="B1903" t="s">
        <v>4072</v>
      </c>
      <c r="C1903">
        <v>43</v>
      </c>
      <c r="D1903" t="s">
        <v>2761</v>
      </c>
      <c r="E1903" t="s">
        <v>4089</v>
      </c>
      <c r="F1903" t="s">
        <v>4079</v>
      </c>
    </row>
    <row r="1904" spans="1:6" x14ac:dyDescent="0.25">
      <c r="A1904">
        <v>2384</v>
      </c>
      <c r="B1904" t="s">
        <v>4072</v>
      </c>
      <c r="C1904">
        <v>3</v>
      </c>
      <c r="D1904" t="s">
        <v>4085</v>
      </c>
      <c r="E1904" t="s">
        <v>4086</v>
      </c>
      <c r="F1904" t="s">
        <v>4075</v>
      </c>
    </row>
    <row r="1905" spans="1:6" x14ac:dyDescent="0.25">
      <c r="A1905">
        <v>2384</v>
      </c>
      <c r="B1905" t="s">
        <v>4072</v>
      </c>
      <c r="C1905">
        <v>5</v>
      </c>
      <c r="D1905" t="s">
        <v>4087</v>
      </c>
      <c r="E1905" t="s">
        <v>4088</v>
      </c>
      <c r="F1905" t="s">
        <v>4075</v>
      </c>
    </row>
    <row r="1906" spans="1:6" x14ac:dyDescent="0.25">
      <c r="A1906">
        <v>2384</v>
      </c>
      <c r="B1906" t="s">
        <v>4072</v>
      </c>
      <c r="C1906">
        <v>15</v>
      </c>
      <c r="D1906" t="s">
        <v>4080</v>
      </c>
      <c r="E1906" t="s">
        <v>4081</v>
      </c>
      <c r="F1906" t="s">
        <v>4076</v>
      </c>
    </row>
    <row r="1907" spans="1:6" x14ac:dyDescent="0.25">
      <c r="A1907">
        <v>2385</v>
      </c>
      <c r="B1907" t="s">
        <v>4072</v>
      </c>
      <c r="C1907">
        <v>3</v>
      </c>
      <c r="D1907" t="s">
        <v>4085</v>
      </c>
      <c r="E1907" t="s">
        <v>4086</v>
      </c>
      <c r="F1907" t="s">
        <v>4075</v>
      </c>
    </row>
    <row r="1908" spans="1:6" x14ac:dyDescent="0.25">
      <c r="A1908">
        <v>2385</v>
      </c>
      <c r="B1908" t="s">
        <v>4072</v>
      </c>
      <c r="C1908">
        <v>5</v>
      </c>
      <c r="D1908" t="s">
        <v>4087</v>
      </c>
      <c r="E1908" t="s">
        <v>4088</v>
      </c>
      <c r="F1908" t="s">
        <v>4075</v>
      </c>
    </row>
    <row r="1909" spans="1:6" x14ac:dyDescent="0.25">
      <c r="A1909">
        <v>2385</v>
      </c>
      <c r="B1909" t="s">
        <v>4072</v>
      </c>
      <c r="C1909">
        <v>15</v>
      </c>
      <c r="D1909" t="s">
        <v>4080</v>
      </c>
      <c r="E1909" t="s">
        <v>4081</v>
      </c>
      <c r="F1909" t="s">
        <v>4076</v>
      </c>
    </row>
    <row r="1910" spans="1:6" x14ac:dyDescent="0.25">
      <c r="A1910">
        <v>2406</v>
      </c>
      <c r="B1910" t="s">
        <v>4072</v>
      </c>
      <c r="C1910">
        <v>14</v>
      </c>
      <c r="D1910" t="s">
        <v>4090</v>
      </c>
      <c r="E1910" t="s">
        <v>4091</v>
      </c>
      <c r="F1910" t="s">
        <v>4076</v>
      </c>
    </row>
    <row r="1911" spans="1:6" x14ac:dyDescent="0.25">
      <c r="A1911">
        <v>2406</v>
      </c>
      <c r="B1911" t="s">
        <v>4072</v>
      </c>
      <c r="C1911">
        <v>41</v>
      </c>
      <c r="D1911" t="s">
        <v>4090</v>
      </c>
      <c r="E1911" t="s">
        <v>4091</v>
      </c>
      <c r="F1911" t="s">
        <v>4079</v>
      </c>
    </row>
    <row r="1912" spans="1:6" x14ac:dyDescent="0.25">
      <c r="A1912">
        <v>2407</v>
      </c>
      <c r="B1912" t="s">
        <v>4072</v>
      </c>
      <c r="C1912">
        <v>14</v>
      </c>
      <c r="D1912" t="s">
        <v>4090</v>
      </c>
      <c r="E1912" t="s">
        <v>4091</v>
      </c>
      <c r="F1912" t="s">
        <v>4076</v>
      </c>
    </row>
    <row r="1913" spans="1:6" x14ac:dyDescent="0.25">
      <c r="A1913">
        <v>2407</v>
      </c>
      <c r="B1913" t="s">
        <v>4072</v>
      </c>
      <c r="C1913">
        <v>41</v>
      </c>
      <c r="D1913" t="s">
        <v>4090</v>
      </c>
      <c r="E1913" t="s">
        <v>4091</v>
      </c>
      <c r="F1913" t="s">
        <v>4079</v>
      </c>
    </row>
    <row r="1914" spans="1:6" x14ac:dyDescent="0.25">
      <c r="A1914">
        <v>2410</v>
      </c>
      <c r="B1914" t="s">
        <v>4072</v>
      </c>
      <c r="C1914">
        <v>13</v>
      </c>
      <c r="D1914" t="s">
        <v>4097</v>
      </c>
      <c r="E1914" t="s">
        <v>4098</v>
      </c>
      <c r="F1914" t="s">
        <v>4076</v>
      </c>
    </row>
    <row r="1915" spans="1:6" x14ac:dyDescent="0.25">
      <c r="A1915">
        <v>2410</v>
      </c>
      <c r="B1915" t="s">
        <v>4072</v>
      </c>
      <c r="C1915">
        <v>46</v>
      </c>
      <c r="D1915" t="s">
        <v>4099</v>
      </c>
      <c r="E1915" t="s">
        <v>4100</v>
      </c>
      <c r="F1915" t="s">
        <v>4079</v>
      </c>
    </row>
    <row r="1916" spans="1:6" x14ac:dyDescent="0.25">
      <c r="A1916">
        <v>2411</v>
      </c>
      <c r="B1916" t="s">
        <v>4072</v>
      </c>
      <c r="C1916">
        <v>13</v>
      </c>
      <c r="D1916" t="s">
        <v>4097</v>
      </c>
      <c r="E1916" t="s">
        <v>4098</v>
      </c>
      <c r="F1916" t="s">
        <v>4076</v>
      </c>
    </row>
    <row r="1917" spans="1:6" x14ac:dyDescent="0.25">
      <c r="A1917">
        <v>2411</v>
      </c>
      <c r="B1917" t="s">
        <v>4072</v>
      </c>
      <c r="C1917">
        <v>46</v>
      </c>
      <c r="D1917" t="s">
        <v>4099</v>
      </c>
      <c r="E1917" t="s">
        <v>4100</v>
      </c>
      <c r="F1917" t="s">
        <v>4079</v>
      </c>
    </row>
    <row r="1918" spans="1:6" x14ac:dyDescent="0.25">
      <c r="A1918">
        <v>2412</v>
      </c>
      <c r="B1918" t="s">
        <v>4072</v>
      </c>
      <c r="C1918">
        <v>13</v>
      </c>
      <c r="D1918" t="s">
        <v>4097</v>
      </c>
      <c r="E1918" t="s">
        <v>4098</v>
      </c>
      <c r="F1918" t="s">
        <v>4076</v>
      </c>
    </row>
    <row r="1919" spans="1:6" x14ac:dyDescent="0.25">
      <c r="A1919">
        <v>2412</v>
      </c>
      <c r="B1919" t="s">
        <v>4072</v>
      </c>
      <c r="C1919">
        <v>46</v>
      </c>
      <c r="D1919" t="s">
        <v>4099</v>
      </c>
      <c r="E1919" t="s">
        <v>4100</v>
      </c>
      <c r="F1919" t="s">
        <v>4079</v>
      </c>
    </row>
    <row r="1920" spans="1:6" x14ac:dyDescent="0.25">
      <c r="A1920">
        <v>2415</v>
      </c>
      <c r="B1920" t="s">
        <v>4092</v>
      </c>
      <c r="C1920">
        <v>23</v>
      </c>
      <c r="D1920" t="s">
        <v>2757</v>
      </c>
      <c r="E1920" t="s">
        <v>4093</v>
      </c>
      <c r="F1920" t="s">
        <v>4075</v>
      </c>
    </row>
    <row r="1921" spans="1:6" x14ac:dyDescent="0.25">
      <c r="A1921">
        <v>2415</v>
      </c>
      <c r="B1921" t="s">
        <v>4092</v>
      </c>
      <c r="C1921">
        <v>28</v>
      </c>
      <c r="D1921" t="s">
        <v>2757</v>
      </c>
      <c r="E1921" t="s">
        <v>4093</v>
      </c>
      <c r="F1921" t="s">
        <v>4076</v>
      </c>
    </row>
    <row r="1922" spans="1:6" x14ac:dyDescent="0.25">
      <c r="A1922">
        <v>2416</v>
      </c>
      <c r="B1922" t="s">
        <v>4092</v>
      </c>
      <c r="C1922">
        <v>33</v>
      </c>
      <c r="D1922" t="s">
        <v>4109</v>
      </c>
      <c r="E1922" t="s">
        <v>4110</v>
      </c>
      <c r="F1922" t="s">
        <v>4075</v>
      </c>
    </row>
    <row r="1923" spans="1:6" x14ac:dyDescent="0.25">
      <c r="A1923">
        <v>2416</v>
      </c>
      <c r="B1923" t="s">
        <v>4092</v>
      </c>
      <c r="C1923">
        <v>34</v>
      </c>
      <c r="D1923" t="s">
        <v>4109</v>
      </c>
      <c r="E1923" t="s">
        <v>4110</v>
      </c>
      <c r="F1923" t="s">
        <v>4076</v>
      </c>
    </row>
    <row r="1924" spans="1:6" x14ac:dyDescent="0.25">
      <c r="A1924">
        <v>2418</v>
      </c>
      <c r="B1924" t="s">
        <v>4072</v>
      </c>
      <c r="C1924">
        <v>4</v>
      </c>
      <c r="D1924" t="s">
        <v>4077</v>
      </c>
      <c r="E1924" t="s">
        <v>4078</v>
      </c>
      <c r="F1924" t="s">
        <v>4075</v>
      </c>
    </row>
    <row r="1925" spans="1:6" x14ac:dyDescent="0.25">
      <c r="A1925">
        <v>2418</v>
      </c>
      <c r="B1925" t="s">
        <v>4072</v>
      </c>
      <c r="C1925">
        <v>16</v>
      </c>
      <c r="D1925" t="s">
        <v>4077</v>
      </c>
      <c r="E1925" t="s">
        <v>4078</v>
      </c>
      <c r="F1925" t="s">
        <v>4076</v>
      </c>
    </row>
    <row r="1926" spans="1:6" x14ac:dyDescent="0.25">
      <c r="A1926">
        <v>2418</v>
      </c>
      <c r="B1926" t="s">
        <v>4072</v>
      </c>
      <c r="C1926">
        <v>44</v>
      </c>
      <c r="D1926" t="s">
        <v>4077</v>
      </c>
      <c r="E1926" t="s">
        <v>4078</v>
      </c>
      <c r="F1926" t="s">
        <v>4079</v>
      </c>
    </row>
    <row r="1927" spans="1:6" x14ac:dyDescent="0.25">
      <c r="A1927">
        <v>2420</v>
      </c>
      <c r="B1927" t="s">
        <v>4072</v>
      </c>
      <c r="C1927">
        <v>5</v>
      </c>
      <c r="D1927" t="s">
        <v>4087</v>
      </c>
      <c r="E1927" t="s">
        <v>4088</v>
      </c>
      <c r="F1927" t="s">
        <v>4075</v>
      </c>
    </row>
    <row r="1928" spans="1:6" x14ac:dyDescent="0.25">
      <c r="A1928">
        <v>2420</v>
      </c>
      <c r="B1928" t="s">
        <v>4072</v>
      </c>
      <c r="C1928">
        <v>15</v>
      </c>
      <c r="D1928" t="s">
        <v>4080</v>
      </c>
      <c r="E1928" t="s">
        <v>4081</v>
      </c>
      <c r="F1928" t="s">
        <v>4076</v>
      </c>
    </row>
    <row r="1929" spans="1:6" x14ac:dyDescent="0.25">
      <c r="A1929">
        <v>2420</v>
      </c>
      <c r="B1929" t="s">
        <v>4072</v>
      </c>
      <c r="C1929">
        <v>40</v>
      </c>
      <c r="D1929" t="s">
        <v>4080</v>
      </c>
      <c r="E1929" t="s">
        <v>4081</v>
      </c>
      <c r="F1929" t="s">
        <v>4079</v>
      </c>
    </row>
    <row r="1930" spans="1:6" x14ac:dyDescent="0.25">
      <c r="A1930">
        <v>2423</v>
      </c>
      <c r="B1930" t="s">
        <v>4072</v>
      </c>
      <c r="C1930">
        <v>12</v>
      </c>
      <c r="D1930" t="s">
        <v>2159</v>
      </c>
      <c r="E1930" t="s">
        <v>4094</v>
      </c>
      <c r="F1930" t="s">
        <v>4076</v>
      </c>
    </row>
    <row r="1931" spans="1:6" x14ac:dyDescent="0.25">
      <c r="A1931">
        <v>2423</v>
      </c>
      <c r="B1931" t="s">
        <v>4072</v>
      </c>
      <c r="C1931">
        <v>13</v>
      </c>
      <c r="D1931" t="s">
        <v>4097</v>
      </c>
      <c r="E1931" t="s">
        <v>4098</v>
      </c>
      <c r="F1931" t="s">
        <v>4076</v>
      </c>
    </row>
    <row r="1932" spans="1:6" x14ac:dyDescent="0.25">
      <c r="A1932">
        <v>2423</v>
      </c>
      <c r="B1932" t="s">
        <v>4072</v>
      </c>
      <c r="C1932">
        <v>14</v>
      </c>
      <c r="D1932" t="s">
        <v>4090</v>
      </c>
      <c r="E1932" t="s">
        <v>4091</v>
      </c>
      <c r="F1932" t="s">
        <v>4076</v>
      </c>
    </row>
    <row r="1933" spans="1:6" x14ac:dyDescent="0.25">
      <c r="A1933">
        <v>2423</v>
      </c>
      <c r="B1933" t="s">
        <v>4072</v>
      </c>
      <c r="C1933">
        <v>41</v>
      </c>
      <c r="D1933" t="s">
        <v>4090</v>
      </c>
      <c r="E1933" t="s">
        <v>4091</v>
      </c>
      <c r="F1933" t="s">
        <v>4079</v>
      </c>
    </row>
    <row r="1934" spans="1:6" x14ac:dyDescent="0.25">
      <c r="A1934">
        <v>2423</v>
      </c>
      <c r="B1934" t="s">
        <v>4072</v>
      </c>
      <c r="C1934">
        <v>45</v>
      </c>
      <c r="D1934" t="s">
        <v>2159</v>
      </c>
      <c r="E1934" t="s">
        <v>4094</v>
      </c>
      <c r="F1934" t="s">
        <v>4079</v>
      </c>
    </row>
    <row r="1935" spans="1:6" x14ac:dyDescent="0.25">
      <c r="A1935">
        <v>2423</v>
      </c>
      <c r="B1935" t="s">
        <v>4072</v>
      </c>
      <c r="C1935">
        <v>46</v>
      </c>
      <c r="D1935" t="s">
        <v>4099</v>
      </c>
      <c r="E1935" t="s">
        <v>4100</v>
      </c>
      <c r="F1935" t="s">
        <v>4079</v>
      </c>
    </row>
    <row r="1936" spans="1:6" x14ac:dyDescent="0.25">
      <c r="A1936">
        <v>2424</v>
      </c>
      <c r="B1936" t="s">
        <v>4072</v>
      </c>
      <c r="C1936">
        <v>13</v>
      </c>
      <c r="D1936" t="s">
        <v>4097</v>
      </c>
      <c r="E1936" t="s">
        <v>4098</v>
      </c>
      <c r="F1936" t="s">
        <v>4076</v>
      </c>
    </row>
    <row r="1937" spans="1:6" x14ac:dyDescent="0.25">
      <c r="A1937">
        <v>2424</v>
      </c>
      <c r="B1937" t="s">
        <v>4072</v>
      </c>
      <c r="C1937">
        <v>46</v>
      </c>
      <c r="D1937" t="s">
        <v>4099</v>
      </c>
      <c r="E1937" t="s">
        <v>4100</v>
      </c>
      <c r="F1937" t="s">
        <v>4079</v>
      </c>
    </row>
    <row r="1938" spans="1:6" x14ac:dyDescent="0.25">
      <c r="A1938">
        <v>2425</v>
      </c>
      <c r="B1938" t="s">
        <v>4072</v>
      </c>
      <c r="C1938">
        <v>14</v>
      </c>
      <c r="D1938" t="s">
        <v>4090</v>
      </c>
      <c r="E1938" t="s">
        <v>4091</v>
      </c>
      <c r="F1938" t="s">
        <v>4076</v>
      </c>
    </row>
    <row r="1939" spans="1:6" x14ac:dyDescent="0.25">
      <c r="A1939">
        <v>2425</v>
      </c>
      <c r="B1939" t="s">
        <v>4072</v>
      </c>
      <c r="C1939">
        <v>41</v>
      </c>
      <c r="D1939" t="s">
        <v>4090</v>
      </c>
      <c r="E1939" t="s">
        <v>4091</v>
      </c>
      <c r="F1939" t="s">
        <v>4079</v>
      </c>
    </row>
    <row r="1940" spans="1:6" x14ac:dyDescent="0.25">
      <c r="A1940">
        <v>2426</v>
      </c>
      <c r="B1940" t="s">
        <v>4072</v>
      </c>
      <c r="C1940">
        <v>13</v>
      </c>
      <c r="D1940" t="s">
        <v>4097</v>
      </c>
      <c r="E1940" t="s">
        <v>4098</v>
      </c>
      <c r="F1940" t="s">
        <v>4076</v>
      </c>
    </row>
    <row r="1941" spans="1:6" x14ac:dyDescent="0.25">
      <c r="A1941">
        <v>2426</v>
      </c>
      <c r="B1941" t="s">
        <v>4072</v>
      </c>
      <c r="C1941">
        <v>14</v>
      </c>
      <c r="D1941" t="s">
        <v>4090</v>
      </c>
      <c r="E1941" t="s">
        <v>4091</v>
      </c>
      <c r="F1941" t="s">
        <v>4076</v>
      </c>
    </row>
    <row r="1942" spans="1:6" x14ac:dyDescent="0.25">
      <c r="A1942">
        <v>2426</v>
      </c>
      <c r="B1942" t="s">
        <v>4072</v>
      </c>
      <c r="C1942">
        <v>41</v>
      </c>
      <c r="D1942" t="s">
        <v>4090</v>
      </c>
      <c r="E1942" t="s">
        <v>4091</v>
      </c>
      <c r="F1942" t="s">
        <v>4079</v>
      </c>
    </row>
    <row r="1943" spans="1:6" x14ac:dyDescent="0.25">
      <c r="A1943">
        <v>2426</v>
      </c>
      <c r="B1943" t="s">
        <v>4072</v>
      </c>
      <c r="C1943">
        <v>46</v>
      </c>
      <c r="D1943" t="s">
        <v>4099</v>
      </c>
      <c r="E1943" t="s">
        <v>4100</v>
      </c>
      <c r="F1943" t="s">
        <v>4079</v>
      </c>
    </row>
    <row r="1944" spans="1:6" x14ac:dyDescent="0.25">
      <c r="A1944">
        <v>2427</v>
      </c>
      <c r="B1944" t="s">
        <v>4072</v>
      </c>
      <c r="C1944">
        <v>14</v>
      </c>
      <c r="D1944" t="s">
        <v>4090</v>
      </c>
      <c r="E1944" t="s">
        <v>4091</v>
      </c>
      <c r="F1944" t="s">
        <v>4076</v>
      </c>
    </row>
    <row r="1945" spans="1:6" x14ac:dyDescent="0.25">
      <c r="A1945">
        <v>2427</v>
      </c>
      <c r="B1945" t="s">
        <v>4072</v>
      </c>
      <c r="C1945">
        <v>41</v>
      </c>
      <c r="D1945" t="s">
        <v>4090</v>
      </c>
      <c r="E1945" t="s">
        <v>4091</v>
      </c>
      <c r="F1945" t="s">
        <v>4079</v>
      </c>
    </row>
    <row r="1946" spans="1:6" x14ac:dyDescent="0.25">
      <c r="A1946">
        <v>2429</v>
      </c>
      <c r="B1946" t="s">
        <v>4072</v>
      </c>
      <c r="C1946">
        <v>13</v>
      </c>
      <c r="D1946" t="s">
        <v>4097</v>
      </c>
      <c r="E1946" t="s">
        <v>4098</v>
      </c>
      <c r="F1946" t="s">
        <v>4076</v>
      </c>
    </row>
    <row r="1947" spans="1:6" x14ac:dyDescent="0.25">
      <c r="A1947">
        <v>2429</v>
      </c>
      <c r="B1947" t="s">
        <v>4072</v>
      </c>
      <c r="C1947">
        <v>46</v>
      </c>
      <c r="D1947" t="s">
        <v>4099</v>
      </c>
      <c r="E1947" t="s">
        <v>4100</v>
      </c>
      <c r="F1947" t="s">
        <v>4079</v>
      </c>
    </row>
    <row r="1948" spans="1:6" x14ac:dyDescent="0.25">
      <c r="A1948">
        <v>2431</v>
      </c>
      <c r="B1948" t="s">
        <v>4072</v>
      </c>
      <c r="C1948">
        <v>14</v>
      </c>
      <c r="D1948" t="s">
        <v>4090</v>
      </c>
      <c r="E1948" t="s">
        <v>4091</v>
      </c>
      <c r="F1948" t="s">
        <v>4076</v>
      </c>
    </row>
    <row r="1949" spans="1:6" x14ac:dyDescent="0.25">
      <c r="A1949">
        <v>2431</v>
      </c>
      <c r="B1949" t="s">
        <v>4072</v>
      </c>
      <c r="C1949">
        <v>41</v>
      </c>
      <c r="D1949" t="s">
        <v>4090</v>
      </c>
      <c r="E1949" t="s">
        <v>4091</v>
      </c>
      <c r="F1949" t="s">
        <v>4079</v>
      </c>
    </row>
    <row r="1950" spans="1:6" x14ac:dyDescent="0.25">
      <c r="A1950">
        <v>2432</v>
      </c>
      <c r="B1950" t="s">
        <v>4072</v>
      </c>
      <c r="C1950">
        <v>6</v>
      </c>
      <c r="D1950" t="s">
        <v>4073</v>
      </c>
      <c r="E1950" t="s">
        <v>4074</v>
      </c>
      <c r="F1950" t="s">
        <v>4075</v>
      </c>
    </row>
    <row r="1951" spans="1:6" x14ac:dyDescent="0.25">
      <c r="A1951">
        <v>2432</v>
      </c>
      <c r="B1951" t="s">
        <v>4072</v>
      </c>
      <c r="C1951">
        <v>19</v>
      </c>
      <c r="D1951" t="s">
        <v>4073</v>
      </c>
      <c r="E1951" t="s">
        <v>4074</v>
      </c>
      <c r="F1951" t="s">
        <v>4076</v>
      </c>
    </row>
    <row r="1952" spans="1:6" x14ac:dyDescent="0.25">
      <c r="A1952">
        <v>2437</v>
      </c>
      <c r="B1952" t="s">
        <v>4092</v>
      </c>
      <c r="C1952">
        <v>27</v>
      </c>
      <c r="D1952" t="s">
        <v>4104</v>
      </c>
      <c r="E1952" t="s">
        <v>4105</v>
      </c>
      <c r="F1952" t="s">
        <v>4076</v>
      </c>
    </row>
    <row r="1953" spans="1:6" x14ac:dyDescent="0.25">
      <c r="A1953">
        <v>2437</v>
      </c>
      <c r="B1953" t="s">
        <v>4092</v>
      </c>
      <c r="C1953">
        <v>28</v>
      </c>
      <c r="D1953" t="s">
        <v>2757</v>
      </c>
      <c r="E1953" t="s">
        <v>4093</v>
      </c>
      <c r="F1953" t="s">
        <v>4076</v>
      </c>
    </row>
    <row r="1954" spans="1:6" x14ac:dyDescent="0.25">
      <c r="A1954">
        <v>2437</v>
      </c>
      <c r="B1954" t="s">
        <v>4092</v>
      </c>
      <c r="C1954">
        <v>47</v>
      </c>
      <c r="D1954" t="s">
        <v>4104</v>
      </c>
      <c r="E1954" t="s">
        <v>4105</v>
      </c>
      <c r="F1954" t="s">
        <v>4079</v>
      </c>
    </row>
    <row r="1955" spans="1:6" x14ac:dyDescent="0.25">
      <c r="A1955">
        <v>2437</v>
      </c>
      <c r="B1955" t="s">
        <v>4092</v>
      </c>
      <c r="C1955">
        <v>48</v>
      </c>
      <c r="D1955" t="s">
        <v>2757</v>
      </c>
      <c r="E1955" t="s">
        <v>4093</v>
      </c>
      <c r="F1955" t="s">
        <v>4079</v>
      </c>
    </row>
    <row r="1956" spans="1:6" x14ac:dyDescent="0.25">
      <c r="A1956">
        <v>2438</v>
      </c>
      <c r="B1956" t="s">
        <v>4072</v>
      </c>
      <c r="C1956">
        <v>5</v>
      </c>
      <c r="D1956" t="s">
        <v>4087</v>
      </c>
      <c r="E1956" t="s">
        <v>4088</v>
      </c>
      <c r="F1956" t="s">
        <v>4075</v>
      </c>
    </row>
    <row r="1957" spans="1:6" x14ac:dyDescent="0.25">
      <c r="A1957">
        <v>2439</v>
      </c>
      <c r="B1957" t="s">
        <v>4072</v>
      </c>
      <c r="C1957">
        <v>6</v>
      </c>
      <c r="D1957" t="s">
        <v>4073</v>
      </c>
      <c r="E1957" t="s">
        <v>4074</v>
      </c>
      <c r="F1957" t="s">
        <v>4075</v>
      </c>
    </row>
    <row r="1958" spans="1:6" x14ac:dyDescent="0.25">
      <c r="A1958">
        <v>2439</v>
      </c>
      <c r="B1958" t="s">
        <v>4072</v>
      </c>
      <c r="C1958">
        <v>19</v>
      </c>
      <c r="D1958" t="s">
        <v>4073</v>
      </c>
      <c r="E1958" t="s">
        <v>4074</v>
      </c>
      <c r="F1958" t="s">
        <v>4076</v>
      </c>
    </row>
    <row r="1959" spans="1:6" x14ac:dyDescent="0.25">
      <c r="A1959">
        <v>2443</v>
      </c>
      <c r="B1959" t="s">
        <v>4072</v>
      </c>
      <c r="C1959">
        <v>5</v>
      </c>
      <c r="D1959" t="s">
        <v>4087</v>
      </c>
      <c r="E1959" t="s">
        <v>4088</v>
      </c>
      <c r="F1959" t="s">
        <v>4075</v>
      </c>
    </row>
    <row r="1960" spans="1:6" x14ac:dyDescent="0.25">
      <c r="A1960">
        <v>2443</v>
      </c>
      <c r="B1960" t="s">
        <v>4072</v>
      </c>
      <c r="C1960">
        <v>15</v>
      </c>
      <c r="D1960" t="s">
        <v>4080</v>
      </c>
      <c r="E1960" t="s">
        <v>4081</v>
      </c>
      <c r="F1960" t="s">
        <v>4076</v>
      </c>
    </row>
    <row r="1961" spans="1:6" x14ac:dyDescent="0.25">
      <c r="A1961">
        <v>2444</v>
      </c>
      <c r="B1961" t="s">
        <v>4072</v>
      </c>
      <c r="C1961">
        <v>5</v>
      </c>
      <c r="D1961" t="s">
        <v>4087</v>
      </c>
      <c r="E1961" t="s">
        <v>4088</v>
      </c>
      <c r="F1961" t="s">
        <v>4075</v>
      </c>
    </row>
    <row r="1962" spans="1:6" x14ac:dyDescent="0.25">
      <c r="A1962">
        <v>2444</v>
      </c>
      <c r="B1962" t="s">
        <v>4072</v>
      </c>
      <c r="C1962">
        <v>15</v>
      </c>
      <c r="D1962" t="s">
        <v>4080</v>
      </c>
      <c r="E1962" t="s">
        <v>4081</v>
      </c>
      <c r="F1962" t="s">
        <v>4076</v>
      </c>
    </row>
    <row r="1963" spans="1:6" x14ac:dyDescent="0.25">
      <c r="A1963">
        <v>2445</v>
      </c>
      <c r="B1963" t="s">
        <v>4072</v>
      </c>
      <c r="C1963">
        <v>19</v>
      </c>
      <c r="D1963" t="s">
        <v>4073</v>
      </c>
      <c r="E1963" t="s">
        <v>4074</v>
      </c>
      <c r="F1963" t="s">
        <v>4076</v>
      </c>
    </row>
    <row r="1964" spans="1:6" x14ac:dyDescent="0.25">
      <c r="A1964">
        <v>2446</v>
      </c>
      <c r="B1964" t="s">
        <v>4072</v>
      </c>
      <c r="C1964">
        <v>6</v>
      </c>
      <c r="D1964" t="s">
        <v>4073</v>
      </c>
      <c r="E1964" t="s">
        <v>4074</v>
      </c>
      <c r="F1964" t="s">
        <v>4075</v>
      </c>
    </row>
    <row r="1965" spans="1:6" x14ac:dyDescent="0.25">
      <c r="A1965">
        <v>2446</v>
      </c>
      <c r="B1965" t="s">
        <v>4072</v>
      </c>
      <c r="C1965">
        <v>19</v>
      </c>
      <c r="D1965" t="s">
        <v>4073</v>
      </c>
      <c r="E1965" t="s">
        <v>4074</v>
      </c>
      <c r="F1965" t="s">
        <v>4076</v>
      </c>
    </row>
    <row r="1966" spans="1:6" x14ac:dyDescent="0.25">
      <c r="A1966">
        <v>2452</v>
      </c>
      <c r="B1966" t="s">
        <v>4072</v>
      </c>
      <c r="C1966">
        <v>6</v>
      </c>
      <c r="D1966" t="s">
        <v>4073</v>
      </c>
      <c r="E1966" t="s">
        <v>4074</v>
      </c>
      <c r="F1966" t="s">
        <v>4075</v>
      </c>
    </row>
    <row r="1967" spans="1:6" x14ac:dyDescent="0.25">
      <c r="A1967">
        <v>2452</v>
      </c>
      <c r="B1967" t="s">
        <v>4072</v>
      </c>
      <c r="C1967">
        <v>19</v>
      </c>
      <c r="D1967" t="s">
        <v>4073</v>
      </c>
      <c r="E1967" t="s">
        <v>4074</v>
      </c>
      <c r="F1967" t="s">
        <v>4076</v>
      </c>
    </row>
    <row r="1968" spans="1:6" x14ac:dyDescent="0.25">
      <c r="A1968">
        <v>2452</v>
      </c>
      <c r="B1968" t="s">
        <v>4072</v>
      </c>
      <c r="C1968">
        <v>39</v>
      </c>
      <c r="D1968" t="s">
        <v>4073</v>
      </c>
      <c r="E1968" t="s">
        <v>4074</v>
      </c>
      <c r="F1968" t="s">
        <v>4079</v>
      </c>
    </row>
    <row r="1969" spans="1:6" x14ac:dyDescent="0.25">
      <c r="A1969">
        <v>2460</v>
      </c>
      <c r="B1969" t="s">
        <v>4072</v>
      </c>
      <c r="C1969">
        <v>5</v>
      </c>
      <c r="D1969" t="s">
        <v>4087</v>
      </c>
      <c r="E1969" t="s">
        <v>4088</v>
      </c>
      <c r="F1969" t="s">
        <v>4075</v>
      </c>
    </row>
    <row r="1970" spans="1:6" x14ac:dyDescent="0.25">
      <c r="A1970">
        <v>2460</v>
      </c>
      <c r="B1970" t="s">
        <v>4072</v>
      </c>
      <c r="C1970">
        <v>15</v>
      </c>
      <c r="D1970" t="s">
        <v>4080</v>
      </c>
      <c r="E1970" t="s">
        <v>4081</v>
      </c>
      <c r="F1970" t="s">
        <v>4076</v>
      </c>
    </row>
    <row r="1971" spans="1:6" x14ac:dyDescent="0.25">
      <c r="A1971">
        <v>2462</v>
      </c>
      <c r="B1971" t="s">
        <v>4072</v>
      </c>
      <c r="C1971">
        <v>12</v>
      </c>
      <c r="D1971" t="s">
        <v>2159</v>
      </c>
      <c r="E1971" t="s">
        <v>4094</v>
      </c>
      <c r="F1971" t="s">
        <v>4076</v>
      </c>
    </row>
    <row r="1972" spans="1:6" x14ac:dyDescent="0.25">
      <c r="A1972">
        <v>2462</v>
      </c>
      <c r="B1972" t="s">
        <v>4072</v>
      </c>
      <c r="C1972">
        <v>14</v>
      </c>
      <c r="D1972" t="s">
        <v>4090</v>
      </c>
      <c r="E1972" t="s">
        <v>4091</v>
      </c>
      <c r="F1972" t="s">
        <v>4076</v>
      </c>
    </row>
    <row r="1973" spans="1:6" x14ac:dyDescent="0.25">
      <c r="A1973">
        <v>2462</v>
      </c>
      <c r="B1973" t="s">
        <v>4072</v>
      </c>
      <c r="C1973">
        <v>41</v>
      </c>
      <c r="D1973" t="s">
        <v>4090</v>
      </c>
      <c r="E1973" t="s">
        <v>4091</v>
      </c>
      <c r="F1973" t="s">
        <v>4079</v>
      </c>
    </row>
    <row r="1974" spans="1:6" x14ac:dyDescent="0.25">
      <c r="A1974">
        <v>2462</v>
      </c>
      <c r="B1974" t="s">
        <v>4072</v>
      </c>
      <c r="C1974">
        <v>45</v>
      </c>
      <c r="D1974" t="s">
        <v>2159</v>
      </c>
      <c r="E1974" t="s">
        <v>4094</v>
      </c>
      <c r="F1974" t="s">
        <v>4079</v>
      </c>
    </row>
    <row r="1975" spans="1:6" x14ac:dyDescent="0.25">
      <c r="A1975">
        <v>2464</v>
      </c>
      <c r="B1975" t="s">
        <v>4072</v>
      </c>
      <c r="C1975">
        <v>12</v>
      </c>
      <c r="D1975" t="s">
        <v>2159</v>
      </c>
      <c r="E1975" t="s">
        <v>4094</v>
      </c>
      <c r="F1975" t="s">
        <v>4076</v>
      </c>
    </row>
    <row r="1976" spans="1:6" x14ac:dyDescent="0.25">
      <c r="A1976">
        <v>2464</v>
      </c>
      <c r="B1976" t="s">
        <v>4072</v>
      </c>
      <c r="C1976">
        <v>45</v>
      </c>
      <c r="D1976" t="s">
        <v>2159</v>
      </c>
      <c r="E1976" t="s">
        <v>4094</v>
      </c>
      <c r="F1976" t="s">
        <v>4079</v>
      </c>
    </row>
    <row r="1977" spans="1:6" x14ac:dyDescent="0.25">
      <c r="A1977">
        <v>2467</v>
      </c>
      <c r="B1977" t="s">
        <v>4092</v>
      </c>
      <c r="C1977">
        <v>24</v>
      </c>
      <c r="D1977" t="s">
        <v>2760</v>
      </c>
      <c r="E1977" t="s">
        <v>4108</v>
      </c>
      <c r="F1977" t="s">
        <v>4075</v>
      </c>
    </row>
    <row r="1978" spans="1:6" x14ac:dyDescent="0.25">
      <c r="A1978">
        <v>2467</v>
      </c>
      <c r="B1978" t="s">
        <v>4092</v>
      </c>
      <c r="C1978">
        <v>29</v>
      </c>
      <c r="D1978" t="s">
        <v>2760</v>
      </c>
      <c r="E1978" t="s">
        <v>4108</v>
      </c>
      <c r="F1978" t="s">
        <v>4076</v>
      </c>
    </row>
    <row r="1979" spans="1:6" x14ac:dyDescent="0.25">
      <c r="A1979">
        <v>2467</v>
      </c>
      <c r="B1979" t="s">
        <v>4092</v>
      </c>
      <c r="C1979">
        <v>49</v>
      </c>
      <c r="D1979" t="s">
        <v>2760</v>
      </c>
      <c r="E1979" t="s">
        <v>4108</v>
      </c>
      <c r="F1979" t="s">
        <v>4079</v>
      </c>
    </row>
    <row r="1980" spans="1:6" x14ac:dyDescent="0.25">
      <c r="A1980">
        <v>2469</v>
      </c>
      <c r="B1980" t="s">
        <v>4072</v>
      </c>
      <c r="C1980">
        <v>2</v>
      </c>
      <c r="D1980" t="s">
        <v>4082</v>
      </c>
      <c r="E1980" t="s">
        <v>4083</v>
      </c>
      <c r="F1980" t="s">
        <v>4075</v>
      </c>
    </row>
    <row r="1981" spans="1:6" x14ac:dyDescent="0.25">
      <c r="A1981">
        <v>2469</v>
      </c>
      <c r="B1981" t="s">
        <v>4072</v>
      </c>
      <c r="C1981">
        <v>17</v>
      </c>
      <c r="D1981" t="s">
        <v>4082</v>
      </c>
      <c r="E1981" t="s">
        <v>4084</v>
      </c>
      <c r="F1981" t="s">
        <v>4076</v>
      </c>
    </row>
    <row r="1982" spans="1:6" x14ac:dyDescent="0.25">
      <c r="A1982">
        <v>2469</v>
      </c>
      <c r="B1982" t="s">
        <v>4072</v>
      </c>
      <c r="C1982">
        <v>42</v>
      </c>
      <c r="D1982" t="s">
        <v>4082</v>
      </c>
      <c r="E1982" t="s">
        <v>4083</v>
      </c>
      <c r="F1982" t="s">
        <v>4079</v>
      </c>
    </row>
    <row r="1983" spans="1:6" x14ac:dyDescent="0.25">
      <c r="A1983">
        <v>2470</v>
      </c>
      <c r="B1983" t="s">
        <v>4072</v>
      </c>
      <c r="C1983">
        <v>2</v>
      </c>
      <c r="D1983" t="s">
        <v>4082</v>
      </c>
      <c r="E1983" t="s">
        <v>4083</v>
      </c>
      <c r="F1983" t="s">
        <v>4075</v>
      </c>
    </row>
    <row r="1984" spans="1:6" x14ac:dyDescent="0.25">
      <c r="A1984">
        <v>2470</v>
      </c>
      <c r="B1984" t="s">
        <v>4072</v>
      </c>
      <c r="C1984">
        <v>17</v>
      </c>
      <c r="D1984" t="s">
        <v>4082</v>
      </c>
      <c r="E1984" t="s">
        <v>4084</v>
      </c>
      <c r="F1984" t="s">
        <v>4076</v>
      </c>
    </row>
    <row r="1985" spans="1:6" x14ac:dyDescent="0.25">
      <c r="A1985">
        <v>2470</v>
      </c>
      <c r="B1985" t="s">
        <v>4072</v>
      </c>
      <c r="C1985">
        <v>42</v>
      </c>
      <c r="D1985" t="s">
        <v>4082</v>
      </c>
      <c r="E1985" t="s">
        <v>4083</v>
      </c>
      <c r="F1985" t="s">
        <v>4079</v>
      </c>
    </row>
    <row r="1986" spans="1:6" x14ac:dyDescent="0.25">
      <c r="A1986">
        <v>2471</v>
      </c>
      <c r="B1986" t="s">
        <v>4072</v>
      </c>
      <c r="C1986">
        <v>5</v>
      </c>
      <c r="D1986" t="s">
        <v>4087</v>
      </c>
      <c r="E1986" t="s">
        <v>4088</v>
      </c>
      <c r="F1986" t="s">
        <v>4075</v>
      </c>
    </row>
    <row r="1987" spans="1:6" x14ac:dyDescent="0.25">
      <c r="A1987">
        <v>2471</v>
      </c>
      <c r="B1987" t="s">
        <v>4072</v>
      </c>
      <c r="C1987">
        <v>15</v>
      </c>
      <c r="D1987" t="s">
        <v>4080</v>
      </c>
      <c r="E1987" t="s">
        <v>4081</v>
      </c>
      <c r="F1987" t="s">
        <v>4076</v>
      </c>
    </row>
    <row r="1988" spans="1:6" x14ac:dyDescent="0.25">
      <c r="A1988">
        <v>2471</v>
      </c>
      <c r="B1988" t="s">
        <v>4072</v>
      </c>
      <c r="C1988">
        <v>40</v>
      </c>
      <c r="D1988" t="s">
        <v>4080</v>
      </c>
      <c r="E1988" t="s">
        <v>4081</v>
      </c>
      <c r="F1988" t="s">
        <v>4079</v>
      </c>
    </row>
    <row r="1989" spans="1:6" x14ac:dyDescent="0.25">
      <c r="A1989">
        <v>2472</v>
      </c>
      <c r="B1989" t="s">
        <v>4072</v>
      </c>
      <c r="C1989">
        <v>5</v>
      </c>
      <c r="D1989" t="s">
        <v>4087</v>
      </c>
      <c r="E1989" t="s">
        <v>4088</v>
      </c>
      <c r="F1989" t="s">
        <v>4075</v>
      </c>
    </row>
    <row r="1990" spans="1:6" x14ac:dyDescent="0.25">
      <c r="A1990">
        <v>2472</v>
      </c>
      <c r="B1990" t="s">
        <v>4072</v>
      </c>
      <c r="C1990">
        <v>15</v>
      </c>
      <c r="D1990" t="s">
        <v>4080</v>
      </c>
      <c r="E1990" t="s">
        <v>4081</v>
      </c>
      <c r="F1990" t="s">
        <v>4076</v>
      </c>
    </row>
    <row r="1991" spans="1:6" x14ac:dyDescent="0.25">
      <c r="A1991">
        <v>2473</v>
      </c>
      <c r="B1991" t="s">
        <v>4092</v>
      </c>
      <c r="C1991">
        <v>24</v>
      </c>
      <c r="D1991" t="s">
        <v>2760</v>
      </c>
      <c r="E1991" t="s">
        <v>4108</v>
      </c>
      <c r="F1991" t="s">
        <v>4075</v>
      </c>
    </row>
    <row r="1992" spans="1:6" x14ac:dyDescent="0.25">
      <c r="A1992">
        <v>2473</v>
      </c>
      <c r="B1992" t="s">
        <v>4092</v>
      </c>
      <c r="C1992">
        <v>29</v>
      </c>
      <c r="D1992" t="s">
        <v>2760</v>
      </c>
      <c r="E1992" t="s">
        <v>4108</v>
      </c>
      <c r="F1992" t="s">
        <v>4076</v>
      </c>
    </row>
    <row r="1993" spans="1:6" x14ac:dyDescent="0.25">
      <c r="A1993">
        <v>2473</v>
      </c>
      <c r="B1993" t="s">
        <v>4092</v>
      </c>
      <c r="C1993">
        <v>49</v>
      </c>
      <c r="D1993" t="s">
        <v>2760</v>
      </c>
      <c r="E1993" t="s">
        <v>4108</v>
      </c>
      <c r="F1993" t="s">
        <v>4079</v>
      </c>
    </row>
    <row r="1994" spans="1:6" x14ac:dyDescent="0.25">
      <c r="A1994">
        <v>2476</v>
      </c>
      <c r="B1994" t="s">
        <v>4072</v>
      </c>
      <c r="C1994">
        <v>10</v>
      </c>
      <c r="D1994" t="s">
        <v>4095</v>
      </c>
      <c r="E1994" t="s">
        <v>4096</v>
      </c>
      <c r="F1994" t="s">
        <v>4075</v>
      </c>
    </row>
    <row r="1995" spans="1:6" x14ac:dyDescent="0.25">
      <c r="A1995">
        <v>2476</v>
      </c>
      <c r="B1995" t="s">
        <v>4072</v>
      </c>
      <c r="C1995">
        <v>13</v>
      </c>
      <c r="D1995" t="s">
        <v>4097</v>
      </c>
      <c r="E1995" t="s">
        <v>4098</v>
      </c>
      <c r="F1995" t="s">
        <v>4076</v>
      </c>
    </row>
    <row r="1996" spans="1:6" x14ac:dyDescent="0.25">
      <c r="A1996">
        <v>2476</v>
      </c>
      <c r="B1996" t="s">
        <v>4072</v>
      </c>
      <c r="C1996">
        <v>46</v>
      </c>
      <c r="D1996" t="s">
        <v>4099</v>
      </c>
      <c r="E1996" t="s">
        <v>4100</v>
      </c>
      <c r="F1996" t="s">
        <v>4079</v>
      </c>
    </row>
    <row r="1997" spans="1:6" x14ac:dyDescent="0.25">
      <c r="A1997">
        <v>2477</v>
      </c>
      <c r="B1997" t="s">
        <v>4072</v>
      </c>
      <c r="C1997">
        <v>10</v>
      </c>
      <c r="D1997" t="s">
        <v>4095</v>
      </c>
      <c r="E1997" t="s">
        <v>4096</v>
      </c>
      <c r="F1997" t="s">
        <v>4075</v>
      </c>
    </row>
    <row r="1998" spans="1:6" x14ac:dyDescent="0.25">
      <c r="A1998">
        <v>2477</v>
      </c>
      <c r="B1998" t="s">
        <v>4072</v>
      </c>
      <c r="C1998">
        <v>13</v>
      </c>
      <c r="D1998" t="s">
        <v>4097</v>
      </c>
      <c r="E1998" t="s">
        <v>4098</v>
      </c>
      <c r="F1998" t="s">
        <v>4076</v>
      </c>
    </row>
    <row r="1999" spans="1:6" x14ac:dyDescent="0.25">
      <c r="A1999">
        <v>2477</v>
      </c>
      <c r="B1999" t="s">
        <v>4072</v>
      </c>
      <c r="C1999">
        <v>46</v>
      </c>
      <c r="D1999" t="s">
        <v>4099</v>
      </c>
      <c r="E1999" t="s">
        <v>4100</v>
      </c>
      <c r="F1999" t="s">
        <v>4079</v>
      </c>
    </row>
    <row r="2000" spans="1:6" x14ac:dyDescent="0.25">
      <c r="A2000">
        <v>2481</v>
      </c>
      <c r="B2000" t="s">
        <v>4072</v>
      </c>
      <c r="C2000">
        <v>6</v>
      </c>
      <c r="D2000" t="s">
        <v>4073</v>
      </c>
      <c r="E2000" t="s">
        <v>4074</v>
      </c>
      <c r="F2000" t="s">
        <v>4075</v>
      </c>
    </row>
    <row r="2001" spans="1:6" x14ac:dyDescent="0.25">
      <c r="A2001">
        <v>2481</v>
      </c>
      <c r="B2001" t="s">
        <v>4072</v>
      </c>
      <c r="C2001">
        <v>19</v>
      </c>
      <c r="D2001" t="s">
        <v>4073</v>
      </c>
      <c r="E2001" t="s">
        <v>4074</v>
      </c>
      <c r="F2001" t="s">
        <v>4076</v>
      </c>
    </row>
    <row r="2002" spans="1:6" x14ac:dyDescent="0.25">
      <c r="A2002">
        <v>2482</v>
      </c>
      <c r="B2002" t="s">
        <v>4072</v>
      </c>
      <c r="C2002">
        <v>2</v>
      </c>
      <c r="D2002" t="s">
        <v>4082</v>
      </c>
      <c r="E2002" t="s">
        <v>4083</v>
      </c>
      <c r="F2002" t="s">
        <v>4075</v>
      </c>
    </row>
    <row r="2003" spans="1:6" x14ac:dyDescent="0.25">
      <c r="A2003">
        <v>2482</v>
      </c>
      <c r="B2003" t="s">
        <v>4072</v>
      </c>
      <c r="C2003">
        <v>17</v>
      </c>
      <c r="D2003" t="s">
        <v>4082</v>
      </c>
      <c r="E2003" t="s">
        <v>4084</v>
      </c>
      <c r="F2003" t="s">
        <v>4076</v>
      </c>
    </row>
    <row r="2004" spans="1:6" x14ac:dyDescent="0.25">
      <c r="A2004">
        <v>2483</v>
      </c>
      <c r="B2004" t="s">
        <v>4072</v>
      </c>
      <c r="C2004">
        <v>3</v>
      </c>
      <c r="D2004" t="s">
        <v>4085</v>
      </c>
      <c r="E2004" t="s">
        <v>4086</v>
      </c>
      <c r="F2004" t="s">
        <v>4075</v>
      </c>
    </row>
    <row r="2005" spans="1:6" x14ac:dyDescent="0.25">
      <c r="A2005">
        <v>2483</v>
      </c>
      <c r="B2005" t="s">
        <v>4072</v>
      </c>
      <c r="C2005">
        <v>15</v>
      </c>
      <c r="D2005" t="s">
        <v>4080</v>
      </c>
      <c r="E2005" t="s">
        <v>4081</v>
      </c>
      <c r="F2005" t="s">
        <v>4076</v>
      </c>
    </row>
    <row r="2006" spans="1:6" x14ac:dyDescent="0.25">
      <c r="A2006">
        <v>2484</v>
      </c>
      <c r="B2006" t="s">
        <v>4072</v>
      </c>
      <c r="C2006">
        <v>4</v>
      </c>
      <c r="D2006" t="s">
        <v>4077</v>
      </c>
      <c r="E2006" t="s">
        <v>4078</v>
      </c>
      <c r="F2006" t="s">
        <v>4075</v>
      </c>
    </row>
    <row r="2007" spans="1:6" x14ac:dyDescent="0.25">
      <c r="A2007">
        <v>2484</v>
      </c>
      <c r="B2007" t="s">
        <v>4072</v>
      </c>
      <c r="C2007">
        <v>16</v>
      </c>
      <c r="D2007" t="s">
        <v>4077</v>
      </c>
      <c r="E2007" t="s">
        <v>4078</v>
      </c>
      <c r="F2007" t="s">
        <v>4076</v>
      </c>
    </row>
    <row r="2008" spans="1:6" x14ac:dyDescent="0.25">
      <c r="A2008">
        <v>2485</v>
      </c>
      <c r="B2008" t="s">
        <v>4072</v>
      </c>
      <c r="C2008">
        <v>5</v>
      </c>
      <c r="D2008" t="s">
        <v>4087</v>
      </c>
      <c r="E2008" t="s">
        <v>4088</v>
      </c>
      <c r="F2008" t="s">
        <v>4075</v>
      </c>
    </row>
    <row r="2009" spans="1:6" x14ac:dyDescent="0.25">
      <c r="A2009">
        <v>2485</v>
      </c>
      <c r="B2009" t="s">
        <v>4072</v>
      </c>
      <c r="C2009">
        <v>15</v>
      </c>
      <c r="D2009" t="s">
        <v>4080</v>
      </c>
      <c r="E2009" t="s">
        <v>4081</v>
      </c>
      <c r="F2009" t="s">
        <v>4076</v>
      </c>
    </row>
    <row r="2010" spans="1:6" x14ac:dyDescent="0.25">
      <c r="A2010">
        <v>2486</v>
      </c>
      <c r="B2010" t="s">
        <v>4072</v>
      </c>
      <c r="C2010">
        <v>5</v>
      </c>
      <c r="D2010" t="s">
        <v>4087</v>
      </c>
      <c r="E2010" t="s">
        <v>4088</v>
      </c>
      <c r="F2010" t="s">
        <v>4075</v>
      </c>
    </row>
    <row r="2011" spans="1:6" x14ac:dyDescent="0.25">
      <c r="A2011">
        <v>2486</v>
      </c>
      <c r="B2011" t="s">
        <v>4072</v>
      </c>
      <c r="C2011">
        <v>15</v>
      </c>
      <c r="D2011" t="s">
        <v>4080</v>
      </c>
      <c r="E2011" t="s">
        <v>4081</v>
      </c>
      <c r="F2011" t="s">
        <v>4076</v>
      </c>
    </row>
    <row r="2012" spans="1:6" x14ac:dyDescent="0.25">
      <c r="A2012">
        <v>2488</v>
      </c>
      <c r="B2012" t="s">
        <v>4072</v>
      </c>
      <c r="C2012">
        <v>5</v>
      </c>
      <c r="D2012" t="s">
        <v>4087</v>
      </c>
      <c r="E2012" t="s">
        <v>4088</v>
      </c>
      <c r="F2012" t="s">
        <v>4075</v>
      </c>
    </row>
    <row r="2013" spans="1:6" x14ac:dyDescent="0.25">
      <c r="A2013">
        <v>2488</v>
      </c>
      <c r="B2013" t="s">
        <v>4072</v>
      </c>
      <c r="C2013">
        <v>15</v>
      </c>
      <c r="D2013" t="s">
        <v>4080</v>
      </c>
      <c r="E2013" t="s">
        <v>4081</v>
      </c>
      <c r="F2013" t="s">
        <v>4076</v>
      </c>
    </row>
    <row r="2014" spans="1:6" x14ac:dyDescent="0.25">
      <c r="A2014">
        <v>2488</v>
      </c>
      <c r="B2014" t="s">
        <v>4072</v>
      </c>
      <c r="C2014">
        <v>40</v>
      </c>
      <c r="D2014" t="s">
        <v>4080</v>
      </c>
      <c r="E2014" t="s">
        <v>4081</v>
      </c>
      <c r="F2014" t="s">
        <v>4079</v>
      </c>
    </row>
    <row r="2015" spans="1:6" x14ac:dyDescent="0.25">
      <c r="A2015">
        <v>2489</v>
      </c>
      <c r="B2015" t="s">
        <v>4072</v>
      </c>
      <c r="C2015">
        <v>5</v>
      </c>
      <c r="D2015" t="s">
        <v>4087</v>
      </c>
      <c r="E2015" t="s">
        <v>4088</v>
      </c>
      <c r="F2015" t="s">
        <v>4075</v>
      </c>
    </row>
    <row r="2016" spans="1:6" x14ac:dyDescent="0.25">
      <c r="A2016">
        <v>2489</v>
      </c>
      <c r="B2016" t="s">
        <v>4072</v>
      </c>
      <c r="C2016">
        <v>15</v>
      </c>
      <c r="D2016" t="s">
        <v>4080</v>
      </c>
      <c r="E2016" t="s">
        <v>4081</v>
      </c>
      <c r="F2016" t="s">
        <v>4076</v>
      </c>
    </row>
    <row r="2017" spans="1:6" x14ac:dyDescent="0.25">
      <c r="A2017">
        <v>2489</v>
      </c>
      <c r="B2017" t="s">
        <v>4072</v>
      </c>
      <c r="C2017">
        <v>40</v>
      </c>
      <c r="D2017" t="s">
        <v>4080</v>
      </c>
      <c r="E2017" t="s">
        <v>4081</v>
      </c>
      <c r="F2017" t="s">
        <v>4079</v>
      </c>
    </row>
    <row r="2018" spans="1:6" x14ac:dyDescent="0.25">
      <c r="A2018">
        <v>2490</v>
      </c>
      <c r="B2018" t="s">
        <v>4072</v>
      </c>
      <c r="C2018">
        <v>5</v>
      </c>
      <c r="D2018" t="s">
        <v>4087</v>
      </c>
      <c r="E2018" t="s">
        <v>4088</v>
      </c>
      <c r="F2018" t="s">
        <v>4075</v>
      </c>
    </row>
    <row r="2019" spans="1:6" x14ac:dyDescent="0.25">
      <c r="A2019">
        <v>2490</v>
      </c>
      <c r="B2019" t="s">
        <v>4072</v>
      </c>
      <c r="C2019">
        <v>15</v>
      </c>
      <c r="D2019" t="s">
        <v>4080</v>
      </c>
      <c r="E2019" t="s">
        <v>4081</v>
      </c>
      <c r="F2019" t="s">
        <v>4076</v>
      </c>
    </row>
    <row r="2020" spans="1:6" x14ac:dyDescent="0.25">
      <c r="A2020">
        <v>2490</v>
      </c>
      <c r="B2020" t="s">
        <v>4072</v>
      </c>
      <c r="C2020">
        <v>40</v>
      </c>
      <c r="D2020" t="s">
        <v>4080</v>
      </c>
      <c r="E2020" t="s">
        <v>4081</v>
      </c>
      <c r="F2020" t="s">
        <v>4079</v>
      </c>
    </row>
    <row r="2021" spans="1:6" x14ac:dyDescent="0.25">
      <c r="A2021">
        <v>2493</v>
      </c>
      <c r="B2021" t="s">
        <v>4092</v>
      </c>
      <c r="C2021">
        <v>24</v>
      </c>
      <c r="D2021" t="s">
        <v>2760</v>
      </c>
      <c r="E2021" t="s">
        <v>4108</v>
      </c>
      <c r="F2021" t="s">
        <v>4075</v>
      </c>
    </row>
    <row r="2022" spans="1:6" x14ac:dyDescent="0.25">
      <c r="A2022">
        <v>2493</v>
      </c>
      <c r="B2022" t="s">
        <v>4092</v>
      </c>
      <c r="C2022">
        <v>29</v>
      </c>
      <c r="D2022" t="s">
        <v>2760</v>
      </c>
      <c r="E2022" t="s">
        <v>4108</v>
      </c>
      <c r="F2022" t="s">
        <v>4076</v>
      </c>
    </row>
    <row r="2023" spans="1:6" x14ac:dyDescent="0.25">
      <c r="A2023">
        <v>2496</v>
      </c>
      <c r="B2023" t="s">
        <v>4072</v>
      </c>
      <c r="C2023">
        <v>5</v>
      </c>
      <c r="D2023" t="s">
        <v>4087</v>
      </c>
      <c r="E2023" t="s">
        <v>4088</v>
      </c>
      <c r="F2023" t="s">
        <v>4075</v>
      </c>
    </row>
    <row r="2024" spans="1:6" x14ac:dyDescent="0.25">
      <c r="A2024">
        <v>2496</v>
      </c>
      <c r="B2024" t="s">
        <v>4072</v>
      </c>
      <c r="C2024">
        <v>15</v>
      </c>
      <c r="D2024" t="s">
        <v>4080</v>
      </c>
      <c r="E2024" t="s">
        <v>4081</v>
      </c>
      <c r="F2024" t="s">
        <v>4076</v>
      </c>
    </row>
    <row r="2025" spans="1:6" x14ac:dyDescent="0.25">
      <c r="A2025">
        <v>2497</v>
      </c>
      <c r="B2025" t="s">
        <v>4072</v>
      </c>
      <c r="C2025">
        <v>5</v>
      </c>
      <c r="D2025" t="s">
        <v>4087</v>
      </c>
      <c r="E2025" t="s">
        <v>4088</v>
      </c>
      <c r="F2025" t="s">
        <v>4075</v>
      </c>
    </row>
    <row r="2026" spans="1:6" x14ac:dyDescent="0.25">
      <c r="A2026">
        <v>2497</v>
      </c>
      <c r="B2026" t="s">
        <v>4072</v>
      </c>
      <c r="C2026">
        <v>15</v>
      </c>
      <c r="D2026" t="s">
        <v>4080</v>
      </c>
      <c r="E2026" t="s">
        <v>4081</v>
      </c>
      <c r="F2026" t="s">
        <v>4076</v>
      </c>
    </row>
    <row r="2027" spans="1:6" x14ac:dyDescent="0.25">
      <c r="A2027">
        <v>2497</v>
      </c>
      <c r="B2027" t="s">
        <v>4072</v>
      </c>
      <c r="C2027">
        <v>40</v>
      </c>
      <c r="D2027" t="s">
        <v>4080</v>
      </c>
      <c r="E2027" t="s">
        <v>4081</v>
      </c>
      <c r="F2027" t="s">
        <v>4079</v>
      </c>
    </row>
    <row r="2028" spans="1:6" x14ac:dyDescent="0.25">
      <c r="A2028">
        <v>2500</v>
      </c>
      <c r="B2028" t="s">
        <v>4072</v>
      </c>
      <c r="C2028">
        <v>6</v>
      </c>
      <c r="D2028" t="s">
        <v>4073</v>
      </c>
      <c r="E2028" t="s">
        <v>4074</v>
      </c>
      <c r="F2028" t="s">
        <v>4075</v>
      </c>
    </row>
    <row r="2029" spans="1:6" x14ac:dyDescent="0.25">
      <c r="A2029">
        <v>2501</v>
      </c>
      <c r="B2029" t="s">
        <v>4072</v>
      </c>
      <c r="C2029">
        <v>6</v>
      </c>
      <c r="D2029" t="s">
        <v>4073</v>
      </c>
      <c r="E2029" t="s">
        <v>4074</v>
      </c>
      <c r="F2029" t="s">
        <v>4075</v>
      </c>
    </row>
    <row r="2030" spans="1:6" x14ac:dyDescent="0.25">
      <c r="A2030">
        <v>2501</v>
      </c>
      <c r="B2030" t="s">
        <v>4072</v>
      </c>
      <c r="C2030">
        <v>19</v>
      </c>
      <c r="D2030" t="s">
        <v>4073</v>
      </c>
      <c r="E2030" t="s">
        <v>4074</v>
      </c>
      <c r="F2030" t="s">
        <v>4076</v>
      </c>
    </row>
    <row r="2031" spans="1:6" x14ac:dyDescent="0.25">
      <c r="A2031">
        <v>2501</v>
      </c>
      <c r="B2031" t="s">
        <v>4072</v>
      </c>
      <c r="C2031">
        <v>39</v>
      </c>
      <c r="D2031" t="s">
        <v>4073</v>
      </c>
      <c r="E2031" t="s">
        <v>4074</v>
      </c>
      <c r="F2031" t="s">
        <v>4079</v>
      </c>
    </row>
    <row r="2032" spans="1:6" x14ac:dyDescent="0.25">
      <c r="A2032">
        <v>2502</v>
      </c>
      <c r="B2032" t="s">
        <v>4072</v>
      </c>
      <c r="C2032">
        <v>6</v>
      </c>
      <c r="D2032" t="s">
        <v>4073</v>
      </c>
      <c r="E2032" t="s">
        <v>4074</v>
      </c>
      <c r="F2032" t="s">
        <v>4075</v>
      </c>
    </row>
    <row r="2033" spans="1:6" x14ac:dyDescent="0.25">
      <c r="A2033">
        <v>2502</v>
      </c>
      <c r="B2033" t="s">
        <v>4072</v>
      </c>
      <c r="C2033">
        <v>19</v>
      </c>
      <c r="D2033" t="s">
        <v>4073</v>
      </c>
      <c r="E2033" t="s">
        <v>4074</v>
      </c>
      <c r="F2033" t="s">
        <v>4076</v>
      </c>
    </row>
    <row r="2034" spans="1:6" x14ac:dyDescent="0.25">
      <c r="A2034">
        <v>2502</v>
      </c>
      <c r="B2034" t="s">
        <v>4072</v>
      </c>
      <c r="C2034">
        <v>39</v>
      </c>
      <c r="D2034" t="s">
        <v>4073</v>
      </c>
      <c r="E2034" t="s">
        <v>4074</v>
      </c>
      <c r="F2034" t="s">
        <v>4079</v>
      </c>
    </row>
    <row r="2035" spans="1:6" x14ac:dyDescent="0.25">
      <c r="A2035">
        <v>2503</v>
      </c>
      <c r="B2035" t="s">
        <v>4072</v>
      </c>
      <c r="C2035">
        <v>19</v>
      </c>
      <c r="D2035" t="s">
        <v>4073</v>
      </c>
      <c r="E2035" t="s">
        <v>4074</v>
      </c>
      <c r="F2035" t="s">
        <v>4076</v>
      </c>
    </row>
    <row r="2036" spans="1:6" x14ac:dyDescent="0.25">
      <c r="A2036">
        <v>2503</v>
      </c>
      <c r="B2036" t="s">
        <v>4072</v>
      </c>
      <c r="C2036">
        <v>39</v>
      </c>
      <c r="D2036" t="s">
        <v>4073</v>
      </c>
      <c r="E2036" t="s">
        <v>4074</v>
      </c>
      <c r="F2036" t="s">
        <v>4079</v>
      </c>
    </row>
    <row r="2037" spans="1:6" x14ac:dyDescent="0.25">
      <c r="A2037">
        <v>2504</v>
      </c>
      <c r="B2037" t="s">
        <v>4072</v>
      </c>
      <c r="C2037">
        <v>19</v>
      </c>
      <c r="D2037" t="s">
        <v>4073</v>
      </c>
      <c r="E2037" t="s">
        <v>4074</v>
      </c>
      <c r="F2037" t="s">
        <v>4076</v>
      </c>
    </row>
    <row r="2038" spans="1:6" x14ac:dyDescent="0.25">
      <c r="A2038">
        <v>2504</v>
      </c>
      <c r="B2038" t="s">
        <v>4072</v>
      </c>
      <c r="C2038">
        <v>39</v>
      </c>
      <c r="D2038" t="s">
        <v>4073</v>
      </c>
      <c r="E2038" t="s">
        <v>4074</v>
      </c>
      <c r="F2038" t="s">
        <v>4079</v>
      </c>
    </row>
    <row r="2039" spans="1:6" x14ac:dyDescent="0.25">
      <c r="A2039">
        <v>2505</v>
      </c>
      <c r="B2039" t="s">
        <v>4072</v>
      </c>
      <c r="C2039">
        <v>12</v>
      </c>
      <c r="D2039" t="s">
        <v>2159</v>
      </c>
      <c r="E2039" t="s">
        <v>4094</v>
      </c>
      <c r="F2039" t="s">
        <v>4076</v>
      </c>
    </row>
    <row r="2040" spans="1:6" x14ac:dyDescent="0.25">
      <c r="A2040">
        <v>2505</v>
      </c>
      <c r="B2040" t="s">
        <v>4072</v>
      </c>
      <c r="C2040">
        <v>45</v>
      </c>
      <c r="D2040" t="s">
        <v>2159</v>
      </c>
      <c r="E2040" t="s">
        <v>4094</v>
      </c>
      <c r="F2040" t="s">
        <v>4079</v>
      </c>
    </row>
    <row r="2041" spans="1:6" x14ac:dyDescent="0.25">
      <c r="A2041">
        <v>2507</v>
      </c>
      <c r="B2041" t="s">
        <v>4072</v>
      </c>
      <c r="C2041">
        <v>3</v>
      </c>
      <c r="D2041" t="s">
        <v>4085</v>
      </c>
      <c r="E2041" t="s">
        <v>4086</v>
      </c>
      <c r="F2041" t="s">
        <v>4075</v>
      </c>
    </row>
    <row r="2042" spans="1:6" x14ac:dyDescent="0.25">
      <c r="A2042">
        <v>2507</v>
      </c>
      <c r="B2042" t="s">
        <v>4072</v>
      </c>
      <c r="C2042">
        <v>5</v>
      </c>
      <c r="D2042" t="s">
        <v>4087</v>
      </c>
      <c r="E2042" t="s">
        <v>4088</v>
      </c>
      <c r="F2042" t="s">
        <v>4075</v>
      </c>
    </row>
    <row r="2043" spans="1:6" x14ac:dyDescent="0.25">
      <c r="A2043">
        <v>2507</v>
      </c>
      <c r="B2043" t="s">
        <v>4072</v>
      </c>
      <c r="C2043">
        <v>15</v>
      </c>
      <c r="D2043" t="s">
        <v>4080</v>
      </c>
      <c r="E2043" t="s">
        <v>4081</v>
      </c>
      <c r="F2043" t="s">
        <v>4076</v>
      </c>
    </row>
    <row r="2044" spans="1:6" x14ac:dyDescent="0.25">
      <c r="A2044">
        <v>2507</v>
      </c>
      <c r="B2044" t="s">
        <v>4072</v>
      </c>
      <c r="C2044">
        <v>40</v>
      </c>
      <c r="D2044" t="s">
        <v>4080</v>
      </c>
      <c r="E2044" t="s">
        <v>4081</v>
      </c>
      <c r="F2044" t="s">
        <v>4079</v>
      </c>
    </row>
    <row r="2045" spans="1:6" x14ac:dyDescent="0.25">
      <c r="A2045">
        <v>2508</v>
      </c>
      <c r="B2045" t="s">
        <v>4072</v>
      </c>
      <c r="C2045">
        <v>14</v>
      </c>
      <c r="D2045" t="s">
        <v>4090</v>
      </c>
      <c r="E2045" t="s">
        <v>4091</v>
      </c>
      <c r="F2045" t="s">
        <v>4076</v>
      </c>
    </row>
    <row r="2046" spans="1:6" x14ac:dyDescent="0.25">
      <c r="A2046">
        <v>2508</v>
      </c>
      <c r="B2046" t="s">
        <v>4072</v>
      </c>
      <c r="C2046">
        <v>41</v>
      </c>
      <c r="D2046" t="s">
        <v>4090</v>
      </c>
      <c r="E2046" t="s">
        <v>4091</v>
      </c>
      <c r="F2046" t="s">
        <v>4079</v>
      </c>
    </row>
    <row r="2047" spans="1:6" x14ac:dyDescent="0.25">
      <c r="A2047">
        <v>2509</v>
      </c>
      <c r="B2047" t="s">
        <v>4072</v>
      </c>
      <c r="C2047">
        <v>19</v>
      </c>
      <c r="D2047" t="s">
        <v>4073</v>
      </c>
      <c r="E2047" t="s">
        <v>4074</v>
      </c>
      <c r="F2047" t="s">
        <v>4076</v>
      </c>
    </row>
    <row r="2048" spans="1:6" x14ac:dyDescent="0.25">
      <c r="A2048">
        <v>2509</v>
      </c>
      <c r="B2048" t="s">
        <v>4072</v>
      </c>
      <c r="C2048">
        <v>39</v>
      </c>
      <c r="D2048" t="s">
        <v>4073</v>
      </c>
      <c r="E2048" t="s">
        <v>4074</v>
      </c>
      <c r="F2048" t="s">
        <v>4079</v>
      </c>
    </row>
    <row r="2049" spans="1:6" x14ac:dyDescent="0.25">
      <c r="A2049">
        <v>2510</v>
      </c>
      <c r="B2049" t="s">
        <v>4092</v>
      </c>
      <c r="C2049">
        <v>24</v>
      </c>
      <c r="D2049" t="s">
        <v>2760</v>
      </c>
      <c r="E2049" t="s">
        <v>4108</v>
      </c>
      <c r="F2049" t="s">
        <v>4075</v>
      </c>
    </row>
    <row r="2050" spans="1:6" x14ac:dyDescent="0.25">
      <c r="A2050">
        <v>2510</v>
      </c>
      <c r="B2050" t="s">
        <v>4092</v>
      </c>
      <c r="C2050">
        <v>29</v>
      </c>
      <c r="D2050" t="s">
        <v>2760</v>
      </c>
      <c r="E2050" t="s">
        <v>4108</v>
      </c>
      <c r="F2050" t="s">
        <v>4076</v>
      </c>
    </row>
    <row r="2051" spans="1:6" x14ac:dyDescent="0.25">
      <c r="A2051">
        <v>2510</v>
      </c>
      <c r="B2051" t="s">
        <v>4092</v>
      </c>
      <c r="C2051">
        <v>49</v>
      </c>
      <c r="D2051" t="s">
        <v>2760</v>
      </c>
      <c r="E2051" t="s">
        <v>4108</v>
      </c>
      <c r="F2051" t="s">
        <v>4079</v>
      </c>
    </row>
    <row r="2052" spans="1:6" x14ac:dyDescent="0.25">
      <c r="A2052">
        <v>2511</v>
      </c>
      <c r="B2052" t="s">
        <v>4072</v>
      </c>
      <c r="C2052">
        <v>5</v>
      </c>
      <c r="D2052" t="s">
        <v>4087</v>
      </c>
      <c r="E2052" t="s">
        <v>4088</v>
      </c>
      <c r="F2052" t="s">
        <v>4075</v>
      </c>
    </row>
    <row r="2053" spans="1:6" x14ac:dyDescent="0.25">
      <c r="A2053">
        <v>2511</v>
      </c>
      <c r="B2053" t="s">
        <v>4072</v>
      </c>
      <c r="C2053">
        <v>15</v>
      </c>
      <c r="D2053" t="s">
        <v>4080</v>
      </c>
      <c r="E2053" t="s">
        <v>4081</v>
      </c>
      <c r="F2053" t="s">
        <v>4076</v>
      </c>
    </row>
    <row r="2054" spans="1:6" x14ac:dyDescent="0.25">
      <c r="A2054">
        <v>2511</v>
      </c>
      <c r="B2054" t="s">
        <v>4072</v>
      </c>
      <c r="C2054">
        <v>40</v>
      </c>
      <c r="D2054" t="s">
        <v>4080</v>
      </c>
      <c r="E2054" t="s">
        <v>4081</v>
      </c>
      <c r="F2054" t="s">
        <v>4079</v>
      </c>
    </row>
    <row r="2055" spans="1:6" x14ac:dyDescent="0.25">
      <c r="A2055">
        <v>2519</v>
      </c>
      <c r="B2055" t="s">
        <v>4072</v>
      </c>
      <c r="C2055">
        <v>5</v>
      </c>
      <c r="D2055" t="s">
        <v>4087</v>
      </c>
      <c r="E2055" t="s">
        <v>4088</v>
      </c>
      <c r="F2055" t="s">
        <v>4075</v>
      </c>
    </row>
    <row r="2056" spans="1:6" x14ac:dyDescent="0.25">
      <c r="A2056">
        <v>2519</v>
      </c>
      <c r="B2056" t="s">
        <v>4072</v>
      </c>
      <c r="C2056">
        <v>15</v>
      </c>
      <c r="D2056" t="s">
        <v>4080</v>
      </c>
      <c r="E2056" t="s">
        <v>4081</v>
      </c>
      <c r="F2056" t="s">
        <v>4076</v>
      </c>
    </row>
    <row r="2057" spans="1:6" x14ac:dyDescent="0.25">
      <c r="A2057">
        <v>2519</v>
      </c>
      <c r="B2057" t="s">
        <v>4072</v>
      </c>
      <c r="C2057">
        <v>40</v>
      </c>
      <c r="D2057" t="s">
        <v>4080</v>
      </c>
      <c r="E2057" t="s">
        <v>4081</v>
      </c>
      <c r="F2057" t="s">
        <v>4079</v>
      </c>
    </row>
    <row r="2058" spans="1:6" x14ac:dyDescent="0.25">
      <c r="A2058">
        <v>2520</v>
      </c>
      <c r="B2058" t="s">
        <v>4072</v>
      </c>
      <c r="C2058">
        <v>5</v>
      </c>
      <c r="D2058" t="s">
        <v>4087</v>
      </c>
      <c r="E2058" t="s">
        <v>4088</v>
      </c>
      <c r="F2058" t="s">
        <v>4075</v>
      </c>
    </row>
    <row r="2059" spans="1:6" x14ac:dyDescent="0.25">
      <c r="A2059">
        <v>2520</v>
      </c>
      <c r="B2059" t="s">
        <v>4072</v>
      </c>
      <c r="C2059">
        <v>15</v>
      </c>
      <c r="D2059" t="s">
        <v>4080</v>
      </c>
      <c r="E2059" t="s">
        <v>4081</v>
      </c>
      <c r="F2059" t="s">
        <v>4076</v>
      </c>
    </row>
    <row r="2060" spans="1:6" x14ac:dyDescent="0.25">
      <c r="A2060">
        <v>2520</v>
      </c>
      <c r="B2060" t="s">
        <v>4072</v>
      </c>
      <c r="C2060">
        <v>40</v>
      </c>
      <c r="D2060" t="s">
        <v>4080</v>
      </c>
      <c r="E2060" t="s">
        <v>4081</v>
      </c>
      <c r="F2060" t="s">
        <v>4079</v>
      </c>
    </row>
    <row r="2061" spans="1:6" x14ac:dyDescent="0.25">
      <c r="A2061">
        <v>2522</v>
      </c>
      <c r="B2061" t="s">
        <v>4072</v>
      </c>
      <c r="C2061">
        <v>3</v>
      </c>
      <c r="D2061" t="s">
        <v>4085</v>
      </c>
      <c r="E2061" t="s">
        <v>4086</v>
      </c>
      <c r="F2061" t="s">
        <v>4075</v>
      </c>
    </row>
    <row r="2062" spans="1:6" x14ac:dyDescent="0.25">
      <c r="A2062">
        <v>2522</v>
      </c>
      <c r="B2062" t="s">
        <v>4072</v>
      </c>
      <c r="C2062">
        <v>15</v>
      </c>
      <c r="D2062" t="s">
        <v>4080</v>
      </c>
      <c r="E2062" t="s">
        <v>4081</v>
      </c>
      <c r="F2062" t="s">
        <v>4076</v>
      </c>
    </row>
    <row r="2063" spans="1:6" x14ac:dyDescent="0.25">
      <c r="A2063">
        <v>2522</v>
      </c>
      <c r="B2063" t="s">
        <v>4072</v>
      </c>
      <c r="C2063">
        <v>40</v>
      </c>
      <c r="D2063" t="s">
        <v>4080</v>
      </c>
      <c r="E2063" t="s">
        <v>4081</v>
      </c>
      <c r="F2063" t="s">
        <v>4079</v>
      </c>
    </row>
    <row r="2064" spans="1:6" x14ac:dyDescent="0.25">
      <c r="A2064">
        <v>2524</v>
      </c>
      <c r="B2064" t="s">
        <v>4072</v>
      </c>
      <c r="C2064">
        <v>6</v>
      </c>
      <c r="D2064" t="s">
        <v>4073</v>
      </c>
      <c r="E2064" t="s">
        <v>4074</v>
      </c>
      <c r="F2064" t="s">
        <v>4075</v>
      </c>
    </row>
    <row r="2065" spans="1:6" x14ac:dyDescent="0.25">
      <c r="A2065">
        <v>2524</v>
      </c>
      <c r="B2065" t="s">
        <v>4072</v>
      </c>
      <c r="C2065">
        <v>19</v>
      </c>
      <c r="D2065" t="s">
        <v>4073</v>
      </c>
      <c r="E2065" t="s">
        <v>4074</v>
      </c>
      <c r="F2065" t="s">
        <v>4076</v>
      </c>
    </row>
    <row r="2066" spans="1:6" x14ac:dyDescent="0.25">
      <c r="A2066">
        <v>2524</v>
      </c>
      <c r="B2066" t="s">
        <v>4072</v>
      </c>
      <c r="C2066">
        <v>39</v>
      </c>
      <c r="D2066" t="s">
        <v>4073</v>
      </c>
      <c r="E2066" t="s">
        <v>4074</v>
      </c>
      <c r="F2066" t="s">
        <v>4079</v>
      </c>
    </row>
    <row r="2067" spans="1:6" x14ac:dyDescent="0.25">
      <c r="A2067">
        <v>2527</v>
      </c>
      <c r="B2067" t="s">
        <v>4092</v>
      </c>
      <c r="C2067">
        <v>23</v>
      </c>
      <c r="D2067" t="s">
        <v>2757</v>
      </c>
      <c r="E2067" t="s">
        <v>4093</v>
      </c>
      <c r="F2067" t="s">
        <v>4075</v>
      </c>
    </row>
    <row r="2068" spans="1:6" x14ac:dyDescent="0.25">
      <c r="A2068">
        <v>2527</v>
      </c>
      <c r="B2068" t="s">
        <v>4092</v>
      </c>
      <c r="C2068">
        <v>28</v>
      </c>
      <c r="D2068" t="s">
        <v>2757</v>
      </c>
      <c r="E2068" t="s">
        <v>4093</v>
      </c>
      <c r="F2068" t="s">
        <v>4076</v>
      </c>
    </row>
    <row r="2069" spans="1:6" x14ac:dyDescent="0.25">
      <c r="A2069">
        <v>2527</v>
      </c>
      <c r="B2069" t="s">
        <v>4092</v>
      </c>
      <c r="C2069">
        <v>48</v>
      </c>
      <c r="D2069" t="s">
        <v>2757</v>
      </c>
      <c r="E2069" t="s">
        <v>4093</v>
      </c>
      <c r="F2069" t="s">
        <v>4079</v>
      </c>
    </row>
    <row r="2070" spans="1:6" x14ac:dyDescent="0.25">
      <c r="A2070">
        <v>2528</v>
      </c>
      <c r="B2070" t="s">
        <v>4072</v>
      </c>
      <c r="C2070">
        <v>12</v>
      </c>
      <c r="D2070" t="s">
        <v>2159</v>
      </c>
      <c r="E2070" t="s">
        <v>4094</v>
      </c>
      <c r="F2070" t="s">
        <v>4076</v>
      </c>
    </row>
    <row r="2071" spans="1:6" x14ac:dyDescent="0.25">
      <c r="A2071">
        <v>2528</v>
      </c>
      <c r="B2071" t="s">
        <v>4072</v>
      </c>
      <c r="C2071">
        <v>13</v>
      </c>
      <c r="D2071" t="s">
        <v>4097</v>
      </c>
      <c r="E2071" t="s">
        <v>4098</v>
      </c>
      <c r="F2071" t="s">
        <v>4076</v>
      </c>
    </row>
    <row r="2072" spans="1:6" x14ac:dyDescent="0.25">
      <c r="A2072">
        <v>2528</v>
      </c>
      <c r="B2072" t="s">
        <v>4072</v>
      </c>
      <c r="C2072">
        <v>14</v>
      </c>
      <c r="D2072" t="s">
        <v>4090</v>
      </c>
      <c r="E2072" t="s">
        <v>4091</v>
      </c>
      <c r="F2072" t="s">
        <v>4076</v>
      </c>
    </row>
    <row r="2073" spans="1:6" x14ac:dyDescent="0.25">
      <c r="A2073">
        <v>2528</v>
      </c>
      <c r="B2073" t="s">
        <v>4072</v>
      </c>
      <c r="C2073">
        <v>15</v>
      </c>
      <c r="D2073" t="s">
        <v>4080</v>
      </c>
      <c r="E2073" t="s">
        <v>4081</v>
      </c>
      <c r="F2073" t="s">
        <v>4076</v>
      </c>
    </row>
    <row r="2074" spans="1:6" x14ac:dyDescent="0.25">
      <c r="A2074">
        <v>2528</v>
      </c>
      <c r="B2074" t="s">
        <v>4072</v>
      </c>
      <c r="C2074">
        <v>16</v>
      </c>
      <c r="D2074" t="s">
        <v>4077</v>
      </c>
      <c r="E2074" t="s">
        <v>4078</v>
      </c>
      <c r="F2074" t="s">
        <v>4076</v>
      </c>
    </row>
    <row r="2075" spans="1:6" x14ac:dyDescent="0.25">
      <c r="A2075">
        <v>2528</v>
      </c>
      <c r="B2075" t="s">
        <v>4072</v>
      </c>
      <c r="C2075">
        <v>40</v>
      </c>
      <c r="D2075" t="s">
        <v>4080</v>
      </c>
      <c r="E2075" t="s">
        <v>4081</v>
      </c>
      <c r="F2075" t="s">
        <v>4079</v>
      </c>
    </row>
    <row r="2076" spans="1:6" x14ac:dyDescent="0.25">
      <c r="A2076">
        <v>2528</v>
      </c>
      <c r="B2076" t="s">
        <v>4072</v>
      </c>
      <c r="C2076">
        <v>41</v>
      </c>
      <c r="D2076" t="s">
        <v>4090</v>
      </c>
      <c r="E2076" t="s">
        <v>4091</v>
      </c>
      <c r="F2076" t="s">
        <v>4079</v>
      </c>
    </row>
    <row r="2077" spans="1:6" x14ac:dyDescent="0.25">
      <c r="A2077">
        <v>2528</v>
      </c>
      <c r="B2077" t="s">
        <v>4072</v>
      </c>
      <c r="C2077">
        <v>44</v>
      </c>
      <c r="D2077" t="s">
        <v>4077</v>
      </c>
      <c r="E2077" t="s">
        <v>4078</v>
      </c>
      <c r="F2077" t="s">
        <v>4079</v>
      </c>
    </row>
    <row r="2078" spans="1:6" x14ac:dyDescent="0.25">
      <c r="A2078">
        <v>2528</v>
      </c>
      <c r="B2078" t="s">
        <v>4072</v>
      </c>
      <c r="C2078">
        <v>45</v>
      </c>
      <c r="D2078" t="s">
        <v>2159</v>
      </c>
      <c r="E2078" t="s">
        <v>4094</v>
      </c>
      <c r="F2078" t="s">
        <v>4079</v>
      </c>
    </row>
    <row r="2079" spans="1:6" x14ac:dyDescent="0.25">
      <c r="A2079">
        <v>2528</v>
      </c>
      <c r="B2079" t="s">
        <v>4072</v>
      </c>
      <c r="C2079">
        <v>46</v>
      </c>
      <c r="D2079" t="s">
        <v>4099</v>
      </c>
      <c r="E2079" t="s">
        <v>4100</v>
      </c>
      <c r="F2079" t="s">
        <v>4079</v>
      </c>
    </row>
    <row r="2080" spans="1:6" x14ac:dyDescent="0.25">
      <c r="A2080">
        <v>2529</v>
      </c>
      <c r="B2080" t="s">
        <v>4072</v>
      </c>
      <c r="C2080">
        <v>6</v>
      </c>
      <c r="D2080" t="s">
        <v>4073</v>
      </c>
      <c r="E2080" t="s">
        <v>4074</v>
      </c>
      <c r="F2080" t="s">
        <v>4075</v>
      </c>
    </row>
    <row r="2081" spans="1:6" x14ac:dyDescent="0.25">
      <c r="A2081">
        <v>2529</v>
      </c>
      <c r="B2081" t="s">
        <v>4072</v>
      </c>
      <c r="C2081">
        <v>19</v>
      </c>
      <c r="D2081" t="s">
        <v>4073</v>
      </c>
      <c r="E2081" t="s">
        <v>4074</v>
      </c>
      <c r="F2081" t="s">
        <v>4076</v>
      </c>
    </row>
    <row r="2082" spans="1:6" x14ac:dyDescent="0.25">
      <c r="A2082">
        <v>2529</v>
      </c>
      <c r="B2082" t="s">
        <v>4072</v>
      </c>
      <c r="C2082">
        <v>39</v>
      </c>
      <c r="D2082" t="s">
        <v>4073</v>
      </c>
      <c r="E2082" t="s">
        <v>4074</v>
      </c>
      <c r="F2082" t="s">
        <v>4079</v>
      </c>
    </row>
    <row r="2083" spans="1:6" x14ac:dyDescent="0.25">
      <c r="A2083">
        <v>2532</v>
      </c>
      <c r="B2083" t="s">
        <v>4072</v>
      </c>
      <c r="C2083">
        <v>5</v>
      </c>
      <c r="D2083" t="s">
        <v>4087</v>
      </c>
      <c r="E2083" t="s">
        <v>4088</v>
      </c>
      <c r="F2083" t="s">
        <v>4075</v>
      </c>
    </row>
    <row r="2084" spans="1:6" x14ac:dyDescent="0.25">
      <c r="A2084">
        <v>2532</v>
      </c>
      <c r="B2084" t="s">
        <v>4072</v>
      </c>
      <c r="C2084">
        <v>15</v>
      </c>
      <c r="D2084" t="s">
        <v>4080</v>
      </c>
      <c r="E2084" t="s">
        <v>4081</v>
      </c>
      <c r="F2084" t="s">
        <v>4076</v>
      </c>
    </row>
    <row r="2085" spans="1:6" x14ac:dyDescent="0.25">
      <c r="A2085">
        <v>2534</v>
      </c>
      <c r="B2085" t="s">
        <v>4072</v>
      </c>
      <c r="C2085">
        <v>4</v>
      </c>
      <c r="D2085" t="s">
        <v>4077</v>
      </c>
      <c r="E2085" t="s">
        <v>4078</v>
      </c>
      <c r="F2085" t="s">
        <v>4075</v>
      </c>
    </row>
    <row r="2086" spans="1:6" x14ac:dyDescent="0.25">
      <c r="A2086">
        <v>2534</v>
      </c>
      <c r="B2086" t="s">
        <v>4072</v>
      </c>
      <c r="C2086">
        <v>16</v>
      </c>
      <c r="D2086" t="s">
        <v>4077</v>
      </c>
      <c r="E2086" t="s">
        <v>4078</v>
      </c>
      <c r="F2086" t="s">
        <v>4076</v>
      </c>
    </row>
    <row r="2087" spans="1:6" x14ac:dyDescent="0.25">
      <c r="A2087">
        <v>2549</v>
      </c>
      <c r="B2087" t="s">
        <v>4092</v>
      </c>
      <c r="C2087">
        <v>22</v>
      </c>
      <c r="D2087" t="s">
        <v>4104</v>
      </c>
      <c r="E2087" t="s">
        <v>4105</v>
      </c>
      <c r="F2087" t="s">
        <v>4075</v>
      </c>
    </row>
    <row r="2088" spans="1:6" x14ac:dyDescent="0.25">
      <c r="A2088">
        <v>2549</v>
      </c>
      <c r="B2088" t="s">
        <v>4092</v>
      </c>
      <c r="C2088">
        <v>27</v>
      </c>
      <c r="D2088" t="s">
        <v>4104</v>
      </c>
      <c r="E2088" t="s">
        <v>4105</v>
      </c>
      <c r="F2088" t="s">
        <v>4076</v>
      </c>
    </row>
    <row r="2089" spans="1:6" x14ac:dyDescent="0.25">
      <c r="A2089">
        <v>2549</v>
      </c>
      <c r="B2089" t="s">
        <v>4092</v>
      </c>
      <c r="C2089">
        <v>47</v>
      </c>
      <c r="D2089" t="s">
        <v>4104</v>
      </c>
      <c r="E2089" t="s">
        <v>4105</v>
      </c>
      <c r="F2089" t="s">
        <v>4079</v>
      </c>
    </row>
    <row r="2090" spans="1:6" x14ac:dyDescent="0.25">
      <c r="A2090">
        <v>2556</v>
      </c>
      <c r="B2090" t="s">
        <v>4092</v>
      </c>
      <c r="C2090">
        <v>26</v>
      </c>
      <c r="D2090" t="s">
        <v>4115</v>
      </c>
      <c r="E2090" t="s">
        <v>4116</v>
      </c>
      <c r="F2090" t="s">
        <v>4075</v>
      </c>
    </row>
    <row r="2091" spans="1:6" x14ac:dyDescent="0.25">
      <c r="A2091">
        <v>2556</v>
      </c>
      <c r="B2091" t="s">
        <v>4092</v>
      </c>
      <c r="C2091">
        <v>31</v>
      </c>
      <c r="D2091" t="s">
        <v>4115</v>
      </c>
      <c r="E2091" t="s">
        <v>4116</v>
      </c>
      <c r="F2091" t="s">
        <v>4076</v>
      </c>
    </row>
    <row r="2092" spans="1:6" x14ac:dyDescent="0.25">
      <c r="A2092">
        <v>2557</v>
      </c>
      <c r="B2092" t="s">
        <v>4092</v>
      </c>
      <c r="C2092">
        <v>26</v>
      </c>
      <c r="D2092" t="s">
        <v>4115</v>
      </c>
      <c r="E2092" t="s">
        <v>4116</v>
      </c>
      <c r="F2092" t="s">
        <v>4075</v>
      </c>
    </row>
    <row r="2093" spans="1:6" x14ac:dyDescent="0.25">
      <c r="A2093">
        <v>2557</v>
      </c>
      <c r="B2093" t="s">
        <v>4092</v>
      </c>
      <c r="C2093">
        <v>31</v>
      </c>
      <c r="D2093" t="s">
        <v>4115</v>
      </c>
      <c r="E2093" t="s">
        <v>4116</v>
      </c>
      <c r="F2093" t="s">
        <v>4076</v>
      </c>
    </row>
    <row r="2094" spans="1:6" x14ac:dyDescent="0.25">
      <c r="A2094">
        <v>2558</v>
      </c>
      <c r="B2094" t="s">
        <v>4092</v>
      </c>
      <c r="C2094">
        <v>26</v>
      </c>
      <c r="D2094" t="s">
        <v>4115</v>
      </c>
      <c r="E2094" t="s">
        <v>4116</v>
      </c>
      <c r="F2094" t="s">
        <v>4075</v>
      </c>
    </row>
    <row r="2095" spans="1:6" x14ac:dyDescent="0.25">
      <c r="A2095">
        <v>2558</v>
      </c>
      <c r="B2095" t="s">
        <v>4092</v>
      </c>
      <c r="C2095">
        <v>31</v>
      </c>
      <c r="D2095" t="s">
        <v>4115</v>
      </c>
      <c r="E2095" t="s">
        <v>4116</v>
      </c>
      <c r="F2095" t="s">
        <v>4076</v>
      </c>
    </row>
    <row r="2096" spans="1:6" x14ac:dyDescent="0.25">
      <c r="A2096">
        <v>2559</v>
      </c>
      <c r="B2096" t="s">
        <v>4092</v>
      </c>
      <c r="C2096">
        <v>26</v>
      </c>
      <c r="D2096" t="s">
        <v>4115</v>
      </c>
      <c r="E2096" t="s">
        <v>4116</v>
      </c>
      <c r="F2096" t="s">
        <v>4075</v>
      </c>
    </row>
    <row r="2097" spans="1:6" x14ac:dyDescent="0.25">
      <c r="A2097">
        <v>2559</v>
      </c>
      <c r="B2097" t="s">
        <v>4092</v>
      </c>
      <c r="C2097">
        <v>31</v>
      </c>
      <c r="D2097" t="s">
        <v>4115</v>
      </c>
      <c r="E2097" t="s">
        <v>4116</v>
      </c>
      <c r="F2097" t="s">
        <v>4076</v>
      </c>
    </row>
    <row r="2098" spans="1:6" x14ac:dyDescent="0.25">
      <c r="A2098">
        <v>2560</v>
      </c>
      <c r="B2098" t="s">
        <v>4092</v>
      </c>
      <c r="C2098">
        <v>26</v>
      </c>
      <c r="D2098" t="s">
        <v>4115</v>
      </c>
      <c r="E2098" t="s">
        <v>4116</v>
      </c>
      <c r="F2098" t="s">
        <v>4075</v>
      </c>
    </row>
    <row r="2099" spans="1:6" x14ac:dyDescent="0.25">
      <c r="A2099">
        <v>2560</v>
      </c>
      <c r="B2099" t="s">
        <v>4092</v>
      </c>
      <c r="C2099">
        <v>31</v>
      </c>
      <c r="D2099" t="s">
        <v>4115</v>
      </c>
      <c r="E2099" t="s">
        <v>4116</v>
      </c>
      <c r="F2099" t="s">
        <v>4076</v>
      </c>
    </row>
    <row r="2100" spans="1:6" x14ac:dyDescent="0.25">
      <c r="A2100">
        <v>2561</v>
      </c>
      <c r="B2100" t="s">
        <v>4092</v>
      </c>
      <c r="C2100">
        <v>26</v>
      </c>
      <c r="D2100" t="s">
        <v>4115</v>
      </c>
      <c r="E2100" t="s">
        <v>4116</v>
      </c>
      <c r="F2100" t="s">
        <v>4075</v>
      </c>
    </row>
    <row r="2101" spans="1:6" x14ac:dyDescent="0.25">
      <c r="A2101">
        <v>2561</v>
      </c>
      <c r="B2101" t="s">
        <v>4092</v>
      </c>
      <c r="C2101">
        <v>31</v>
      </c>
      <c r="D2101" t="s">
        <v>4115</v>
      </c>
      <c r="E2101" t="s">
        <v>4116</v>
      </c>
      <c r="F2101" t="s">
        <v>4076</v>
      </c>
    </row>
    <row r="2102" spans="1:6" x14ac:dyDescent="0.25">
      <c r="A2102">
        <v>2562</v>
      </c>
      <c r="B2102" t="s">
        <v>4092</v>
      </c>
      <c r="C2102">
        <v>26</v>
      </c>
      <c r="D2102" t="s">
        <v>4115</v>
      </c>
      <c r="E2102" t="s">
        <v>4116</v>
      </c>
      <c r="F2102" t="s">
        <v>4075</v>
      </c>
    </row>
    <row r="2103" spans="1:6" x14ac:dyDescent="0.25">
      <c r="A2103">
        <v>2562</v>
      </c>
      <c r="B2103" t="s">
        <v>4092</v>
      </c>
      <c r="C2103">
        <v>31</v>
      </c>
      <c r="D2103" t="s">
        <v>4115</v>
      </c>
      <c r="E2103" t="s">
        <v>4116</v>
      </c>
      <c r="F2103" t="s">
        <v>4076</v>
      </c>
    </row>
    <row r="2104" spans="1:6" x14ac:dyDescent="0.25">
      <c r="A2104">
        <v>2563</v>
      </c>
      <c r="B2104" t="s">
        <v>4092</v>
      </c>
      <c r="C2104">
        <v>26</v>
      </c>
      <c r="D2104" t="s">
        <v>4115</v>
      </c>
      <c r="E2104" t="s">
        <v>4116</v>
      </c>
      <c r="F2104" t="s">
        <v>4075</v>
      </c>
    </row>
    <row r="2105" spans="1:6" x14ac:dyDescent="0.25">
      <c r="A2105">
        <v>2563</v>
      </c>
      <c r="B2105" t="s">
        <v>4092</v>
      </c>
      <c r="C2105">
        <v>31</v>
      </c>
      <c r="D2105" t="s">
        <v>4115</v>
      </c>
      <c r="E2105" t="s">
        <v>4116</v>
      </c>
      <c r="F2105" t="s">
        <v>4076</v>
      </c>
    </row>
    <row r="2106" spans="1:6" x14ac:dyDescent="0.25">
      <c r="A2106">
        <v>2564</v>
      </c>
      <c r="B2106" t="s">
        <v>4092</v>
      </c>
      <c r="C2106">
        <v>26</v>
      </c>
      <c r="D2106" t="s">
        <v>4115</v>
      </c>
      <c r="E2106" t="s">
        <v>4116</v>
      </c>
      <c r="F2106" t="s">
        <v>4075</v>
      </c>
    </row>
    <row r="2107" spans="1:6" x14ac:dyDescent="0.25">
      <c r="A2107">
        <v>2564</v>
      </c>
      <c r="B2107" t="s">
        <v>4092</v>
      </c>
      <c r="C2107">
        <v>31</v>
      </c>
      <c r="D2107" t="s">
        <v>4115</v>
      </c>
      <c r="E2107" t="s">
        <v>4116</v>
      </c>
      <c r="F2107" t="s">
        <v>4076</v>
      </c>
    </row>
    <row r="2108" spans="1:6" x14ac:dyDescent="0.25">
      <c r="A2108">
        <v>2565</v>
      </c>
      <c r="B2108" t="s">
        <v>4092</v>
      </c>
      <c r="C2108">
        <v>26</v>
      </c>
      <c r="D2108" t="s">
        <v>4115</v>
      </c>
      <c r="E2108" t="s">
        <v>4116</v>
      </c>
      <c r="F2108" t="s">
        <v>4075</v>
      </c>
    </row>
    <row r="2109" spans="1:6" x14ac:dyDescent="0.25">
      <c r="A2109">
        <v>2565</v>
      </c>
      <c r="B2109" t="s">
        <v>4092</v>
      </c>
      <c r="C2109">
        <v>31</v>
      </c>
      <c r="D2109" t="s">
        <v>4115</v>
      </c>
      <c r="E2109" t="s">
        <v>4116</v>
      </c>
      <c r="F2109" t="s">
        <v>4076</v>
      </c>
    </row>
    <row r="2110" spans="1:6" x14ac:dyDescent="0.25">
      <c r="A2110">
        <v>2566</v>
      </c>
      <c r="B2110" t="s">
        <v>4092</v>
      </c>
      <c r="C2110">
        <v>26</v>
      </c>
      <c r="D2110" t="s">
        <v>4115</v>
      </c>
      <c r="E2110" t="s">
        <v>4116</v>
      </c>
      <c r="F2110" t="s">
        <v>4075</v>
      </c>
    </row>
    <row r="2111" spans="1:6" x14ac:dyDescent="0.25">
      <c r="A2111">
        <v>2566</v>
      </c>
      <c r="B2111" t="s">
        <v>4092</v>
      </c>
      <c r="C2111">
        <v>31</v>
      </c>
      <c r="D2111" t="s">
        <v>4115</v>
      </c>
      <c r="E2111" t="s">
        <v>4116</v>
      </c>
      <c r="F2111" t="s">
        <v>4076</v>
      </c>
    </row>
    <row r="2112" spans="1:6" x14ac:dyDescent="0.25">
      <c r="A2112">
        <v>2567</v>
      </c>
      <c r="B2112" t="s">
        <v>4092</v>
      </c>
      <c r="C2112">
        <v>26</v>
      </c>
      <c r="D2112" t="s">
        <v>4115</v>
      </c>
      <c r="E2112" t="s">
        <v>4116</v>
      </c>
      <c r="F2112" t="s">
        <v>4075</v>
      </c>
    </row>
    <row r="2113" spans="1:6" x14ac:dyDescent="0.25">
      <c r="A2113">
        <v>2567</v>
      </c>
      <c r="B2113" t="s">
        <v>4092</v>
      </c>
      <c r="C2113">
        <v>31</v>
      </c>
      <c r="D2113" t="s">
        <v>4115</v>
      </c>
      <c r="E2113" t="s">
        <v>4116</v>
      </c>
      <c r="F2113" t="s">
        <v>4076</v>
      </c>
    </row>
    <row r="2114" spans="1:6" x14ac:dyDescent="0.25">
      <c r="A2114">
        <v>2568</v>
      </c>
      <c r="B2114" t="s">
        <v>4092</v>
      </c>
      <c r="C2114">
        <v>26</v>
      </c>
      <c r="D2114" t="s">
        <v>4115</v>
      </c>
      <c r="E2114" t="s">
        <v>4116</v>
      </c>
      <c r="F2114" t="s">
        <v>4075</v>
      </c>
    </row>
    <row r="2115" spans="1:6" x14ac:dyDescent="0.25">
      <c r="A2115">
        <v>2568</v>
      </c>
      <c r="B2115" t="s">
        <v>4092</v>
      </c>
      <c r="C2115">
        <v>31</v>
      </c>
      <c r="D2115" t="s">
        <v>4115</v>
      </c>
      <c r="E2115" t="s">
        <v>4116</v>
      </c>
      <c r="F2115" t="s">
        <v>4076</v>
      </c>
    </row>
    <row r="2116" spans="1:6" x14ac:dyDescent="0.25">
      <c r="A2116">
        <v>2569</v>
      </c>
      <c r="B2116" t="s">
        <v>4092</v>
      </c>
      <c r="C2116">
        <v>26</v>
      </c>
      <c r="D2116" t="s">
        <v>4115</v>
      </c>
      <c r="E2116" t="s">
        <v>4116</v>
      </c>
      <c r="F2116" t="s">
        <v>4075</v>
      </c>
    </row>
    <row r="2117" spans="1:6" x14ac:dyDescent="0.25">
      <c r="A2117">
        <v>2569</v>
      </c>
      <c r="B2117" t="s">
        <v>4092</v>
      </c>
      <c r="C2117">
        <v>31</v>
      </c>
      <c r="D2117" t="s">
        <v>4115</v>
      </c>
      <c r="E2117" t="s">
        <v>4116</v>
      </c>
      <c r="F2117" t="s">
        <v>4076</v>
      </c>
    </row>
    <row r="2118" spans="1:6" x14ac:dyDescent="0.25">
      <c r="A2118">
        <v>2570</v>
      </c>
      <c r="B2118" t="s">
        <v>4092</v>
      </c>
      <c r="C2118">
        <v>26</v>
      </c>
      <c r="D2118" t="s">
        <v>4115</v>
      </c>
      <c r="E2118" t="s">
        <v>4116</v>
      </c>
      <c r="F2118" t="s">
        <v>4075</v>
      </c>
    </row>
    <row r="2119" spans="1:6" x14ac:dyDescent="0.25">
      <c r="A2119">
        <v>2570</v>
      </c>
      <c r="B2119" t="s">
        <v>4092</v>
      </c>
      <c r="C2119">
        <v>31</v>
      </c>
      <c r="D2119" t="s">
        <v>4115</v>
      </c>
      <c r="E2119" t="s">
        <v>4116</v>
      </c>
      <c r="F2119" t="s">
        <v>4076</v>
      </c>
    </row>
    <row r="2120" spans="1:6" x14ac:dyDescent="0.25">
      <c r="A2120">
        <v>2571</v>
      </c>
      <c r="B2120" t="s">
        <v>4092</v>
      </c>
      <c r="C2120">
        <v>26</v>
      </c>
      <c r="D2120" t="s">
        <v>4115</v>
      </c>
      <c r="E2120" t="s">
        <v>4116</v>
      </c>
      <c r="F2120" t="s">
        <v>4075</v>
      </c>
    </row>
    <row r="2121" spans="1:6" x14ac:dyDescent="0.25">
      <c r="A2121">
        <v>2571</v>
      </c>
      <c r="B2121" t="s">
        <v>4092</v>
      </c>
      <c r="C2121">
        <v>31</v>
      </c>
      <c r="D2121" t="s">
        <v>4115</v>
      </c>
      <c r="E2121" t="s">
        <v>4116</v>
      </c>
      <c r="F2121" t="s">
        <v>4076</v>
      </c>
    </row>
    <row r="2122" spans="1:6" x14ac:dyDescent="0.25">
      <c r="A2122">
        <v>2572</v>
      </c>
      <c r="B2122" t="s">
        <v>4092</v>
      </c>
      <c r="C2122">
        <v>26</v>
      </c>
      <c r="D2122" t="s">
        <v>4115</v>
      </c>
      <c r="E2122" t="s">
        <v>4116</v>
      </c>
      <c r="F2122" t="s">
        <v>4075</v>
      </c>
    </row>
    <row r="2123" spans="1:6" x14ac:dyDescent="0.25">
      <c r="A2123">
        <v>2572</v>
      </c>
      <c r="B2123" t="s">
        <v>4092</v>
      </c>
      <c r="C2123">
        <v>31</v>
      </c>
      <c r="D2123" t="s">
        <v>4115</v>
      </c>
      <c r="E2123" t="s">
        <v>4116</v>
      </c>
      <c r="F2123" t="s">
        <v>4076</v>
      </c>
    </row>
    <row r="2124" spans="1:6" x14ac:dyDescent="0.25">
      <c r="A2124">
        <v>2573</v>
      </c>
      <c r="B2124" t="s">
        <v>4092</v>
      </c>
      <c r="C2124">
        <v>26</v>
      </c>
      <c r="D2124" t="s">
        <v>4115</v>
      </c>
      <c r="E2124" t="s">
        <v>4116</v>
      </c>
      <c r="F2124" t="s">
        <v>4075</v>
      </c>
    </row>
    <row r="2125" spans="1:6" x14ac:dyDescent="0.25">
      <c r="A2125">
        <v>2573</v>
      </c>
      <c r="B2125" t="s">
        <v>4092</v>
      </c>
      <c r="C2125">
        <v>31</v>
      </c>
      <c r="D2125" t="s">
        <v>4115</v>
      </c>
      <c r="E2125" t="s">
        <v>4116</v>
      </c>
      <c r="F2125" t="s">
        <v>4076</v>
      </c>
    </row>
    <row r="2126" spans="1:6" x14ac:dyDescent="0.25">
      <c r="A2126">
        <v>2574</v>
      </c>
      <c r="B2126" t="s">
        <v>4092</v>
      </c>
      <c r="C2126">
        <v>26</v>
      </c>
      <c r="D2126" t="s">
        <v>4115</v>
      </c>
      <c r="E2126" t="s">
        <v>4116</v>
      </c>
      <c r="F2126" t="s">
        <v>4075</v>
      </c>
    </row>
    <row r="2127" spans="1:6" x14ac:dyDescent="0.25">
      <c r="A2127">
        <v>2574</v>
      </c>
      <c r="B2127" t="s">
        <v>4092</v>
      </c>
      <c r="C2127">
        <v>31</v>
      </c>
      <c r="D2127" t="s">
        <v>4115</v>
      </c>
      <c r="E2127" t="s">
        <v>4116</v>
      </c>
      <c r="F2127" t="s">
        <v>4076</v>
      </c>
    </row>
    <row r="2128" spans="1:6" x14ac:dyDescent="0.25">
      <c r="A2128">
        <v>2575</v>
      </c>
      <c r="B2128" t="s">
        <v>4092</v>
      </c>
      <c r="C2128">
        <v>26</v>
      </c>
      <c r="D2128" t="s">
        <v>4115</v>
      </c>
      <c r="E2128" t="s">
        <v>4116</v>
      </c>
      <c r="F2128" t="s">
        <v>4075</v>
      </c>
    </row>
    <row r="2129" spans="1:6" x14ac:dyDescent="0.25">
      <c r="A2129">
        <v>2575</v>
      </c>
      <c r="B2129" t="s">
        <v>4092</v>
      </c>
      <c r="C2129">
        <v>31</v>
      </c>
      <c r="D2129" t="s">
        <v>4115</v>
      </c>
      <c r="E2129" t="s">
        <v>4116</v>
      </c>
      <c r="F2129" t="s">
        <v>4076</v>
      </c>
    </row>
    <row r="2130" spans="1:6" x14ac:dyDescent="0.25">
      <c r="A2130">
        <v>2576</v>
      </c>
      <c r="B2130" t="s">
        <v>4072</v>
      </c>
      <c r="C2130">
        <v>3</v>
      </c>
      <c r="D2130" t="s">
        <v>4085</v>
      </c>
      <c r="E2130" t="s">
        <v>4086</v>
      </c>
      <c r="F2130" t="s">
        <v>4075</v>
      </c>
    </row>
    <row r="2131" spans="1:6" x14ac:dyDescent="0.25">
      <c r="A2131">
        <v>2576</v>
      </c>
      <c r="B2131" t="s">
        <v>4072</v>
      </c>
      <c r="C2131">
        <v>4</v>
      </c>
      <c r="D2131" t="s">
        <v>4077</v>
      </c>
      <c r="E2131" t="s">
        <v>4078</v>
      </c>
      <c r="F2131" t="s">
        <v>4075</v>
      </c>
    </row>
    <row r="2132" spans="1:6" x14ac:dyDescent="0.25">
      <c r="A2132">
        <v>2576</v>
      </c>
      <c r="B2132" t="s">
        <v>4072</v>
      </c>
      <c r="C2132">
        <v>5</v>
      </c>
      <c r="D2132" t="s">
        <v>4087</v>
      </c>
      <c r="E2132" t="s">
        <v>4088</v>
      </c>
      <c r="F2132" t="s">
        <v>4075</v>
      </c>
    </row>
    <row r="2133" spans="1:6" x14ac:dyDescent="0.25">
      <c r="A2133">
        <v>2576</v>
      </c>
      <c r="B2133" t="s">
        <v>4072</v>
      </c>
      <c r="C2133">
        <v>15</v>
      </c>
      <c r="D2133" t="s">
        <v>4080</v>
      </c>
      <c r="E2133" t="s">
        <v>4081</v>
      </c>
      <c r="F2133" t="s">
        <v>4076</v>
      </c>
    </row>
    <row r="2134" spans="1:6" x14ac:dyDescent="0.25">
      <c r="A2134">
        <v>2576</v>
      </c>
      <c r="B2134" t="s">
        <v>4072</v>
      </c>
      <c r="C2134">
        <v>16</v>
      </c>
      <c r="D2134" t="s">
        <v>4077</v>
      </c>
      <c r="E2134" t="s">
        <v>4078</v>
      </c>
      <c r="F2134" t="s">
        <v>4076</v>
      </c>
    </row>
    <row r="2135" spans="1:6" x14ac:dyDescent="0.25">
      <c r="A2135">
        <v>2576</v>
      </c>
      <c r="B2135" t="s">
        <v>4072</v>
      </c>
      <c r="C2135">
        <v>40</v>
      </c>
      <c r="D2135" t="s">
        <v>4080</v>
      </c>
      <c r="E2135" t="s">
        <v>4081</v>
      </c>
      <c r="F2135" t="s">
        <v>4079</v>
      </c>
    </row>
    <row r="2136" spans="1:6" x14ac:dyDescent="0.25">
      <c r="A2136">
        <v>2576</v>
      </c>
      <c r="B2136" t="s">
        <v>4072</v>
      </c>
      <c r="C2136">
        <v>44</v>
      </c>
      <c r="D2136" t="s">
        <v>4077</v>
      </c>
      <c r="E2136" t="s">
        <v>4078</v>
      </c>
      <c r="F2136" t="s">
        <v>4079</v>
      </c>
    </row>
    <row r="2137" spans="1:6" x14ac:dyDescent="0.25">
      <c r="A2137">
        <v>2577</v>
      </c>
      <c r="B2137" t="s">
        <v>4092</v>
      </c>
      <c r="C2137">
        <v>24</v>
      </c>
      <c r="D2137" t="s">
        <v>2760</v>
      </c>
      <c r="E2137" t="s">
        <v>4108</v>
      </c>
      <c r="F2137" t="s">
        <v>4075</v>
      </c>
    </row>
    <row r="2138" spans="1:6" x14ac:dyDescent="0.25">
      <c r="A2138">
        <v>2578</v>
      </c>
      <c r="B2138" t="s">
        <v>4092</v>
      </c>
      <c r="C2138">
        <v>24</v>
      </c>
      <c r="D2138" t="s">
        <v>2760</v>
      </c>
      <c r="E2138" t="s">
        <v>4108</v>
      </c>
      <c r="F2138" t="s">
        <v>4075</v>
      </c>
    </row>
    <row r="2139" spans="1:6" x14ac:dyDescent="0.25">
      <c r="A2139">
        <v>2578</v>
      </c>
      <c r="B2139" t="s">
        <v>4092</v>
      </c>
      <c r="C2139">
        <v>29</v>
      </c>
      <c r="D2139" t="s">
        <v>2760</v>
      </c>
      <c r="E2139" t="s">
        <v>4108</v>
      </c>
      <c r="F2139" t="s">
        <v>4076</v>
      </c>
    </row>
    <row r="2140" spans="1:6" x14ac:dyDescent="0.25">
      <c r="A2140">
        <v>2578</v>
      </c>
      <c r="B2140" t="s">
        <v>4092</v>
      </c>
      <c r="C2140">
        <v>49</v>
      </c>
      <c r="D2140" t="s">
        <v>2760</v>
      </c>
      <c r="E2140" t="s">
        <v>4108</v>
      </c>
      <c r="F2140" t="s">
        <v>4079</v>
      </c>
    </row>
    <row r="2141" spans="1:6" x14ac:dyDescent="0.25">
      <c r="A2141">
        <v>2579</v>
      </c>
      <c r="B2141" t="s">
        <v>4092</v>
      </c>
      <c r="C2141">
        <v>23</v>
      </c>
      <c r="D2141" t="s">
        <v>2757</v>
      </c>
      <c r="E2141" t="s">
        <v>4093</v>
      </c>
      <c r="F2141" t="s">
        <v>4075</v>
      </c>
    </row>
    <row r="2142" spans="1:6" x14ac:dyDescent="0.25">
      <c r="A2142">
        <v>2579</v>
      </c>
      <c r="B2142" t="s">
        <v>4092</v>
      </c>
      <c r="C2142">
        <v>28</v>
      </c>
      <c r="D2142" t="s">
        <v>2757</v>
      </c>
      <c r="E2142" t="s">
        <v>4093</v>
      </c>
      <c r="F2142" t="s">
        <v>4076</v>
      </c>
    </row>
    <row r="2143" spans="1:6" x14ac:dyDescent="0.25">
      <c r="A2143">
        <v>2580</v>
      </c>
      <c r="B2143" t="s">
        <v>4092</v>
      </c>
      <c r="C2143">
        <v>24</v>
      </c>
      <c r="D2143" t="s">
        <v>2760</v>
      </c>
      <c r="E2143" t="s">
        <v>4108</v>
      </c>
      <c r="F2143" t="s">
        <v>4075</v>
      </c>
    </row>
    <row r="2144" spans="1:6" x14ac:dyDescent="0.25">
      <c r="A2144">
        <v>2580</v>
      </c>
      <c r="B2144" t="s">
        <v>4092</v>
      </c>
      <c r="C2144">
        <v>29</v>
      </c>
      <c r="D2144" t="s">
        <v>2760</v>
      </c>
      <c r="E2144" t="s">
        <v>4108</v>
      </c>
      <c r="F2144" t="s">
        <v>4076</v>
      </c>
    </row>
    <row r="2145" spans="1:6" x14ac:dyDescent="0.25">
      <c r="A2145">
        <v>2583</v>
      </c>
      <c r="B2145" t="s">
        <v>4092</v>
      </c>
      <c r="C2145">
        <v>33</v>
      </c>
      <c r="D2145" t="s">
        <v>4109</v>
      </c>
      <c r="E2145" t="s">
        <v>4110</v>
      </c>
      <c r="F2145" t="s">
        <v>4075</v>
      </c>
    </row>
    <row r="2146" spans="1:6" x14ac:dyDescent="0.25">
      <c r="A2146">
        <v>2583</v>
      </c>
      <c r="B2146" t="s">
        <v>4092</v>
      </c>
      <c r="C2146">
        <v>34</v>
      </c>
      <c r="D2146" t="s">
        <v>4109</v>
      </c>
      <c r="E2146" t="s">
        <v>4110</v>
      </c>
      <c r="F2146" t="s">
        <v>4076</v>
      </c>
    </row>
    <row r="2147" spans="1:6" x14ac:dyDescent="0.25">
      <c r="A2147">
        <v>2583</v>
      </c>
      <c r="B2147" t="s">
        <v>4092</v>
      </c>
      <c r="C2147">
        <v>51</v>
      </c>
      <c r="D2147" t="s">
        <v>4109</v>
      </c>
      <c r="E2147" t="s">
        <v>4111</v>
      </c>
      <c r="F2147" t="s">
        <v>4079</v>
      </c>
    </row>
    <row r="2148" spans="1:6" x14ac:dyDescent="0.25">
      <c r="A2148">
        <v>2587</v>
      </c>
      <c r="B2148" t="s">
        <v>4072</v>
      </c>
      <c r="C2148">
        <v>6</v>
      </c>
      <c r="D2148" t="s">
        <v>4073</v>
      </c>
      <c r="E2148" t="s">
        <v>4074</v>
      </c>
      <c r="F2148" t="s">
        <v>4075</v>
      </c>
    </row>
    <row r="2149" spans="1:6" x14ac:dyDescent="0.25">
      <c r="A2149">
        <v>2588</v>
      </c>
      <c r="B2149" t="s">
        <v>4072</v>
      </c>
      <c r="C2149">
        <v>5</v>
      </c>
      <c r="D2149" t="s">
        <v>4087</v>
      </c>
      <c r="E2149" t="s">
        <v>4088</v>
      </c>
      <c r="F2149" t="s">
        <v>4075</v>
      </c>
    </row>
    <row r="2150" spans="1:6" x14ac:dyDescent="0.25">
      <c r="A2150">
        <v>2588</v>
      </c>
      <c r="B2150" t="s">
        <v>4072</v>
      </c>
      <c r="C2150">
        <v>15</v>
      </c>
      <c r="D2150" t="s">
        <v>4080</v>
      </c>
      <c r="E2150" t="s">
        <v>4081</v>
      </c>
      <c r="F2150" t="s">
        <v>4076</v>
      </c>
    </row>
    <row r="2151" spans="1:6" x14ac:dyDescent="0.25">
      <c r="A2151">
        <v>2589</v>
      </c>
      <c r="B2151" t="s">
        <v>4072</v>
      </c>
      <c r="C2151">
        <v>4</v>
      </c>
      <c r="D2151" t="s">
        <v>4077</v>
      </c>
      <c r="E2151" t="s">
        <v>4078</v>
      </c>
      <c r="F2151" t="s">
        <v>4075</v>
      </c>
    </row>
    <row r="2152" spans="1:6" x14ac:dyDescent="0.25">
      <c r="A2152">
        <v>2589</v>
      </c>
      <c r="B2152" t="s">
        <v>4072</v>
      </c>
      <c r="C2152">
        <v>16</v>
      </c>
      <c r="D2152" t="s">
        <v>4077</v>
      </c>
      <c r="E2152" t="s">
        <v>4078</v>
      </c>
      <c r="F2152" t="s">
        <v>4076</v>
      </c>
    </row>
    <row r="2153" spans="1:6" x14ac:dyDescent="0.25">
      <c r="A2153">
        <v>2589</v>
      </c>
      <c r="B2153" t="s">
        <v>4072</v>
      </c>
      <c r="C2153">
        <v>44</v>
      </c>
      <c r="D2153" t="s">
        <v>4077</v>
      </c>
      <c r="E2153" t="s">
        <v>4078</v>
      </c>
      <c r="F2153" t="s">
        <v>4079</v>
      </c>
    </row>
    <row r="2154" spans="1:6" x14ac:dyDescent="0.25">
      <c r="A2154">
        <v>2590</v>
      </c>
      <c r="B2154" t="s">
        <v>4072</v>
      </c>
      <c r="C2154">
        <v>3</v>
      </c>
      <c r="D2154" t="s">
        <v>4085</v>
      </c>
      <c r="E2154" t="s">
        <v>4086</v>
      </c>
      <c r="F2154" t="s">
        <v>4075</v>
      </c>
    </row>
    <row r="2155" spans="1:6" x14ac:dyDescent="0.25">
      <c r="A2155">
        <v>2590</v>
      </c>
      <c r="B2155" t="s">
        <v>4072</v>
      </c>
      <c r="C2155">
        <v>5</v>
      </c>
      <c r="D2155" t="s">
        <v>4087</v>
      </c>
      <c r="E2155" t="s">
        <v>4088</v>
      </c>
      <c r="F2155" t="s">
        <v>4075</v>
      </c>
    </row>
    <row r="2156" spans="1:6" x14ac:dyDescent="0.25">
      <c r="A2156">
        <v>2590</v>
      </c>
      <c r="B2156" t="s">
        <v>4072</v>
      </c>
      <c r="C2156">
        <v>15</v>
      </c>
      <c r="D2156" t="s">
        <v>4080</v>
      </c>
      <c r="E2156" t="s">
        <v>4081</v>
      </c>
      <c r="F2156" t="s">
        <v>4076</v>
      </c>
    </row>
    <row r="2157" spans="1:6" x14ac:dyDescent="0.25">
      <c r="A2157">
        <v>2590</v>
      </c>
      <c r="B2157" t="s">
        <v>4072</v>
      </c>
      <c r="C2157">
        <v>40</v>
      </c>
      <c r="D2157" t="s">
        <v>4080</v>
      </c>
      <c r="E2157" t="s">
        <v>4081</v>
      </c>
      <c r="F2157" t="s">
        <v>4079</v>
      </c>
    </row>
    <row r="2158" spans="1:6" x14ac:dyDescent="0.25">
      <c r="A2158">
        <v>2591</v>
      </c>
      <c r="B2158" t="s">
        <v>4072</v>
      </c>
      <c r="C2158">
        <v>3</v>
      </c>
      <c r="D2158" t="s">
        <v>4085</v>
      </c>
      <c r="E2158" t="s">
        <v>4086</v>
      </c>
      <c r="F2158" t="s">
        <v>4075</v>
      </c>
    </row>
    <row r="2159" spans="1:6" x14ac:dyDescent="0.25">
      <c r="A2159">
        <v>2591</v>
      </c>
      <c r="B2159" t="s">
        <v>4072</v>
      </c>
      <c r="C2159">
        <v>5</v>
      </c>
      <c r="D2159" t="s">
        <v>4087</v>
      </c>
      <c r="E2159" t="s">
        <v>4088</v>
      </c>
      <c r="F2159" t="s">
        <v>4075</v>
      </c>
    </row>
    <row r="2160" spans="1:6" x14ac:dyDescent="0.25">
      <c r="A2160">
        <v>2591</v>
      </c>
      <c r="B2160" t="s">
        <v>4072</v>
      </c>
      <c r="C2160">
        <v>15</v>
      </c>
      <c r="D2160" t="s">
        <v>4080</v>
      </c>
      <c r="E2160" t="s">
        <v>4081</v>
      </c>
      <c r="F2160" t="s">
        <v>4076</v>
      </c>
    </row>
    <row r="2161" spans="1:6" x14ac:dyDescent="0.25">
      <c r="A2161">
        <v>2591</v>
      </c>
      <c r="B2161" t="s">
        <v>4072</v>
      </c>
      <c r="C2161">
        <v>40</v>
      </c>
      <c r="D2161" t="s">
        <v>4080</v>
      </c>
      <c r="E2161" t="s">
        <v>4081</v>
      </c>
      <c r="F2161" t="s">
        <v>4079</v>
      </c>
    </row>
    <row r="2162" spans="1:6" x14ac:dyDescent="0.25">
      <c r="A2162">
        <v>2592</v>
      </c>
      <c r="B2162" t="s">
        <v>4072</v>
      </c>
      <c r="C2162">
        <v>5</v>
      </c>
      <c r="D2162" t="s">
        <v>4087</v>
      </c>
      <c r="E2162" t="s">
        <v>4088</v>
      </c>
      <c r="F2162" t="s">
        <v>4075</v>
      </c>
    </row>
    <row r="2163" spans="1:6" x14ac:dyDescent="0.25">
      <c r="A2163">
        <v>2592</v>
      </c>
      <c r="B2163" t="s">
        <v>4072</v>
      </c>
      <c r="C2163">
        <v>15</v>
      </c>
      <c r="D2163" t="s">
        <v>4080</v>
      </c>
      <c r="E2163" t="s">
        <v>4081</v>
      </c>
      <c r="F2163" t="s">
        <v>4076</v>
      </c>
    </row>
    <row r="2164" spans="1:6" x14ac:dyDescent="0.25">
      <c r="A2164">
        <v>2592</v>
      </c>
      <c r="B2164" t="s">
        <v>4072</v>
      </c>
      <c r="C2164">
        <v>40</v>
      </c>
      <c r="D2164" t="s">
        <v>4080</v>
      </c>
      <c r="E2164" t="s">
        <v>4081</v>
      </c>
      <c r="F2164" t="s">
        <v>4079</v>
      </c>
    </row>
    <row r="2165" spans="1:6" x14ac:dyDescent="0.25">
      <c r="A2165">
        <v>2593</v>
      </c>
      <c r="B2165" t="s">
        <v>4072</v>
      </c>
      <c r="C2165">
        <v>5</v>
      </c>
      <c r="D2165" t="s">
        <v>4087</v>
      </c>
      <c r="E2165" t="s">
        <v>4088</v>
      </c>
      <c r="F2165" t="s">
        <v>4075</v>
      </c>
    </row>
    <row r="2166" spans="1:6" x14ac:dyDescent="0.25">
      <c r="A2166">
        <v>2593</v>
      </c>
      <c r="B2166" t="s">
        <v>4072</v>
      </c>
      <c r="C2166">
        <v>15</v>
      </c>
      <c r="D2166" t="s">
        <v>4080</v>
      </c>
      <c r="E2166" t="s">
        <v>4081</v>
      </c>
      <c r="F2166" t="s">
        <v>4076</v>
      </c>
    </row>
    <row r="2167" spans="1:6" x14ac:dyDescent="0.25">
      <c r="A2167">
        <v>2593</v>
      </c>
      <c r="B2167" t="s">
        <v>4072</v>
      </c>
      <c r="C2167">
        <v>40</v>
      </c>
      <c r="D2167" t="s">
        <v>4080</v>
      </c>
      <c r="E2167" t="s">
        <v>4081</v>
      </c>
      <c r="F2167" t="s">
        <v>4079</v>
      </c>
    </row>
    <row r="2168" spans="1:6" x14ac:dyDescent="0.25">
      <c r="A2168">
        <v>2595</v>
      </c>
      <c r="B2168" t="s">
        <v>4072</v>
      </c>
      <c r="C2168">
        <v>4</v>
      </c>
      <c r="D2168" t="s">
        <v>4077</v>
      </c>
      <c r="E2168" t="s">
        <v>4078</v>
      </c>
      <c r="F2168" t="s">
        <v>4075</v>
      </c>
    </row>
    <row r="2169" spans="1:6" x14ac:dyDescent="0.25">
      <c r="A2169">
        <v>2595</v>
      </c>
      <c r="B2169" t="s">
        <v>4072</v>
      </c>
      <c r="C2169">
        <v>16</v>
      </c>
      <c r="D2169" t="s">
        <v>4077</v>
      </c>
      <c r="E2169" t="s">
        <v>4078</v>
      </c>
      <c r="F2169" t="s">
        <v>4076</v>
      </c>
    </row>
    <row r="2170" spans="1:6" x14ac:dyDescent="0.25">
      <c r="A2170">
        <v>2595</v>
      </c>
      <c r="B2170" t="s">
        <v>4072</v>
      </c>
      <c r="C2170">
        <v>44</v>
      </c>
      <c r="D2170" t="s">
        <v>4077</v>
      </c>
      <c r="E2170" t="s">
        <v>4078</v>
      </c>
      <c r="F2170" t="s">
        <v>4079</v>
      </c>
    </row>
    <row r="2171" spans="1:6" x14ac:dyDescent="0.25">
      <c r="A2171">
        <v>2599</v>
      </c>
      <c r="B2171" t="s">
        <v>4072</v>
      </c>
      <c r="C2171">
        <v>4</v>
      </c>
      <c r="D2171" t="s">
        <v>4077</v>
      </c>
      <c r="E2171" t="s">
        <v>4078</v>
      </c>
      <c r="F2171" t="s">
        <v>4075</v>
      </c>
    </row>
    <row r="2172" spans="1:6" x14ac:dyDescent="0.25">
      <c r="A2172">
        <v>2599</v>
      </c>
      <c r="B2172" t="s">
        <v>4072</v>
      </c>
      <c r="C2172">
        <v>16</v>
      </c>
      <c r="D2172" t="s">
        <v>4077</v>
      </c>
      <c r="E2172" t="s">
        <v>4078</v>
      </c>
      <c r="F2172" t="s">
        <v>4076</v>
      </c>
    </row>
    <row r="2173" spans="1:6" x14ac:dyDescent="0.25">
      <c r="A2173">
        <v>2600</v>
      </c>
      <c r="B2173" t="s">
        <v>4072</v>
      </c>
      <c r="C2173">
        <v>3</v>
      </c>
      <c r="D2173" t="s">
        <v>4085</v>
      </c>
      <c r="E2173" t="s">
        <v>4086</v>
      </c>
      <c r="F2173" t="s">
        <v>4075</v>
      </c>
    </row>
    <row r="2174" spans="1:6" x14ac:dyDescent="0.25">
      <c r="A2174">
        <v>2600</v>
      </c>
      <c r="B2174" t="s">
        <v>4072</v>
      </c>
      <c r="C2174">
        <v>15</v>
      </c>
      <c r="D2174" t="s">
        <v>4080</v>
      </c>
      <c r="E2174" t="s">
        <v>4081</v>
      </c>
      <c r="F2174" t="s">
        <v>4076</v>
      </c>
    </row>
    <row r="2175" spans="1:6" x14ac:dyDescent="0.25">
      <c r="A2175">
        <v>2601</v>
      </c>
      <c r="B2175" t="s">
        <v>4072</v>
      </c>
      <c r="C2175">
        <v>5</v>
      </c>
      <c r="D2175" t="s">
        <v>4087</v>
      </c>
      <c r="E2175" t="s">
        <v>4088</v>
      </c>
      <c r="F2175" t="s">
        <v>4075</v>
      </c>
    </row>
    <row r="2176" spans="1:6" x14ac:dyDescent="0.25">
      <c r="A2176">
        <v>2601</v>
      </c>
      <c r="B2176" t="s">
        <v>4072</v>
      </c>
      <c r="C2176">
        <v>15</v>
      </c>
      <c r="D2176" t="s">
        <v>4080</v>
      </c>
      <c r="E2176" t="s">
        <v>4081</v>
      </c>
      <c r="F2176" t="s">
        <v>4076</v>
      </c>
    </row>
    <row r="2177" spans="1:6" x14ac:dyDescent="0.25">
      <c r="A2177">
        <v>2602</v>
      </c>
      <c r="B2177" t="s">
        <v>4072</v>
      </c>
      <c r="C2177">
        <v>2</v>
      </c>
      <c r="D2177" t="s">
        <v>4082</v>
      </c>
      <c r="E2177" t="s">
        <v>4083</v>
      </c>
      <c r="F2177" t="s">
        <v>4075</v>
      </c>
    </row>
    <row r="2178" spans="1:6" x14ac:dyDescent="0.25">
      <c r="A2178">
        <v>2602</v>
      </c>
      <c r="B2178" t="s">
        <v>4072</v>
      </c>
      <c r="C2178">
        <v>17</v>
      </c>
      <c r="D2178" t="s">
        <v>4082</v>
      </c>
      <c r="E2178" t="s">
        <v>4084</v>
      </c>
      <c r="F2178" t="s">
        <v>4076</v>
      </c>
    </row>
    <row r="2179" spans="1:6" x14ac:dyDescent="0.25">
      <c r="A2179">
        <v>2603</v>
      </c>
      <c r="B2179" t="s">
        <v>4072</v>
      </c>
      <c r="C2179">
        <v>6</v>
      </c>
      <c r="D2179" t="s">
        <v>4073</v>
      </c>
      <c r="E2179" t="s">
        <v>4074</v>
      </c>
      <c r="F2179" t="s">
        <v>4075</v>
      </c>
    </row>
    <row r="2180" spans="1:6" x14ac:dyDescent="0.25">
      <c r="A2180">
        <v>2603</v>
      </c>
      <c r="B2180" t="s">
        <v>4072</v>
      </c>
      <c r="C2180">
        <v>19</v>
      </c>
      <c r="D2180" t="s">
        <v>4073</v>
      </c>
      <c r="E2180" t="s">
        <v>4074</v>
      </c>
      <c r="F2180" t="s">
        <v>4076</v>
      </c>
    </row>
    <row r="2181" spans="1:6" x14ac:dyDescent="0.25">
      <c r="A2181">
        <v>2608</v>
      </c>
      <c r="B2181" t="s">
        <v>4092</v>
      </c>
      <c r="C2181">
        <v>33</v>
      </c>
      <c r="D2181" t="s">
        <v>4109</v>
      </c>
      <c r="E2181" t="s">
        <v>4110</v>
      </c>
      <c r="F2181" t="s">
        <v>4075</v>
      </c>
    </row>
    <row r="2182" spans="1:6" x14ac:dyDescent="0.25">
      <c r="A2182">
        <v>2608</v>
      </c>
      <c r="B2182" t="s">
        <v>4092</v>
      </c>
      <c r="C2182">
        <v>34</v>
      </c>
      <c r="D2182" t="s">
        <v>4109</v>
      </c>
      <c r="E2182" t="s">
        <v>4110</v>
      </c>
      <c r="F2182" t="s">
        <v>4076</v>
      </c>
    </row>
    <row r="2183" spans="1:6" x14ac:dyDescent="0.25">
      <c r="A2183">
        <v>2611</v>
      </c>
      <c r="B2183" t="s">
        <v>4072</v>
      </c>
      <c r="C2183">
        <v>6</v>
      </c>
      <c r="D2183" t="s">
        <v>4073</v>
      </c>
      <c r="E2183" t="s">
        <v>4074</v>
      </c>
      <c r="F2183" t="s">
        <v>4075</v>
      </c>
    </row>
    <row r="2184" spans="1:6" x14ac:dyDescent="0.25">
      <c r="A2184">
        <v>2611</v>
      </c>
      <c r="B2184" t="s">
        <v>4072</v>
      </c>
      <c r="C2184">
        <v>19</v>
      </c>
      <c r="D2184" t="s">
        <v>4073</v>
      </c>
      <c r="E2184" t="s">
        <v>4074</v>
      </c>
      <c r="F2184" t="s">
        <v>4076</v>
      </c>
    </row>
    <row r="2185" spans="1:6" x14ac:dyDescent="0.25">
      <c r="A2185">
        <v>2612</v>
      </c>
      <c r="B2185" t="s">
        <v>4072</v>
      </c>
      <c r="C2185">
        <v>3</v>
      </c>
      <c r="D2185" t="s">
        <v>4085</v>
      </c>
      <c r="E2185" t="s">
        <v>4086</v>
      </c>
      <c r="F2185" t="s">
        <v>4075</v>
      </c>
    </row>
    <row r="2186" spans="1:6" x14ac:dyDescent="0.25">
      <c r="A2186">
        <v>2613</v>
      </c>
      <c r="B2186" t="s">
        <v>4072</v>
      </c>
      <c r="C2186">
        <v>1</v>
      </c>
      <c r="D2186" t="s">
        <v>2761</v>
      </c>
      <c r="E2186" t="s">
        <v>4089</v>
      </c>
      <c r="F2186" t="s">
        <v>4075</v>
      </c>
    </row>
    <row r="2187" spans="1:6" x14ac:dyDescent="0.25">
      <c r="A2187">
        <v>2613</v>
      </c>
      <c r="B2187" t="s">
        <v>4072</v>
      </c>
      <c r="C2187">
        <v>2</v>
      </c>
      <c r="D2187" t="s">
        <v>4082</v>
      </c>
      <c r="E2187" t="s">
        <v>4083</v>
      </c>
      <c r="F2187" t="s">
        <v>4075</v>
      </c>
    </row>
    <row r="2188" spans="1:6" x14ac:dyDescent="0.25">
      <c r="A2188">
        <v>2613</v>
      </c>
      <c r="B2188" t="s">
        <v>4072</v>
      </c>
      <c r="C2188">
        <v>17</v>
      </c>
      <c r="D2188" t="s">
        <v>4082</v>
      </c>
      <c r="E2188" t="s">
        <v>4084</v>
      </c>
      <c r="F2188" t="s">
        <v>4076</v>
      </c>
    </row>
    <row r="2189" spans="1:6" x14ac:dyDescent="0.25">
      <c r="A2189">
        <v>2613</v>
      </c>
      <c r="B2189" t="s">
        <v>4072</v>
      </c>
      <c r="C2189">
        <v>38</v>
      </c>
      <c r="D2189" t="s">
        <v>2761</v>
      </c>
      <c r="E2189" t="s">
        <v>4089</v>
      </c>
      <c r="F2189" t="s">
        <v>4076</v>
      </c>
    </row>
    <row r="2190" spans="1:6" x14ac:dyDescent="0.25">
      <c r="A2190">
        <v>2620</v>
      </c>
      <c r="B2190" t="s">
        <v>4072</v>
      </c>
      <c r="C2190">
        <v>35</v>
      </c>
      <c r="D2190" t="s">
        <v>4115</v>
      </c>
      <c r="E2190" t="s">
        <v>4116</v>
      </c>
      <c r="F2190" t="s">
        <v>4075</v>
      </c>
    </row>
    <row r="2191" spans="1:6" x14ac:dyDescent="0.25">
      <c r="A2191">
        <v>2621</v>
      </c>
      <c r="B2191" t="s">
        <v>4072</v>
      </c>
      <c r="C2191">
        <v>35</v>
      </c>
      <c r="D2191" t="s">
        <v>4115</v>
      </c>
      <c r="E2191" t="s">
        <v>4116</v>
      </c>
      <c r="F2191" t="s">
        <v>4075</v>
      </c>
    </row>
    <row r="2192" spans="1:6" x14ac:dyDescent="0.25">
      <c r="A2192">
        <v>2622</v>
      </c>
      <c r="B2192" t="s">
        <v>4072</v>
      </c>
      <c r="C2192">
        <v>35</v>
      </c>
      <c r="D2192" t="s">
        <v>4115</v>
      </c>
      <c r="E2192" t="s">
        <v>4116</v>
      </c>
      <c r="F2192" t="s">
        <v>4075</v>
      </c>
    </row>
    <row r="2193" spans="1:6" x14ac:dyDescent="0.25">
      <c r="A2193">
        <v>2623</v>
      </c>
      <c r="B2193" t="s">
        <v>4072</v>
      </c>
      <c r="C2193">
        <v>35</v>
      </c>
      <c r="D2193" t="s">
        <v>4115</v>
      </c>
      <c r="E2193" t="s">
        <v>4116</v>
      </c>
      <c r="F2193" t="s">
        <v>4075</v>
      </c>
    </row>
    <row r="2194" spans="1:6" x14ac:dyDescent="0.25">
      <c r="A2194">
        <v>2624</v>
      </c>
      <c r="B2194" t="s">
        <v>4072</v>
      </c>
      <c r="C2194">
        <v>35</v>
      </c>
      <c r="D2194" t="s">
        <v>4115</v>
      </c>
      <c r="E2194" t="s">
        <v>4116</v>
      </c>
      <c r="F2194" t="s">
        <v>4075</v>
      </c>
    </row>
    <row r="2195" spans="1:6" x14ac:dyDescent="0.25">
      <c r="A2195">
        <v>2625</v>
      </c>
      <c r="B2195" t="s">
        <v>4072</v>
      </c>
      <c r="C2195">
        <v>35</v>
      </c>
      <c r="D2195" t="s">
        <v>4115</v>
      </c>
      <c r="E2195" t="s">
        <v>4116</v>
      </c>
      <c r="F2195" t="s">
        <v>4075</v>
      </c>
    </row>
    <row r="2196" spans="1:6" x14ac:dyDescent="0.25">
      <c r="A2196">
        <v>2626</v>
      </c>
      <c r="B2196" t="s">
        <v>4072</v>
      </c>
      <c r="C2196">
        <v>35</v>
      </c>
      <c r="D2196" t="s">
        <v>4115</v>
      </c>
      <c r="E2196" t="s">
        <v>4116</v>
      </c>
      <c r="F2196" t="s">
        <v>4075</v>
      </c>
    </row>
    <row r="2197" spans="1:6" x14ac:dyDescent="0.25">
      <c r="A2197">
        <v>2627</v>
      </c>
      <c r="B2197" t="s">
        <v>4072</v>
      </c>
      <c r="C2197">
        <v>35</v>
      </c>
      <c r="D2197" t="s">
        <v>4115</v>
      </c>
      <c r="E2197" t="s">
        <v>4116</v>
      </c>
      <c r="F2197" t="s">
        <v>4075</v>
      </c>
    </row>
    <row r="2198" spans="1:6" x14ac:dyDescent="0.25">
      <c r="A2198">
        <v>2628</v>
      </c>
      <c r="B2198" t="s">
        <v>4072</v>
      </c>
      <c r="C2198">
        <v>35</v>
      </c>
      <c r="D2198" t="s">
        <v>4115</v>
      </c>
      <c r="E2198" t="s">
        <v>4116</v>
      </c>
      <c r="F2198" t="s">
        <v>4075</v>
      </c>
    </row>
    <row r="2199" spans="1:6" x14ac:dyDescent="0.25">
      <c r="A2199">
        <v>2629</v>
      </c>
      <c r="B2199" t="s">
        <v>4072</v>
      </c>
      <c r="C2199">
        <v>35</v>
      </c>
      <c r="D2199" t="s">
        <v>4115</v>
      </c>
      <c r="E2199" t="s">
        <v>4116</v>
      </c>
      <c r="F2199" t="s">
        <v>4075</v>
      </c>
    </row>
    <row r="2200" spans="1:6" x14ac:dyDescent="0.25">
      <c r="A2200">
        <v>2630</v>
      </c>
      <c r="B2200" t="s">
        <v>4072</v>
      </c>
      <c r="C2200">
        <v>35</v>
      </c>
      <c r="D2200" t="s">
        <v>4115</v>
      </c>
      <c r="E2200" t="s">
        <v>4116</v>
      </c>
      <c r="F2200" t="s">
        <v>4075</v>
      </c>
    </row>
    <row r="2201" spans="1:6" x14ac:dyDescent="0.25">
      <c r="A2201">
        <v>2631</v>
      </c>
      <c r="B2201" t="s">
        <v>4072</v>
      </c>
      <c r="C2201">
        <v>35</v>
      </c>
      <c r="D2201" t="s">
        <v>4115</v>
      </c>
      <c r="E2201" t="s">
        <v>4116</v>
      </c>
      <c r="F2201" t="s">
        <v>4075</v>
      </c>
    </row>
    <row r="2202" spans="1:6" x14ac:dyDescent="0.25">
      <c r="A2202">
        <v>2632</v>
      </c>
      <c r="B2202" t="s">
        <v>4072</v>
      </c>
      <c r="C2202">
        <v>35</v>
      </c>
      <c r="D2202" t="s">
        <v>4115</v>
      </c>
      <c r="E2202" t="s">
        <v>4116</v>
      </c>
      <c r="F2202" t="s">
        <v>4075</v>
      </c>
    </row>
    <row r="2203" spans="1:6" x14ac:dyDescent="0.25">
      <c r="A2203">
        <v>2633</v>
      </c>
      <c r="B2203" t="s">
        <v>4072</v>
      </c>
      <c r="C2203">
        <v>35</v>
      </c>
      <c r="D2203" t="s">
        <v>4115</v>
      </c>
      <c r="E2203" t="s">
        <v>4116</v>
      </c>
      <c r="F2203" t="s">
        <v>4075</v>
      </c>
    </row>
    <row r="2204" spans="1:6" x14ac:dyDescent="0.25">
      <c r="A2204">
        <v>2634</v>
      </c>
      <c r="B2204" t="s">
        <v>4072</v>
      </c>
      <c r="C2204">
        <v>35</v>
      </c>
      <c r="D2204" t="s">
        <v>4115</v>
      </c>
      <c r="E2204" t="s">
        <v>4116</v>
      </c>
      <c r="F2204" t="s">
        <v>4075</v>
      </c>
    </row>
    <row r="2205" spans="1:6" x14ac:dyDescent="0.25">
      <c r="A2205">
        <v>2635</v>
      </c>
      <c r="B2205" t="s">
        <v>4072</v>
      </c>
      <c r="C2205">
        <v>35</v>
      </c>
      <c r="D2205" t="s">
        <v>4115</v>
      </c>
      <c r="E2205" t="s">
        <v>4116</v>
      </c>
      <c r="F2205" t="s">
        <v>4075</v>
      </c>
    </row>
    <row r="2206" spans="1:6" x14ac:dyDescent="0.25">
      <c r="A2206">
        <v>2636</v>
      </c>
      <c r="B2206" t="s">
        <v>4072</v>
      </c>
      <c r="C2206">
        <v>35</v>
      </c>
      <c r="D2206" t="s">
        <v>4115</v>
      </c>
      <c r="E2206" t="s">
        <v>4116</v>
      </c>
      <c r="F2206" t="s">
        <v>4075</v>
      </c>
    </row>
    <row r="2207" spans="1:6" x14ac:dyDescent="0.25">
      <c r="A2207">
        <v>2637</v>
      </c>
      <c r="B2207" t="s">
        <v>4072</v>
      </c>
      <c r="C2207">
        <v>35</v>
      </c>
      <c r="D2207" t="s">
        <v>4115</v>
      </c>
      <c r="E2207" t="s">
        <v>4116</v>
      </c>
      <c r="F2207" t="s">
        <v>4075</v>
      </c>
    </row>
    <row r="2208" spans="1:6" x14ac:dyDescent="0.25">
      <c r="A2208">
        <v>2638</v>
      </c>
      <c r="B2208" t="s">
        <v>4072</v>
      </c>
      <c r="C2208">
        <v>35</v>
      </c>
      <c r="D2208" t="s">
        <v>4115</v>
      </c>
      <c r="E2208" t="s">
        <v>4116</v>
      </c>
      <c r="F2208" t="s">
        <v>4075</v>
      </c>
    </row>
    <row r="2209" spans="1:6" x14ac:dyDescent="0.25">
      <c r="A2209">
        <v>2639</v>
      </c>
      <c r="B2209" t="s">
        <v>4072</v>
      </c>
      <c r="C2209">
        <v>35</v>
      </c>
      <c r="D2209" t="s">
        <v>4115</v>
      </c>
      <c r="E2209" t="s">
        <v>4116</v>
      </c>
      <c r="F2209" t="s">
        <v>4075</v>
      </c>
    </row>
    <row r="2210" spans="1:6" x14ac:dyDescent="0.25">
      <c r="A2210">
        <v>2640</v>
      </c>
      <c r="B2210" t="s">
        <v>4072</v>
      </c>
      <c r="C2210">
        <v>35</v>
      </c>
      <c r="D2210" t="s">
        <v>4115</v>
      </c>
      <c r="E2210" t="s">
        <v>4116</v>
      </c>
      <c r="F2210" t="s">
        <v>4075</v>
      </c>
    </row>
    <row r="2211" spans="1:6" x14ac:dyDescent="0.25">
      <c r="A2211">
        <v>2641</v>
      </c>
      <c r="B2211" t="s">
        <v>4072</v>
      </c>
      <c r="C2211">
        <v>35</v>
      </c>
      <c r="D2211" t="s">
        <v>4115</v>
      </c>
      <c r="E2211" t="s">
        <v>4116</v>
      </c>
      <c r="F2211" t="s">
        <v>4075</v>
      </c>
    </row>
    <row r="2212" spans="1:6" x14ac:dyDescent="0.25">
      <c r="A2212">
        <v>2642</v>
      </c>
      <c r="B2212" t="s">
        <v>4072</v>
      </c>
      <c r="C2212">
        <v>35</v>
      </c>
      <c r="D2212" t="s">
        <v>4115</v>
      </c>
      <c r="E2212" t="s">
        <v>4116</v>
      </c>
      <c r="F2212" t="s">
        <v>4075</v>
      </c>
    </row>
    <row r="2213" spans="1:6" x14ac:dyDescent="0.25">
      <c r="A2213">
        <v>2643</v>
      </c>
      <c r="B2213" t="s">
        <v>4072</v>
      </c>
      <c r="C2213">
        <v>35</v>
      </c>
      <c r="D2213" t="s">
        <v>4115</v>
      </c>
      <c r="E2213" t="s">
        <v>4116</v>
      </c>
      <c r="F2213" t="s">
        <v>4075</v>
      </c>
    </row>
    <row r="2214" spans="1:6" x14ac:dyDescent="0.25">
      <c r="A2214">
        <v>2644</v>
      </c>
      <c r="B2214" t="s">
        <v>4072</v>
      </c>
      <c r="C2214">
        <v>35</v>
      </c>
      <c r="D2214" t="s">
        <v>4115</v>
      </c>
      <c r="E2214" t="s">
        <v>4116</v>
      </c>
      <c r="F2214" t="s">
        <v>4075</v>
      </c>
    </row>
    <row r="2215" spans="1:6" x14ac:dyDescent="0.25">
      <c r="A2215">
        <v>2645</v>
      </c>
      <c r="B2215" t="s">
        <v>4072</v>
      </c>
      <c r="C2215">
        <v>35</v>
      </c>
      <c r="D2215" t="s">
        <v>4115</v>
      </c>
      <c r="E2215" t="s">
        <v>4116</v>
      </c>
      <c r="F2215" t="s">
        <v>4075</v>
      </c>
    </row>
    <row r="2216" spans="1:6" x14ac:dyDescent="0.25">
      <c r="A2216">
        <v>2647</v>
      </c>
      <c r="B2216" t="s">
        <v>4072</v>
      </c>
      <c r="C2216">
        <v>19</v>
      </c>
      <c r="D2216" t="s">
        <v>4073</v>
      </c>
      <c r="E2216" t="s">
        <v>4074</v>
      </c>
      <c r="F2216" t="s">
        <v>4076</v>
      </c>
    </row>
    <row r="2217" spans="1:6" x14ac:dyDescent="0.25">
      <c r="A2217">
        <v>2647</v>
      </c>
      <c r="B2217" t="s">
        <v>4072</v>
      </c>
      <c r="C2217">
        <v>39</v>
      </c>
      <c r="D2217" t="s">
        <v>4073</v>
      </c>
      <c r="E2217" t="s">
        <v>4074</v>
      </c>
      <c r="F2217" t="s">
        <v>4079</v>
      </c>
    </row>
    <row r="2218" spans="1:6" x14ac:dyDescent="0.25">
      <c r="A2218">
        <v>2649</v>
      </c>
      <c r="B2218" t="s">
        <v>4072</v>
      </c>
      <c r="C2218">
        <v>5</v>
      </c>
      <c r="D2218" t="s">
        <v>4087</v>
      </c>
      <c r="E2218" t="s">
        <v>4088</v>
      </c>
      <c r="F2218" t="s">
        <v>4075</v>
      </c>
    </row>
    <row r="2219" spans="1:6" x14ac:dyDescent="0.25">
      <c r="A2219">
        <v>2649</v>
      </c>
      <c r="B2219" t="s">
        <v>4072</v>
      </c>
      <c r="C2219">
        <v>15</v>
      </c>
      <c r="D2219" t="s">
        <v>4080</v>
      </c>
      <c r="E2219" t="s">
        <v>4081</v>
      </c>
      <c r="F2219" t="s">
        <v>4076</v>
      </c>
    </row>
    <row r="2220" spans="1:6" x14ac:dyDescent="0.25">
      <c r="A2220">
        <v>2649</v>
      </c>
      <c r="B2220" t="s">
        <v>4072</v>
      </c>
      <c r="C2220">
        <v>40</v>
      </c>
      <c r="D2220" t="s">
        <v>4080</v>
      </c>
      <c r="E2220" t="s">
        <v>4081</v>
      </c>
      <c r="F2220" t="s">
        <v>4079</v>
      </c>
    </row>
    <row r="2221" spans="1:6" x14ac:dyDescent="0.25">
      <c r="A2221">
        <v>2651</v>
      </c>
      <c r="B2221" t="s">
        <v>4072</v>
      </c>
      <c r="C2221">
        <v>5</v>
      </c>
      <c r="D2221" t="s">
        <v>4087</v>
      </c>
      <c r="E2221" t="s">
        <v>4088</v>
      </c>
      <c r="F2221" t="s">
        <v>4075</v>
      </c>
    </row>
    <row r="2222" spans="1:6" x14ac:dyDescent="0.25">
      <c r="A2222">
        <v>2651</v>
      </c>
      <c r="B2222" t="s">
        <v>4072</v>
      </c>
      <c r="C2222">
        <v>15</v>
      </c>
      <c r="D2222" t="s">
        <v>4080</v>
      </c>
      <c r="E2222" t="s">
        <v>4081</v>
      </c>
      <c r="F2222" t="s">
        <v>4076</v>
      </c>
    </row>
    <row r="2223" spans="1:6" x14ac:dyDescent="0.25">
      <c r="A2223">
        <v>2651</v>
      </c>
      <c r="B2223" t="s">
        <v>4072</v>
      </c>
      <c r="C2223">
        <v>40</v>
      </c>
      <c r="D2223" t="s">
        <v>4080</v>
      </c>
      <c r="E2223" t="s">
        <v>4081</v>
      </c>
      <c r="F2223" t="s">
        <v>4079</v>
      </c>
    </row>
    <row r="2224" spans="1:6" x14ac:dyDescent="0.25">
      <c r="A2224">
        <v>2655</v>
      </c>
      <c r="B2224" t="s">
        <v>4072</v>
      </c>
      <c r="C2224">
        <v>5</v>
      </c>
      <c r="D2224" t="s">
        <v>4087</v>
      </c>
      <c r="E2224" t="s">
        <v>4088</v>
      </c>
      <c r="F2224" t="s">
        <v>4075</v>
      </c>
    </row>
    <row r="2225" spans="1:6" x14ac:dyDescent="0.25">
      <c r="A2225">
        <v>2655</v>
      </c>
      <c r="B2225" t="s">
        <v>4072</v>
      </c>
      <c r="C2225">
        <v>15</v>
      </c>
      <c r="D2225" t="s">
        <v>4080</v>
      </c>
      <c r="E2225" t="s">
        <v>4081</v>
      </c>
      <c r="F2225" t="s">
        <v>4076</v>
      </c>
    </row>
    <row r="2226" spans="1:6" x14ac:dyDescent="0.25">
      <c r="A2226">
        <v>2665</v>
      </c>
      <c r="B2226" t="s">
        <v>4072</v>
      </c>
      <c r="C2226">
        <v>5</v>
      </c>
      <c r="D2226" t="s">
        <v>4087</v>
      </c>
      <c r="E2226" t="s">
        <v>4088</v>
      </c>
      <c r="F2226" t="s">
        <v>4075</v>
      </c>
    </row>
    <row r="2227" spans="1:6" x14ac:dyDescent="0.25">
      <c r="A2227">
        <v>2665</v>
      </c>
      <c r="B2227" t="s">
        <v>4072</v>
      </c>
      <c r="C2227">
        <v>15</v>
      </c>
      <c r="D2227" t="s">
        <v>4080</v>
      </c>
      <c r="E2227" t="s">
        <v>4081</v>
      </c>
      <c r="F2227" t="s">
        <v>4076</v>
      </c>
    </row>
    <row r="2228" spans="1:6" x14ac:dyDescent="0.25">
      <c r="A2228">
        <v>2665</v>
      </c>
      <c r="B2228" t="s">
        <v>4072</v>
      </c>
      <c r="C2228">
        <v>40</v>
      </c>
      <c r="D2228" t="s">
        <v>4080</v>
      </c>
      <c r="E2228" t="s">
        <v>4081</v>
      </c>
      <c r="F2228" t="s">
        <v>4079</v>
      </c>
    </row>
    <row r="2229" spans="1:6" x14ac:dyDescent="0.25">
      <c r="A2229">
        <v>2666</v>
      </c>
      <c r="B2229" t="s">
        <v>4072</v>
      </c>
      <c r="C2229">
        <v>2</v>
      </c>
      <c r="D2229" t="s">
        <v>4082</v>
      </c>
      <c r="E2229" t="s">
        <v>4083</v>
      </c>
      <c r="F2229" t="s">
        <v>4075</v>
      </c>
    </row>
    <row r="2230" spans="1:6" x14ac:dyDescent="0.25">
      <c r="A2230">
        <v>2666</v>
      </c>
      <c r="B2230" t="s">
        <v>4072</v>
      </c>
      <c r="C2230">
        <v>17</v>
      </c>
      <c r="D2230" t="s">
        <v>4082</v>
      </c>
      <c r="E2230" t="s">
        <v>4084</v>
      </c>
      <c r="F2230" t="s">
        <v>4076</v>
      </c>
    </row>
    <row r="2231" spans="1:6" x14ac:dyDescent="0.25">
      <c r="A2231">
        <v>2667</v>
      </c>
      <c r="B2231" t="s">
        <v>4072</v>
      </c>
      <c r="C2231">
        <v>4</v>
      </c>
      <c r="D2231" t="s">
        <v>4077</v>
      </c>
      <c r="E2231" t="s">
        <v>4078</v>
      </c>
      <c r="F2231" t="s">
        <v>4075</v>
      </c>
    </row>
    <row r="2232" spans="1:6" x14ac:dyDescent="0.25">
      <c r="A2232">
        <v>2667</v>
      </c>
      <c r="B2232" t="s">
        <v>4072</v>
      </c>
      <c r="C2232">
        <v>16</v>
      </c>
      <c r="D2232" t="s">
        <v>4077</v>
      </c>
      <c r="E2232" t="s">
        <v>4078</v>
      </c>
      <c r="F2232" t="s">
        <v>4076</v>
      </c>
    </row>
    <row r="2233" spans="1:6" x14ac:dyDescent="0.25">
      <c r="A2233">
        <v>2669</v>
      </c>
      <c r="B2233" t="s">
        <v>4072</v>
      </c>
      <c r="C2233">
        <v>5</v>
      </c>
      <c r="D2233" t="s">
        <v>4087</v>
      </c>
      <c r="E2233" t="s">
        <v>4088</v>
      </c>
      <c r="F2233" t="s">
        <v>4075</v>
      </c>
    </row>
    <row r="2234" spans="1:6" x14ac:dyDescent="0.25">
      <c r="A2234">
        <v>2669</v>
      </c>
      <c r="B2234" t="s">
        <v>4072</v>
      </c>
      <c r="C2234">
        <v>15</v>
      </c>
      <c r="D2234" t="s">
        <v>4080</v>
      </c>
      <c r="E2234" t="s">
        <v>4081</v>
      </c>
      <c r="F2234" t="s">
        <v>4076</v>
      </c>
    </row>
    <row r="2235" spans="1:6" x14ac:dyDescent="0.25">
      <c r="A2235">
        <v>2669</v>
      </c>
      <c r="B2235" t="s">
        <v>4072</v>
      </c>
      <c r="C2235">
        <v>40</v>
      </c>
      <c r="D2235" t="s">
        <v>4080</v>
      </c>
      <c r="E2235" t="s">
        <v>4081</v>
      </c>
      <c r="F2235" t="s">
        <v>4079</v>
      </c>
    </row>
    <row r="2236" spans="1:6" x14ac:dyDescent="0.25">
      <c r="A2236">
        <v>2670</v>
      </c>
      <c r="B2236" t="s">
        <v>4072</v>
      </c>
      <c r="C2236">
        <v>3</v>
      </c>
      <c r="D2236" t="s">
        <v>4085</v>
      </c>
      <c r="E2236" t="s">
        <v>4086</v>
      </c>
      <c r="F2236" t="s">
        <v>4075</v>
      </c>
    </row>
    <row r="2237" spans="1:6" x14ac:dyDescent="0.25">
      <c r="A2237">
        <v>2670</v>
      </c>
      <c r="B2237" t="s">
        <v>4072</v>
      </c>
      <c r="C2237">
        <v>5</v>
      </c>
      <c r="D2237" t="s">
        <v>4087</v>
      </c>
      <c r="E2237" t="s">
        <v>4088</v>
      </c>
      <c r="F2237" t="s">
        <v>4075</v>
      </c>
    </row>
    <row r="2238" spans="1:6" x14ac:dyDescent="0.25">
      <c r="A2238">
        <v>2670</v>
      </c>
      <c r="B2238" t="s">
        <v>4072</v>
      </c>
      <c r="C2238">
        <v>15</v>
      </c>
      <c r="D2238" t="s">
        <v>4080</v>
      </c>
      <c r="E2238" t="s">
        <v>4081</v>
      </c>
      <c r="F2238" t="s">
        <v>4076</v>
      </c>
    </row>
    <row r="2239" spans="1:6" x14ac:dyDescent="0.25">
      <c r="A2239">
        <v>2671</v>
      </c>
      <c r="B2239" t="s">
        <v>4072</v>
      </c>
      <c r="C2239">
        <v>4</v>
      </c>
      <c r="D2239" t="s">
        <v>4077</v>
      </c>
      <c r="E2239" t="s">
        <v>4078</v>
      </c>
      <c r="F2239" t="s">
        <v>4075</v>
      </c>
    </row>
    <row r="2240" spans="1:6" x14ac:dyDescent="0.25">
      <c r="A2240">
        <v>2671</v>
      </c>
      <c r="B2240" t="s">
        <v>4072</v>
      </c>
      <c r="C2240">
        <v>16</v>
      </c>
      <c r="D2240" t="s">
        <v>4077</v>
      </c>
      <c r="E2240" t="s">
        <v>4078</v>
      </c>
      <c r="F2240" t="s">
        <v>4076</v>
      </c>
    </row>
    <row r="2241" spans="1:6" x14ac:dyDescent="0.25">
      <c r="A2241">
        <v>2672</v>
      </c>
      <c r="B2241" t="s">
        <v>4072</v>
      </c>
      <c r="C2241">
        <v>4</v>
      </c>
      <c r="D2241" t="s">
        <v>4077</v>
      </c>
      <c r="E2241" t="s">
        <v>4078</v>
      </c>
      <c r="F2241" t="s">
        <v>4075</v>
      </c>
    </row>
    <row r="2242" spans="1:6" x14ac:dyDescent="0.25">
      <c r="A2242">
        <v>2672</v>
      </c>
      <c r="B2242" t="s">
        <v>4072</v>
      </c>
      <c r="C2242">
        <v>16</v>
      </c>
      <c r="D2242" t="s">
        <v>4077</v>
      </c>
      <c r="E2242" t="s">
        <v>4078</v>
      </c>
      <c r="F2242" t="s">
        <v>4076</v>
      </c>
    </row>
    <row r="2243" spans="1:6" x14ac:dyDescent="0.25">
      <c r="A2243">
        <v>2676</v>
      </c>
      <c r="B2243" t="s">
        <v>4072</v>
      </c>
      <c r="C2243">
        <v>2</v>
      </c>
      <c r="D2243" t="s">
        <v>4082</v>
      </c>
      <c r="E2243" t="s">
        <v>4083</v>
      </c>
      <c r="F2243" t="s">
        <v>4075</v>
      </c>
    </row>
    <row r="2244" spans="1:6" x14ac:dyDescent="0.25">
      <c r="A2244">
        <v>2676</v>
      </c>
      <c r="B2244" t="s">
        <v>4072</v>
      </c>
      <c r="C2244">
        <v>17</v>
      </c>
      <c r="D2244" t="s">
        <v>4082</v>
      </c>
      <c r="E2244" t="s">
        <v>4084</v>
      </c>
      <c r="F2244" t="s">
        <v>4076</v>
      </c>
    </row>
    <row r="2245" spans="1:6" x14ac:dyDescent="0.25">
      <c r="A2245">
        <v>2676</v>
      </c>
      <c r="B2245" t="s">
        <v>4072</v>
      </c>
      <c r="C2245">
        <v>42</v>
      </c>
      <c r="D2245" t="s">
        <v>4082</v>
      </c>
      <c r="E2245" t="s">
        <v>4083</v>
      </c>
      <c r="F2245" t="s">
        <v>4079</v>
      </c>
    </row>
    <row r="2246" spans="1:6" x14ac:dyDescent="0.25">
      <c r="A2246">
        <v>2678</v>
      </c>
      <c r="B2246" t="s">
        <v>4072</v>
      </c>
      <c r="C2246">
        <v>2</v>
      </c>
      <c r="D2246" t="s">
        <v>4082</v>
      </c>
      <c r="E2246" t="s">
        <v>4083</v>
      </c>
      <c r="F2246" t="s">
        <v>4075</v>
      </c>
    </row>
    <row r="2247" spans="1:6" x14ac:dyDescent="0.25">
      <c r="A2247">
        <v>2678</v>
      </c>
      <c r="B2247" t="s">
        <v>4072</v>
      </c>
      <c r="C2247">
        <v>17</v>
      </c>
      <c r="D2247" t="s">
        <v>4082</v>
      </c>
      <c r="E2247" t="s">
        <v>4084</v>
      </c>
      <c r="F2247" t="s">
        <v>4076</v>
      </c>
    </row>
    <row r="2248" spans="1:6" x14ac:dyDescent="0.25">
      <c r="A2248">
        <v>2679</v>
      </c>
      <c r="B2248" t="s">
        <v>4072</v>
      </c>
      <c r="C2248">
        <v>1</v>
      </c>
      <c r="D2248" t="s">
        <v>2761</v>
      </c>
      <c r="E2248" t="s">
        <v>4089</v>
      </c>
      <c r="F2248" t="s">
        <v>4075</v>
      </c>
    </row>
    <row r="2249" spans="1:6" x14ac:dyDescent="0.25">
      <c r="A2249">
        <v>2679</v>
      </c>
      <c r="B2249" t="s">
        <v>4072</v>
      </c>
      <c r="C2249">
        <v>38</v>
      </c>
      <c r="D2249" t="s">
        <v>2761</v>
      </c>
      <c r="E2249" t="s">
        <v>4089</v>
      </c>
      <c r="F2249" t="s">
        <v>4076</v>
      </c>
    </row>
    <row r="2250" spans="1:6" x14ac:dyDescent="0.25">
      <c r="A2250">
        <v>2680</v>
      </c>
      <c r="B2250" t="s">
        <v>4072</v>
      </c>
      <c r="C2250">
        <v>3</v>
      </c>
      <c r="D2250" t="s">
        <v>4085</v>
      </c>
      <c r="E2250" t="s">
        <v>4086</v>
      </c>
      <c r="F2250" t="s">
        <v>4075</v>
      </c>
    </row>
    <row r="2251" spans="1:6" x14ac:dyDescent="0.25">
      <c r="A2251">
        <v>2680</v>
      </c>
      <c r="B2251" t="s">
        <v>4072</v>
      </c>
      <c r="C2251">
        <v>15</v>
      </c>
      <c r="D2251" t="s">
        <v>4080</v>
      </c>
      <c r="E2251" t="s">
        <v>4081</v>
      </c>
      <c r="F2251" t="s">
        <v>4076</v>
      </c>
    </row>
    <row r="2252" spans="1:6" x14ac:dyDescent="0.25">
      <c r="A2252">
        <v>2681</v>
      </c>
      <c r="B2252" t="s">
        <v>4072</v>
      </c>
      <c r="C2252">
        <v>3</v>
      </c>
      <c r="D2252" t="s">
        <v>4085</v>
      </c>
      <c r="E2252" t="s">
        <v>4086</v>
      </c>
      <c r="F2252" t="s">
        <v>4075</v>
      </c>
    </row>
    <row r="2253" spans="1:6" x14ac:dyDescent="0.25">
      <c r="A2253">
        <v>2681</v>
      </c>
      <c r="B2253" t="s">
        <v>4072</v>
      </c>
      <c r="C2253">
        <v>15</v>
      </c>
      <c r="D2253" t="s">
        <v>4080</v>
      </c>
      <c r="E2253" t="s">
        <v>4081</v>
      </c>
      <c r="F2253" t="s">
        <v>4076</v>
      </c>
    </row>
    <row r="2254" spans="1:6" x14ac:dyDescent="0.25">
      <c r="A2254">
        <v>2681</v>
      </c>
      <c r="B2254" t="s">
        <v>4072</v>
      </c>
      <c r="C2254">
        <v>40</v>
      </c>
      <c r="D2254" t="s">
        <v>4080</v>
      </c>
      <c r="E2254" t="s">
        <v>4081</v>
      </c>
      <c r="F2254" t="s">
        <v>4079</v>
      </c>
    </row>
    <row r="2255" spans="1:6" x14ac:dyDescent="0.25">
      <c r="A2255">
        <v>2682</v>
      </c>
      <c r="B2255" t="s">
        <v>4072</v>
      </c>
      <c r="C2255">
        <v>5</v>
      </c>
      <c r="D2255" t="s">
        <v>4087</v>
      </c>
      <c r="E2255" t="s">
        <v>4088</v>
      </c>
      <c r="F2255" t="s">
        <v>4075</v>
      </c>
    </row>
    <row r="2256" spans="1:6" x14ac:dyDescent="0.25">
      <c r="A2256">
        <v>2683</v>
      </c>
      <c r="B2256" t="s">
        <v>4072</v>
      </c>
      <c r="C2256">
        <v>6</v>
      </c>
      <c r="D2256" t="s">
        <v>4073</v>
      </c>
      <c r="E2256" t="s">
        <v>4074</v>
      </c>
      <c r="F2256" t="s">
        <v>4075</v>
      </c>
    </row>
    <row r="2257" spans="1:6" x14ac:dyDescent="0.25">
      <c r="A2257">
        <v>2683</v>
      </c>
      <c r="B2257" t="s">
        <v>4072</v>
      </c>
      <c r="C2257">
        <v>19</v>
      </c>
      <c r="D2257" t="s">
        <v>4073</v>
      </c>
      <c r="E2257" t="s">
        <v>4074</v>
      </c>
      <c r="F2257" t="s">
        <v>4076</v>
      </c>
    </row>
    <row r="2258" spans="1:6" x14ac:dyDescent="0.25">
      <c r="A2258">
        <v>2683</v>
      </c>
      <c r="B2258" t="s">
        <v>4072</v>
      </c>
      <c r="C2258">
        <v>39</v>
      </c>
      <c r="D2258" t="s">
        <v>4073</v>
      </c>
      <c r="E2258" t="s">
        <v>4074</v>
      </c>
      <c r="F2258" t="s">
        <v>4079</v>
      </c>
    </row>
    <row r="2259" spans="1:6" x14ac:dyDescent="0.25">
      <c r="A2259">
        <v>2684</v>
      </c>
      <c r="B2259" t="s">
        <v>4072</v>
      </c>
      <c r="C2259">
        <v>6</v>
      </c>
      <c r="D2259" t="s">
        <v>4073</v>
      </c>
      <c r="E2259" t="s">
        <v>4074</v>
      </c>
      <c r="F2259" t="s">
        <v>4075</v>
      </c>
    </row>
    <row r="2260" spans="1:6" x14ac:dyDescent="0.25">
      <c r="A2260">
        <v>2684</v>
      </c>
      <c r="B2260" t="s">
        <v>4072</v>
      </c>
      <c r="C2260">
        <v>19</v>
      </c>
      <c r="D2260" t="s">
        <v>4073</v>
      </c>
      <c r="E2260" t="s">
        <v>4074</v>
      </c>
      <c r="F2260" t="s">
        <v>4076</v>
      </c>
    </row>
    <row r="2261" spans="1:6" x14ac:dyDescent="0.25">
      <c r="A2261">
        <v>2684</v>
      </c>
      <c r="B2261" t="s">
        <v>4072</v>
      </c>
      <c r="C2261">
        <v>39</v>
      </c>
      <c r="D2261" t="s">
        <v>4073</v>
      </c>
      <c r="E2261" t="s">
        <v>4074</v>
      </c>
      <c r="F2261" t="s">
        <v>4079</v>
      </c>
    </row>
    <row r="2262" spans="1:6" x14ac:dyDescent="0.25">
      <c r="A2262">
        <v>2685</v>
      </c>
      <c r="B2262" t="s">
        <v>4072</v>
      </c>
      <c r="C2262">
        <v>2</v>
      </c>
      <c r="D2262" t="s">
        <v>4082</v>
      </c>
      <c r="E2262" t="s">
        <v>4083</v>
      </c>
      <c r="F2262" t="s">
        <v>4075</v>
      </c>
    </row>
    <row r="2263" spans="1:6" x14ac:dyDescent="0.25">
      <c r="A2263">
        <v>2685</v>
      </c>
      <c r="B2263" t="s">
        <v>4072</v>
      </c>
      <c r="C2263">
        <v>17</v>
      </c>
      <c r="D2263" t="s">
        <v>4082</v>
      </c>
      <c r="E2263" t="s">
        <v>4084</v>
      </c>
      <c r="F2263" t="s">
        <v>4076</v>
      </c>
    </row>
    <row r="2264" spans="1:6" x14ac:dyDescent="0.25">
      <c r="A2264">
        <v>2686</v>
      </c>
      <c r="B2264" t="s">
        <v>4072</v>
      </c>
      <c r="C2264">
        <v>5</v>
      </c>
      <c r="D2264" t="s">
        <v>4087</v>
      </c>
      <c r="E2264" t="s">
        <v>4088</v>
      </c>
      <c r="F2264" t="s">
        <v>4075</v>
      </c>
    </row>
    <row r="2265" spans="1:6" x14ac:dyDescent="0.25">
      <c r="A2265">
        <v>2686</v>
      </c>
      <c r="B2265" t="s">
        <v>4072</v>
      </c>
      <c r="C2265">
        <v>15</v>
      </c>
      <c r="D2265" t="s">
        <v>4080</v>
      </c>
      <c r="E2265" t="s">
        <v>4081</v>
      </c>
      <c r="F2265" t="s">
        <v>4076</v>
      </c>
    </row>
    <row r="2266" spans="1:6" x14ac:dyDescent="0.25">
      <c r="A2266">
        <v>2687</v>
      </c>
      <c r="B2266" t="s">
        <v>4072</v>
      </c>
      <c r="C2266">
        <v>3</v>
      </c>
      <c r="D2266" t="s">
        <v>4085</v>
      </c>
      <c r="E2266" t="s">
        <v>4086</v>
      </c>
      <c r="F2266" t="s">
        <v>4075</v>
      </c>
    </row>
    <row r="2267" spans="1:6" x14ac:dyDescent="0.25">
      <c r="A2267">
        <v>2687</v>
      </c>
      <c r="B2267" t="s">
        <v>4072</v>
      </c>
      <c r="C2267">
        <v>4</v>
      </c>
      <c r="D2267" t="s">
        <v>4077</v>
      </c>
      <c r="E2267" t="s">
        <v>4078</v>
      </c>
      <c r="F2267" t="s">
        <v>4075</v>
      </c>
    </row>
    <row r="2268" spans="1:6" x14ac:dyDescent="0.25">
      <c r="A2268">
        <v>2687</v>
      </c>
      <c r="B2268" t="s">
        <v>4072</v>
      </c>
      <c r="C2268">
        <v>15</v>
      </c>
      <c r="D2268" t="s">
        <v>4080</v>
      </c>
      <c r="E2268" t="s">
        <v>4081</v>
      </c>
      <c r="F2268" t="s">
        <v>4076</v>
      </c>
    </row>
    <row r="2269" spans="1:6" x14ac:dyDescent="0.25">
      <c r="A2269">
        <v>2687</v>
      </c>
      <c r="B2269" t="s">
        <v>4072</v>
      </c>
      <c r="C2269">
        <v>16</v>
      </c>
      <c r="D2269" t="s">
        <v>4077</v>
      </c>
      <c r="E2269" t="s">
        <v>4078</v>
      </c>
      <c r="F2269" t="s">
        <v>4076</v>
      </c>
    </row>
    <row r="2270" spans="1:6" x14ac:dyDescent="0.25">
      <c r="A2270">
        <v>2688</v>
      </c>
      <c r="B2270" t="s">
        <v>4092</v>
      </c>
      <c r="C2270">
        <v>23</v>
      </c>
      <c r="D2270" t="s">
        <v>2757</v>
      </c>
      <c r="E2270" t="s">
        <v>4093</v>
      </c>
      <c r="F2270" t="s">
        <v>4075</v>
      </c>
    </row>
    <row r="2271" spans="1:6" x14ac:dyDescent="0.25">
      <c r="A2271">
        <v>2688</v>
      </c>
      <c r="B2271" t="s">
        <v>4092</v>
      </c>
      <c r="C2271">
        <v>28</v>
      </c>
      <c r="D2271" t="s">
        <v>2757</v>
      </c>
      <c r="E2271" t="s">
        <v>4093</v>
      </c>
      <c r="F2271" t="s">
        <v>4076</v>
      </c>
    </row>
    <row r="2272" spans="1:6" x14ac:dyDescent="0.25">
      <c r="A2272">
        <v>2689</v>
      </c>
      <c r="B2272" t="s">
        <v>4072</v>
      </c>
      <c r="C2272">
        <v>6</v>
      </c>
      <c r="D2272" t="s">
        <v>4073</v>
      </c>
      <c r="E2272" t="s">
        <v>4074</v>
      </c>
      <c r="F2272" t="s">
        <v>4075</v>
      </c>
    </row>
    <row r="2273" spans="1:6" x14ac:dyDescent="0.25">
      <c r="A2273">
        <v>2689</v>
      </c>
      <c r="B2273" t="s">
        <v>4072</v>
      </c>
      <c r="C2273">
        <v>12</v>
      </c>
      <c r="D2273" t="s">
        <v>2159</v>
      </c>
      <c r="E2273" t="s">
        <v>4094</v>
      </c>
      <c r="F2273" t="s">
        <v>4076</v>
      </c>
    </row>
    <row r="2274" spans="1:6" x14ac:dyDescent="0.25">
      <c r="A2274">
        <v>2690</v>
      </c>
      <c r="B2274" t="s">
        <v>4072</v>
      </c>
      <c r="C2274">
        <v>6</v>
      </c>
      <c r="D2274" t="s">
        <v>4073</v>
      </c>
      <c r="E2274" t="s">
        <v>4074</v>
      </c>
      <c r="F2274" t="s">
        <v>4075</v>
      </c>
    </row>
    <row r="2275" spans="1:6" x14ac:dyDescent="0.25">
      <c r="A2275">
        <v>2690</v>
      </c>
      <c r="B2275" t="s">
        <v>4072</v>
      </c>
      <c r="C2275">
        <v>19</v>
      </c>
      <c r="D2275" t="s">
        <v>4073</v>
      </c>
      <c r="E2275" t="s">
        <v>4074</v>
      </c>
      <c r="F2275" t="s">
        <v>4076</v>
      </c>
    </row>
    <row r="2276" spans="1:6" x14ac:dyDescent="0.25">
      <c r="A2276">
        <v>2691</v>
      </c>
      <c r="B2276" t="s">
        <v>4072</v>
      </c>
      <c r="C2276">
        <v>3</v>
      </c>
      <c r="D2276" t="s">
        <v>4085</v>
      </c>
      <c r="E2276" t="s">
        <v>4086</v>
      </c>
      <c r="F2276" t="s">
        <v>4075</v>
      </c>
    </row>
    <row r="2277" spans="1:6" x14ac:dyDescent="0.25">
      <c r="A2277">
        <v>2691</v>
      </c>
      <c r="B2277" t="s">
        <v>4072</v>
      </c>
      <c r="C2277">
        <v>15</v>
      </c>
      <c r="D2277" t="s">
        <v>4080</v>
      </c>
      <c r="E2277" t="s">
        <v>4081</v>
      </c>
      <c r="F2277" t="s">
        <v>4076</v>
      </c>
    </row>
    <row r="2278" spans="1:6" x14ac:dyDescent="0.25">
      <c r="A2278">
        <v>2692</v>
      </c>
      <c r="B2278" t="s">
        <v>4092</v>
      </c>
      <c r="C2278">
        <v>23</v>
      </c>
      <c r="D2278" t="s">
        <v>2757</v>
      </c>
      <c r="E2278" t="s">
        <v>4093</v>
      </c>
      <c r="F2278" t="s">
        <v>4075</v>
      </c>
    </row>
    <row r="2279" spans="1:6" x14ac:dyDescent="0.25">
      <c r="A2279">
        <v>2692</v>
      </c>
      <c r="B2279" t="s">
        <v>4092</v>
      </c>
      <c r="C2279">
        <v>28</v>
      </c>
      <c r="D2279" t="s">
        <v>2757</v>
      </c>
      <c r="E2279" t="s">
        <v>4093</v>
      </c>
      <c r="F2279" t="s">
        <v>4076</v>
      </c>
    </row>
    <row r="2280" spans="1:6" x14ac:dyDescent="0.25">
      <c r="A2280">
        <v>2692</v>
      </c>
      <c r="B2280" t="s">
        <v>4092</v>
      </c>
      <c r="C2280">
        <v>33</v>
      </c>
      <c r="D2280" t="s">
        <v>4109</v>
      </c>
      <c r="E2280" t="s">
        <v>4110</v>
      </c>
      <c r="F2280" t="s">
        <v>4075</v>
      </c>
    </row>
    <row r="2281" spans="1:6" x14ac:dyDescent="0.25">
      <c r="A2281">
        <v>2692</v>
      </c>
      <c r="B2281" t="s">
        <v>4092</v>
      </c>
      <c r="C2281">
        <v>34</v>
      </c>
      <c r="D2281" t="s">
        <v>4109</v>
      </c>
      <c r="E2281" t="s">
        <v>4110</v>
      </c>
      <c r="F2281" t="s">
        <v>4076</v>
      </c>
    </row>
    <row r="2282" spans="1:6" x14ac:dyDescent="0.25">
      <c r="A2282">
        <v>2695</v>
      </c>
      <c r="B2282" t="s">
        <v>4072</v>
      </c>
      <c r="C2282">
        <v>3</v>
      </c>
      <c r="D2282" t="s">
        <v>4085</v>
      </c>
      <c r="E2282" t="s">
        <v>4086</v>
      </c>
      <c r="F2282" t="s">
        <v>4075</v>
      </c>
    </row>
    <row r="2283" spans="1:6" x14ac:dyDescent="0.25">
      <c r="A2283">
        <v>2695</v>
      </c>
      <c r="B2283" t="s">
        <v>4072</v>
      </c>
      <c r="C2283">
        <v>15</v>
      </c>
      <c r="D2283" t="s">
        <v>4080</v>
      </c>
      <c r="E2283" t="s">
        <v>4081</v>
      </c>
      <c r="F2283" t="s">
        <v>4076</v>
      </c>
    </row>
    <row r="2284" spans="1:6" x14ac:dyDescent="0.25">
      <c r="A2284">
        <v>2696</v>
      </c>
      <c r="B2284" t="s">
        <v>4072</v>
      </c>
      <c r="C2284">
        <v>6</v>
      </c>
      <c r="D2284" t="s">
        <v>4073</v>
      </c>
      <c r="E2284" t="s">
        <v>4074</v>
      </c>
      <c r="F2284" t="s">
        <v>4075</v>
      </c>
    </row>
    <row r="2285" spans="1:6" x14ac:dyDescent="0.25">
      <c r="A2285">
        <v>2696</v>
      </c>
      <c r="B2285" t="s">
        <v>4072</v>
      </c>
      <c r="C2285">
        <v>19</v>
      </c>
      <c r="D2285" t="s">
        <v>4073</v>
      </c>
      <c r="E2285" t="s">
        <v>4074</v>
      </c>
      <c r="F2285" t="s">
        <v>4076</v>
      </c>
    </row>
    <row r="2286" spans="1:6" x14ac:dyDescent="0.25">
      <c r="A2286">
        <v>2698</v>
      </c>
      <c r="B2286" t="s">
        <v>4072</v>
      </c>
      <c r="C2286">
        <v>2</v>
      </c>
      <c r="D2286" t="s">
        <v>4082</v>
      </c>
      <c r="E2286" t="s">
        <v>4083</v>
      </c>
      <c r="F2286" t="s">
        <v>4075</v>
      </c>
    </row>
    <row r="2287" spans="1:6" x14ac:dyDescent="0.25">
      <c r="A2287">
        <v>2698</v>
      </c>
      <c r="B2287" t="s">
        <v>4072</v>
      </c>
      <c r="C2287">
        <v>17</v>
      </c>
      <c r="D2287" t="s">
        <v>4082</v>
      </c>
      <c r="E2287" t="s">
        <v>4084</v>
      </c>
      <c r="F2287" t="s">
        <v>4076</v>
      </c>
    </row>
    <row r="2288" spans="1:6" x14ac:dyDescent="0.25">
      <c r="A2288">
        <v>2700</v>
      </c>
      <c r="B2288" t="s">
        <v>4072</v>
      </c>
      <c r="C2288">
        <v>2</v>
      </c>
      <c r="D2288" t="s">
        <v>4082</v>
      </c>
      <c r="E2288" t="s">
        <v>4083</v>
      </c>
      <c r="F2288" t="s">
        <v>4075</v>
      </c>
    </row>
    <row r="2289" spans="1:6" x14ac:dyDescent="0.25">
      <c r="A2289">
        <v>2700</v>
      </c>
      <c r="B2289" t="s">
        <v>4072</v>
      </c>
      <c r="C2289">
        <v>17</v>
      </c>
      <c r="D2289" t="s">
        <v>4082</v>
      </c>
      <c r="E2289" t="s">
        <v>4084</v>
      </c>
      <c r="F2289" t="s">
        <v>4076</v>
      </c>
    </row>
    <row r="2290" spans="1:6" x14ac:dyDescent="0.25">
      <c r="A2290">
        <v>2701</v>
      </c>
      <c r="B2290" t="s">
        <v>4072</v>
      </c>
      <c r="C2290">
        <v>5</v>
      </c>
      <c r="D2290" t="s">
        <v>4087</v>
      </c>
      <c r="E2290" t="s">
        <v>4088</v>
      </c>
      <c r="F2290" t="s">
        <v>4075</v>
      </c>
    </row>
    <row r="2291" spans="1:6" x14ac:dyDescent="0.25">
      <c r="A2291">
        <v>2701</v>
      </c>
      <c r="B2291" t="s">
        <v>4072</v>
      </c>
      <c r="C2291">
        <v>15</v>
      </c>
      <c r="D2291" t="s">
        <v>4080</v>
      </c>
      <c r="E2291" t="s">
        <v>4081</v>
      </c>
      <c r="F2291" t="s">
        <v>4076</v>
      </c>
    </row>
    <row r="2292" spans="1:6" x14ac:dyDescent="0.25">
      <c r="A2292">
        <v>2702</v>
      </c>
      <c r="B2292" t="s">
        <v>4072</v>
      </c>
      <c r="C2292">
        <v>5</v>
      </c>
      <c r="D2292" t="s">
        <v>4087</v>
      </c>
      <c r="E2292" t="s">
        <v>4088</v>
      </c>
      <c r="F2292" t="s">
        <v>4075</v>
      </c>
    </row>
    <row r="2293" spans="1:6" x14ac:dyDescent="0.25">
      <c r="A2293">
        <v>2702</v>
      </c>
      <c r="B2293" t="s">
        <v>4072</v>
      </c>
      <c r="C2293">
        <v>15</v>
      </c>
      <c r="D2293" t="s">
        <v>4080</v>
      </c>
      <c r="E2293" t="s">
        <v>4081</v>
      </c>
      <c r="F2293" t="s">
        <v>4076</v>
      </c>
    </row>
    <row r="2294" spans="1:6" x14ac:dyDescent="0.25">
      <c r="A2294">
        <v>2702</v>
      </c>
      <c r="B2294" t="s">
        <v>4072</v>
      </c>
      <c r="C2294">
        <v>40</v>
      </c>
      <c r="D2294" t="s">
        <v>4080</v>
      </c>
      <c r="E2294" t="s">
        <v>4081</v>
      </c>
      <c r="F2294" t="s">
        <v>4079</v>
      </c>
    </row>
    <row r="2295" spans="1:6" x14ac:dyDescent="0.25">
      <c r="A2295">
        <v>2706</v>
      </c>
      <c r="B2295" t="s">
        <v>4072</v>
      </c>
      <c r="C2295">
        <v>2</v>
      </c>
      <c r="D2295" t="s">
        <v>4082</v>
      </c>
      <c r="E2295" t="s">
        <v>4083</v>
      </c>
      <c r="F2295" t="s">
        <v>4075</v>
      </c>
    </row>
    <row r="2296" spans="1:6" x14ac:dyDescent="0.25">
      <c r="A2296">
        <v>2706</v>
      </c>
      <c r="B2296" t="s">
        <v>4072</v>
      </c>
      <c r="C2296">
        <v>17</v>
      </c>
      <c r="D2296" t="s">
        <v>4082</v>
      </c>
      <c r="E2296" t="s">
        <v>4084</v>
      </c>
      <c r="F2296" t="s">
        <v>4076</v>
      </c>
    </row>
    <row r="2297" spans="1:6" x14ac:dyDescent="0.25">
      <c r="A2297">
        <v>2706</v>
      </c>
      <c r="B2297" t="s">
        <v>4072</v>
      </c>
      <c r="C2297">
        <v>42</v>
      </c>
      <c r="D2297" t="s">
        <v>4082</v>
      </c>
      <c r="E2297" t="s">
        <v>4083</v>
      </c>
      <c r="F2297" t="s">
        <v>4079</v>
      </c>
    </row>
    <row r="2298" spans="1:6" x14ac:dyDescent="0.25">
      <c r="A2298">
        <v>2707</v>
      </c>
      <c r="B2298" t="s">
        <v>4072</v>
      </c>
      <c r="C2298">
        <v>2</v>
      </c>
      <c r="D2298" t="s">
        <v>4082</v>
      </c>
      <c r="E2298" t="s">
        <v>4083</v>
      </c>
      <c r="F2298" t="s">
        <v>4075</v>
      </c>
    </row>
    <row r="2299" spans="1:6" x14ac:dyDescent="0.25">
      <c r="A2299">
        <v>2707</v>
      </c>
      <c r="B2299" t="s">
        <v>4072</v>
      </c>
      <c r="C2299">
        <v>17</v>
      </c>
      <c r="D2299" t="s">
        <v>4082</v>
      </c>
      <c r="E2299" t="s">
        <v>4084</v>
      </c>
      <c r="F2299" t="s">
        <v>4076</v>
      </c>
    </row>
    <row r="2300" spans="1:6" x14ac:dyDescent="0.25">
      <c r="A2300">
        <v>2716</v>
      </c>
      <c r="B2300" t="s">
        <v>4072</v>
      </c>
      <c r="C2300">
        <v>6</v>
      </c>
      <c r="D2300" t="s">
        <v>4073</v>
      </c>
      <c r="E2300" t="s">
        <v>4074</v>
      </c>
      <c r="F2300" t="s">
        <v>4075</v>
      </c>
    </row>
    <row r="2301" spans="1:6" x14ac:dyDescent="0.25">
      <c r="A2301">
        <v>2716</v>
      </c>
      <c r="B2301" t="s">
        <v>4072</v>
      </c>
      <c r="C2301">
        <v>19</v>
      </c>
      <c r="D2301" t="s">
        <v>4073</v>
      </c>
      <c r="E2301" t="s">
        <v>4074</v>
      </c>
      <c r="F2301" t="s">
        <v>4076</v>
      </c>
    </row>
    <row r="2302" spans="1:6" x14ac:dyDescent="0.25">
      <c r="A2302">
        <v>2717</v>
      </c>
      <c r="B2302" t="s">
        <v>4072</v>
      </c>
      <c r="C2302">
        <v>3</v>
      </c>
      <c r="D2302" t="s">
        <v>4085</v>
      </c>
      <c r="E2302" t="s">
        <v>4086</v>
      </c>
      <c r="F2302" t="s">
        <v>4075</v>
      </c>
    </row>
    <row r="2303" spans="1:6" x14ac:dyDescent="0.25">
      <c r="A2303">
        <v>2717</v>
      </c>
      <c r="B2303" t="s">
        <v>4072</v>
      </c>
      <c r="C2303">
        <v>15</v>
      </c>
      <c r="D2303" t="s">
        <v>4080</v>
      </c>
      <c r="E2303" t="s">
        <v>4081</v>
      </c>
      <c r="F2303" t="s">
        <v>4076</v>
      </c>
    </row>
    <row r="2304" spans="1:6" x14ac:dyDescent="0.25">
      <c r="A2304">
        <v>2717</v>
      </c>
      <c r="B2304" t="s">
        <v>4072</v>
      </c>
      <c r="C2304">
        <v>40</v>
      </c>
      <c r="D2304" t="s">
        <v>4080</v>
      </c>
      <c r="E2304" t="s">
        <v>4081</v>
      </c>
      <c r="F2304" t="s">
        <v>4079</v>
      </c>
    </row>
    <row r="2305" spans="1:6" x14ac:dyDescent="0.25">
      <c r="A2305">
        <v>2719</v>
      </c>
      <c r="B2305" t="s">
        <v>4072</v>
      </c>
      <c r="C2305">
        <v>5</v>
      </c>
      <c r="D2305" t="s">
        <v>4087</v>
      </c>
      <c r="E2305" t="s">
        <v>4088</v>
      </c>
      <c r="F2305" t="s">
        <v>4075</v>
      </c>
    </row>
    <row r="2306" spans="1:6" x14ac:dyDescent="0.25">
      <c r="A2306">
        <v>2719</v>
      </c>
      <c r="B2306" t="s">
        <v>4072</v>
      </c>
      <c r="C2306">
        <v>15</v>
      </c>
      <c r="D2306" t="s">
        <v>4080</v>
      </c>
      <c r="E2306" t="s">
        <v>4081</v>
      </c>
      <c r="F2306" t="s">
        <v>4076</v>
      </c>
    </row>
    <row r="2307" spans="1:6" x14ac:dyDescent="0.25">
      <c r="A2307">
        <v>2719</v>
      </c>
      <c r="B2307" t="s">
        <v>4072</v>
      </c>
      <c r="C2307">
        <v>40</v>
      </c>
      <c r="D2307" t="s">
        <v>4080</v>
      </c>
      <c r="E2307" t="s">
        <v>4081</v>
      </c>
      <c r="F2307" t="s">
        <v>4079</v>
      </c>
    </row>
    <row r="2308" spans="1:6" x14ac:dyDescent="0.25">
      <c r="A2308">
        <v>2720</v>
      </c>
      <c r="B2308" t="s">
        <v>4072</v>
      </c>
      <c r="C2308">
        <v>5</v>
      </c>
      <c r="D2308" t="s">
        <v>4087</v>
      </c>
      <c r="E2308" t="s">
        <v>4088</v>
      </c>
      <c r="F2308" t="s">
        <v>4075</v>
      </c>
    </row>
    <row r="2309" spans="1:6" x14ac:dyDescent="0.25">
      <c r="A2309">
        <v>2720</v>
      </c>
      <c r="B2309" t="s">
        <v>4072</v>
      </c>
      <c r="C2309">
        <v>15</v>
      </c>
      <c r="D2309" t="s">
        <v>4080</v>
      </c>
      <c r="E2309" t="s">
        <v>4081</v>
      </c>
      <c r="F2309" t="s">
        <v>4076</v>
      </c>
    </row>
    <row r="2310" spans="1:6" x14ac:dyDescent="0.25">
      <c r="A2310">
        <v>2720</v>
      </c>
      <c r="B2310" t="s">
        <v>4072</v>
      </c>
      <c r="C2310">
        <v>40</v>
      </c>
      <c r="D2310" t="s">
        <v>4080</v>
      </c>
      <c r="E2310" t="s">
        <v>4081</v>
      </c>
      <c r="F2310" t="s">
        <v>4079</v>
      </c>
    </row>
    <row r="2311" spans="1:6" x14ac:dyDescent="0.25">
      <c r="A2311">
        <v>2721</v>
      </c>
      <c r="B2311" t="s">
        <v>4072</v>
      </c>
      <c r="C2311">
        <v>2</v>
      </c>
      <c r="D2311" t="s">
        <v>4082</v>
      </c>
      <c r="E2311" t="s">
        <v>4083</v>
      </c>
      <c r="F2311" t="s">
        <v>4075</v>
      </c>
    </row>
    <row r="2312" spans="1:6" x14ac:dyDescent="0.25">
      <c r="A2312">
        <v>2721</v>
      </c>
      <c r="B2312" t="s">
        <v>4072</v>
      </c>
      <c r="C2312">
        <v>17</v>
      </c>
      <c r="D2312" t="s">
        <v>4082</v>
      </c>
      <c r="E2312" t="s">
        <v>4084</v>
      </c>
      <c r="F2312" t="s">
        <v>4076</v>
      </c>
    </row>
    <row r="2313" spans="1:6" x14ac:dyDescent="0.25">
      <c r="A2313">
        <v>2721</v>
      </c>
      <c r="B2313" t="s">
        <v>4072</v>
      </c>
      <c r="C2313">
        <v>42</v>
      </c>
      <c r="D2313" t="s">
        <v>4082</v>
      </c>
      <c r="E2313" t="s">
        <v>4083</v>
      </c>
      <c r="F2313" t="s">
        <v>4079</v>
      </c>
    </row>
    <row r="2314" spans="1:6" x14ac:dyDescent="0.25">
      <c r="A2314">
        <v>2722</v>
      </c>
      <c r="B2314" t="s">
        <v>4072</v>
      </c>
      <c r="C2314">
        <v>2</v>
      </c>
      <c r="D2314" t="s">
        <v>4082</v>
      </c>
      <c r="E2314" t="s">
        <v>4083</v>
      </c>
      <c r="F2314" t="s">
        <v>4075</v>
      </c>
    </row>
    <row r="2315" spans="1:6" x14ac:dyDescent="0.25">
      <c r="A2315">
        <v>2722</v>
      </c>
      <c r="B2315" t="s">
        <v>4072</v>
      </c>
      <c r="C2315">
        <v>17</v>
      </c>
      <c r="D2315" t="s">
        <v>4082</v>
      </c>
      <c r="E2315" t="s">
        <v>4084</v>
      </c>
      <c r="F2315" t="s">
        <v>4076</v>
      </c>
    </row>
    <row r="2316" spans="1:6" x14ac:dyDescent="0.25">
      <c r="A2316">
        <v>2722</v>
      </c>
      <c r="B2316" t="s">
        <v>4072</v>
      </c>
      <c r="C2316">
        <v>42</v>
      </c>
      <c r="D2316" t="s">
        <v>4082</v>
      </c>
      <c r="E2316" t="s">
        <v>4083</v>
      </c>
      <c r="F2316" t="s">
        <v>4079</v>
      </c>
    </row>
    <row r="2317" spans="1:6" x14ac:dyDescent="0.25">
      <c r="A2317">
        <v>2724</v>
      </c>
      <c r="B2317" t="s">
        <v>4072</v>
      </c>
      <c r="C2317">
        <v>10</v>
      </c>
      <c r="D2317" t="s">
        <v>4095</v>
      </c>
      <c r="E2317" t="s">
        <v>4096</v>
      </c>
      <c r="F2317" t="s">
        <v>4075</v>
      </c>
    </row>
    <row r="2318" spans="1:6" x14ac:dyDescent="0.25">
      <c r="A2318">
        <v>2725</v>
      </c>
      <c r="B2318" t="s">
        <v>4072</v>
      </c>
      <c r="C2318">
        <v>6</v>
      </c>
      <c r="D2318" t="s">
        <v>4073</v>
      </c>
      <c r="E2318" t="s">
        <v>4074</v>
      </c>
      <c r="F2318" t="s">
        <v>4075</v>
      </c>
    </row>
    <row r="2319" spans="1:6" x14ac:dyDescent="0.25">
      <c r="A2319">
        <v>2725</v>
      </c>
      <c r="B2319" t="s">
        <v>4072</v>
      </c>
      <c r="C2319">
        <v>19</v>
      </c>
      <c r="D2319" t="s">
        <v>4073</v>
      </c>
      <c r="E2319" t="s">
        <v>4074</v>
      </c>
      <c r="F2319" t="s">
        <v>4076</v>
      </c>
    </row>
    <row r="2320" spans="1:6" x14ac:dyDescent="0.25">
      <c r="A2320">
        <v>2725</v>
      </c>
      <c r="B2320" t="s">
        <v>4072</v>
      </c>
      <c r="C2320">
        <v>39</v>
      </c>
      <c r="D2320" t="s">
        <v>4073</v>
      </c>
      <c r="E2320" t="s">
        <v>4074</v>
      </c>
      <c r="F2320" t="s">
        <v>4079</v>
      </c>
    </row>
    <row r="2321" spans="1:6" x14ac:dyDescent="0.25">
      <c r="A2321">
        <v>2726</v>
      </c>
      <c r="B2321" t="s">
        <v>4072</v>
      </c>
      <c r="C2321">
        <v>19</v>
      </c>
      <c r="D2321" t="s">
        <v>4073</v>
      </c>
      <c r="E2321" t="s">
        <v>4074</v>
      </c>
      <c r="F2321" t="s">
        <v>4076</v>
      </c>
    </row>
    <row r="2322" spans="1:6" x14ac:dyDescent="0.25">
      <c r="A2322">
        <v>2726</v>
      </c>
      <c r="B2322" t="s">
        <v>4072</v>
      </c>
      <c r="C2322">
        <v>39</v>
      </c>
      <c r="D2322" t="s">
        <v>4073</v>
      </c>
      <c r="E2322" t="s">
        <v>4074</v>
      </c>
      <c r="F2322" t="s">
        <v>4079</v>
      </c>
    </row>
    <row r="2323" spans="1:6" x14ac:dyDescent="0.25">
      <c r="A2323">
        <v>2727</v>
      </c>
      <c r="B2323" t="s">
        <v>4072</v>
      </c>
      <c r="C2323">
        <v>5</v>
      </c>
      <c r="D2323" t="s">
        <v>4087</v>
      </c>
      <c r="E2323" t="s">
        <v>4088</v>
      </c>
      <c r="F2323" t="s">
        <v>4075</v>
      </c>
    </row>
    <row r="2324" spans="1:6" x14ac:dyDescent="0.25">
      <c r="A2324">
        <v>2727</v>
      </c>
      <c r="B2324" t="s">
        <v>4072</v>
      </c>
      <c r="C2324">
        <v>15</v>
      </c>
      <c r="D2324" t="s">
        <v>4080</v>
      </c>
      <c r="E2324" t="s">
        <v>4081</v>
      </c>
      <c r="F2324" t="s">
        <v>4076</v>
      </c>
    </row>
    <row r="2325" spans="1:6" x14ac:dyDescent="0.25">
      <c r="A2325">
        <v>2727</v>
      </c>
      <c r="B2325" t="s">
        <v>4072</v>
      </c>
      <c r="C2325">
        <v>40</v>
      </c>
      <c r="D2325" t="s">
        <v>4080</v>
      </c>
      <c r="E2325" t="s">
        <v>4081</v>
      </c>
      <c r="F2325" t="s">
        <v>4079</v>
      </c>
    </row>
    <row r="2326" spans="1:6" x14ac:dyDescent="0.25">
      <c r="A2326">
        <v>2728</v>
      </c>
      <c r="B2326" t="s">
        <v>4072</v>
      </c>
      <c r="C2326">
        <v>3</v>
      </c>
      <c r="D2326" t="s">
        <v>4085</v>
      </c>
      <c r="E2326" t="s">
        <v>4086</v>
      </c>
      <c r="F2326" t="s">
        <v>4075</v>
      </c>
    </row>
    <row r="2327" spans="1:6" x14ac:dyDescent="0.25">
      <c r="A2327">
        <v>2728</v>
      </c>
      <c r="B2327" t="s">
        <v>4072</v>
      </c>
      <c r="C2327">
        <v>5</v>
      </c>
      <c r="D2327" t="s">
        <v>4087</v>
      </c>
      <c r="E2327" t="s">
        <v>4088</v>
      </c>
      <c r="F2327" t="s">
        <v>4075</v>
      </c>
    </row>
    <row r="2328" spans="1:6" x14ac:dyDescent="0.25">
      <c r="A2328">
        <v>2728</v>
      </c>
      <c r="B2328" t="s">
        <v>4072</v>
      </c>
      <c r="C2328">
        <v>15</v>
      </c>
      <c r="D2328" t="s">
        <v>4080</v>
      </c>
      <c r="E2328" t="s">
        <v>4081</v>
      </c>
      <c r="F2328" t="s">
        <v>4076</v>
      </c>
    </row>
    <row r="2329" spans="1:6" x14ac:dyDescent="0.25">
      <c r="A2329">
        <v>2728</v>
      </c>
      <c r="B2329" t="s">
        <v>4072</v>
      </c>
      <c r="C2329">
        <v>40</v>
      </c>
      <c r="D2329" t="s">
        <v>4080</v>
      </c>
      <c r="E2329" t="s">
        <v>4081</v>
      </c>
      <c r="F2329" t="s">
        <v>4079</v>
      </c>
    </row>
    <row r="2330" spans="1:6" x14ac:dyDescent="0.25">
      <c r="A2330">
        <v>2729</v>
      </c>
      <c r="B2330" t="s">
        <v>4072</v>
      </c>
      <c r="C2330">
        <v>4</v>
      </c>
      <c r="D2330" t="s">
        <v>4077</v>
      </c>
      <c r="E2330" t="s">
        <v>4078</v>
      </c>
      <c r="F2330" t="s">
        <v>4075</v>
      </c>
    </row>
    <row r="2331" spans="1:6" x14ac:dyDescent="0.25">
      <c r="A2331">
        <v>2729</v>
      </c>
      <c r="B2331" t="s">
        <v>4072</v>
      </c>
      <c r="C2331">
        <v>16</v>
      </c>
      <c r="D2331" t="s">
        <v>4077</v>
      </c>
      <c r="E2331" t="s">
        <v>4078</v>
      </c>
      <c r="F2331" t="s">
        <v>4076</v>
      </c>
    </row>
    <row r="2332" spans="1:6" x14ac:dyDescent="0.25">
      <c r="A2332">
        <v>2729</v>
      </c>
      <c r="B2332" t="s">
        <v>4072</v>
      </c>
      <c r="C2332">
        <v>44</v>
      </c>
      <c r="D2332" t="s">
        <v>4077</v>
      </c>
      <c r="E2332" t="s">
        <v>4078</v>
      </c>
      <c r="F2332" t="s">
        <v>4079</v>
      </c>
    </row>
    <row r="2333" spans="1:6" x14ac:dyDescent="0.25">
      <c r="A2333">
        <v>2730</v>
      </c>
      <c r="B2333" t="s">
        <v>4072</v>
      </c>
      <c r="C2333">
        <v>5</v>
      </c>
      <c r="D2333" t="s">
        <v>4087</v>
      </c>
      <c r="E2333" t="s">
        <v>4088</v>
      </c>
      <c r="F2333" t="s">
        <v>4075</v>
      </c>
    </row>
    <row r="2334" spans="1:6" x14ac:dyDescent="0.25">
      <c r="A2334">
        <v>2730</v>
      </c>
      <c r="B2334" t="s">
        <v>4072</v>
      </c>
      <c r="C2334">
        <v>15</v>
      </c>
      <c r="D2334" t="s">
        <v>4080</v>
      </c>
      <c r="E2334" t="s">
        <v>4081</v>
      </c>
      <c r="F2334" t="s">
        <v>4076</v>
      </c>
    </row>
    <row r="2335" spans="1:6" x14ac:dyDescent="0.25">
      <c r="A2335">
        <v>2730</v>
      </c>
      <c r="B2335" t="s">
        <v>4072</v>
      </c>
      <c r="C2335">
        <v>40</v>
      </c>
      <c r="D2335" t="s">
        <v>4080</v>
      </c>
      <c r="E2335" t="s">
        <v>4081</v>
      </c>
      <c r="F2335" t="s">
        <v>4079</v>
      </c>
    </row>
    <row r="2336" spans="1:6" x14ac:dyDescent="0.25">
      <c r="A2336">
        <v>2731</v>
      </c>
      <c r="B2336" t="s">
        <v>4072</v>
      </c>
      <c r="C2336">
        <v>2</v>
      </c>
      <c r="D2336" t="s">
        <v>4082</v>
      </c>
      <c r="E2336" t="s">
        <v>4083</v>
      </c>
      <c r="F2336" t="s">
        <v>4075</v>
      </c>
    </row>
    <row r="2337" spans="1:6" x14ac:dyDescent="0.25">
      <c r="A2337">
        <v>2731</v>
      </c>
      <c r="B2337" t="s">
        <v>4072</v>
      </c>
      <c r="C2337">
        <v>17</v>
      </c>
      <c r="D2337" t="s">
        <v>4082</v>
      </c>
      <c r="E2337" t="s">
        <v>4084</v>
      </c>
      <c r="F2337" t="s">
        <v>4076</v>
      </c>
    </row>
    <row r="2338" spans="1:6" x14ac:dyDescent="0.25">
      <c r="A2338">
        <v>2731</v>
      </c>
      <c r="B2338" t="s">
        <v>4072</v>
      </c>
      <c r="C2338">
        <v>42</v>
      </c>
      <c r="D2338" t="s">
        <v>4082</v>
      </c>
      <c r="E2338" t="s">
        <v>4083</v>
      </c>
      <c r="F2338" t="s">
        <v>4079</v>
      </c>
    </row>
    <row r="2339" spans="1:6" x14ac:dyDescent="0.25">
      <c r="A2339">
        <v>2732</v>
      </c>
      <c r="B2339" t="s">
        <v>4072</v>
      </c>
      <c r="C2339">
        <v>2</v>
      </c>
      <c r="D2339" t="s">
        <v>4082</v>
      </c>
      <c r="E2339" t="s">
        <v>4083</v>
      </c>
      <c r="F2339" t="s">
        <v>4075</v>
      </c>
    </row>
    <row r="2340" spans="1:6" x14ac:dyDescent="0.25">
      <c r="A2340">
        <v>2732</v>
      </c>
      <c r="B2340" t="s">
        <v>4072</v>
      </c>
      <c r="C2340">
        <v>17</v>
      </c>
      <c r="D2340" t="s">
        <v>4082</v>
      </c>
      <c r="E2340" t="s">
        <v>4084</v>
      </c>
      <c r="F2340" t="s">
        <v>4076</v>
      </c>
    </row>
    <row r="2341" spans="1:6" x14ac:dyDescent="0.25">
      <c r="A2341">
        <v>2732</v>
      </c>
      <c r="B2341" t="s">
        <v>4072</v>
      </c>
      <c r="C2341">
        <v>42</v>
      </c>
      <c r="D2341" t="s">
        <v>4082</v>
      </c>
      <c r="E2341" t="s">
        <v>4083</v>
      </c>
      <c r="F2341" t="s">
        <v>4079</v>
      </c>
    </row>
    <row r="2342" spans="1:6" x14ac:dyDescent="0.25">
      <c r="A2342">
        <v>2733</v>
      </c>
      <c r="B2342" t="s">
        <v>4072</v>
      </c>
      <c r="C2342">
        <v>1</v>
      </c>
      <c r="D2342" t="s">
        <v>2761</v>
      </c>
      <c r="E2342" t="s">
        <v>4089</v>
      </c>
      <c r="F2342" t="s">
        <v>4075</v>
      </c>
    </row>
    <row r="2343" spans="1:6" x14ac:dyDescent="0.25">
      <c r="A2343">
        <v>2733</v>
      </c>
      <c r="B2343" t="s">
        <v>4072</v>
      </c>
      <c r="C2343">
        <v>2</v>
      </c>
      <c r="D2343" t="s">
        <v>4082</v>
      </c>
      <c r="E2343" t="s">
        <v>4083</v>
      </c>
      <c r="F2343" t="s">
        <v>4075</v>
      </c>
    </row>
    <row r="2344" spans="1:6" x14ac:dyDescent="0.25">
      <c r="A2344">
        <v>2733</v>
      </c>
      <c r="B2344" t="s">
        <v>4072</v>
      </c>
      <c r="C2344">
        <v>17</v>
      </c>
      <c r="D2344" t="s">
        <v>4082</v>
      </c>
      <c r="E2344" t="s">
        <v>4084</v>
      </c>
      <c r="F2344" t="s">
        <v>4076</v>
      </c>
    </row>
    <row r="2345" spans="1:6" x14ac:dyDescent="0.25">
      <c r="A2345">
        <v>2733</v>
      </c>
      <c r="B2345" t="s">
        <v>4072</v>
      </c>
      <c r="C2345">
        <v>38</v>
      </c>
      <c r="D2345" t="s">
        <v>2761</v>
      </c>
      <c r="E2345" t="s">
        <v>4089</v>
      </c>
      <c r="F2345" t="s">
        <v>4076</v>
      </c>
    </row>
    <row r="2346" spans="1:6" x14ac:dyDescent="0.25">
      <c r="A2346">
        <v>2733</v>
      </c>
      <c r="B2346" t="s">
        <v>4072</v>
      </c>
      <c r="C2346">
        <v>42</v>
      </c>
      <c r="D2346" t="s">
        <v>4082</v>
      </c>
      <c r="E2346" t="s">
        <v>4083</v>
      </c>
      <c r="F2346" t="s">
        <v>4079</v>
      </c>
    </row>
    <row r="2347" spans="1:6" x14ac:dyDescent="0.25">
      <c r="A2347">
        <v>2733</v>
      </c>
      <c r="B2347" t="s">
        <v>4072</v>
      </c>
      <c r="C2347">
        <v>43</v>
      </c>
      <c r="D2347" t="s">
        <v>2761</v>
      </c>
      <c r="E2347" t="s">
        <v>4089</v>
      </c>
      <c r="F2347" t="s">
        <v>4079</v>
      </c>
    </row>
    <row r="2348" spans="1:6" x14ac:dyDescent="0.25">
      <c r="A2348">
        <v>2734</v>
      </c>
      <c r="B2348" t="s">
        <v>4092</v>
      </c>
      <c r="C2348">
        <v>23</v>
      </c>
      <c r="D2348" t="s">
        <v>2757</v>
      </c>
      <c r="E2348" t="s">
        <v>4093</v>
      </c>
      <c r="F2348" t="s">
        <v>4075</v>
      </c>
    </row>
    <row r="2349" spans="1:6" x14ac:dyDescent="0.25">
      <c r="A2349">
        <v>2734</v>
      </c>
      <c r="B2349" t="s">
        <v>4092</v>
      </c>
      <c r="C2349">
        <v>28</v>
      </c>
      <c r="D2349" t="s">
        <v>2757</v>
      </c>
      <c r="E2349" t="s">
        <v>4093</v>
      </c>
      <c r="F2349" t="s">
        <v>4076</v>
      </c>
    </row>
    <row r="2350" spans="1:6" x14ac:dyDescent="0.25">
      <c r="A2350">
        <v>2734</v>
      </c>
      <c r="B2350" t="s">
        <v>4092</v>
      </c>
      <c r="C2350">
        <v>33</v>
      </c>
      <c r="D2350" t="s">
        <v>4109</v>
      </c>
      <c r="E2350" t="s">
        <v>4110</v>
      </c>
      <c r="F2350" t="s">
        <v>4075</v>
      </c>
    </row>
    <row r="2351" spans="1:6" x14ac:dyDescent="0.25">
      <c r="A2351">
        <v>2734</v>
      </c>
      <c r="B2351" t="s">
        <v>4092</v>
      </c>
      <c r="C2351">
        <v>34</v>
      </c>
      <c r="D2351" t="s">
        <v>4109</v>
      </c>
      <c r="E2351" t="s">
        <v>4110</v>
      </c>
      <c r="F2351" t="s">
        <v>4076</v>
      </c>
    </row>
    <row r="2352" spans="1:6" x14ac:dyDescent="0.25">
      <c r="A2352">
        <v>2737</v>
      </c>
      <c r="B2352" t="s">
        <v>4072</v>
      </c>
      <c r="C2352">
        <v>3</v>
      </c>
      <c r="D2352" t="s">
        <v>4085</v>
      </c>
      <c r="E2352" t="s">
        <v>4086</v>
      </c>
      <c r="F2352" t="s">
        <v>4075</v>
      </c>
    </row>
    <row r="2353" spans="1:6" x14ac:dyDescent="0.25">
      <c r="A2353">
        <v>2737</v>
      </c>
      <c r="B2353" t="s">
        <v>4072</v>
      </c>
      <c r="C2353">
        <v>5</v>
      </c>
      <c r="D2353" t="s">
        <v>4087</v>
      </c>
      <c r="E2353" t="s">
        <v>4088</v>
      </c>
      <c r="F2353" t="s">
        <v>4075</v>
      </c>
    </row>
    <row r="2354" spans="1:6" x14ac:dyDescent="0.25">
      <c r="A2354">
        <v>2737</v>
      </c>
      <c r="B2354" t="s">
        <v>4072</v>
      </c>
      <c r="C2354">
        <v>15</v>
      </c>
      <c r="D2354" t="s">
        <v>4080</v>
      </c>
      <c r="E2354" t="s">
        <v>4081</v>
      </c>
      <c r="F2354" t="s">
        <v>4076</v>
      </c>
    </row>
    <row r="2355" spans="1:6" x14ac:dyDescent="0.25">
      <c r="A2355">
        <v>2739</v>
      </c>
      <c r="B2355" t="s">
        <v>4072</v>
      </c>
      <c r="C2355">
        <v>6</v>
      </c>
      <c r="D2355" t="s">
        <v>4073</v>
      </c>
      <c r="E2355" t="s">
        <v>4074</v>
      </c>
      <c r="F2355" t="s">
        <v>4075</v>
      </c>
    </row>
    <row r="2356" spans="1:6" x14ac:dyDescent="0.25">
      <c r="A2356">
        <v>2739</v>
      </c>
      <c r="B2356" t="s">
        <v>4072</v>
      </c>
      <c r="C2356">
        <v>19</v>
      </c>
      <c r="D2356" t="s">
        <v>4073</v>
      </c>
      <c r="E2356" t="s">
        <v>4074</v>
      </c>
      <c r="F2356" t="s">
        <v>4076</v>
      </c>
    </row>
    <row r="2357" spans="1:6" x14ac:dyDescent="0.25">
      <c r="A2357">
        <v>2740</v>
      </c>
      <c r="B2357" t="s">
        <v>4092</v>
      </c>
      <c r="C2357">
        <v>23</v>
      </c>
      <c r="D2357" t="s">
        <v>2757</v>
      </c>
      <c r="E2357" t="s">
        <v>4093</v>
      </c>
      <c r="F2357" t="s">
        <v>4075</v>
      </c>
    </row>
    <row r="2358" spans="1:6" x14ac:dyDescent="0.25">
      <c r="A2358">
        <v>2740</v>
      </c>
      <c r="B2358" t="s">
        <v>4092</v>
      </c>
      <c r="C2358">
        <v>28</v>
      </c>
      <c r="D2358" t="s">
        <v>2757</v>
      </c>
      <c r="E2358" t="s">
        <v>4093</v>
      </c>
      <c r="F2358" t="s">
        <v>4076</v>
      </c>
    </row>
    <row r="2359" spans="1:6" x14ac:dyDescent="0.25">
      <c r="A2359">
        <v>2741</v>
      </c>
      <c r="B2359" t="s">
        <v>4092</v>
      </c>
      <c r="C2359">
        <v>25</v>
      </c>
      <c r="D2359" t="s">
        <v>4102</v>
      </c>
      <c r="E2359" t="s">
        <v>4103</v>
      </c>
      <c r="F2359" t="s">
        <v>4075</v>
      </c>
    </row>
    <row r="2360" spans="1:6" x14ac:dyDescent="0.25">
      <c r="A2360">
        <v>2741</v>
      </c>
      <c r="B2360" t="s">
        <v>4092</v>
      </c>
      <c r="C2360">
        <v>30</v>
      </c>
      <c r="D2360" t="s">
        <v>4102</v>
      </c>
      <c r="E2360" t="s">
        <v>4103</v>
      </c>
      <c r="F2360" t="s">
        <v>4076</v>
      </c>
    </row>
    <row r="2361" spans="1:6" x14ac:dyDescent="0.25">
      <c r="A2361">
        <v>2742</v>
      </c>
      <c r="B2361" t="s">
        <v>4092</v>
      </c>
      <c r="C2361">
        <v>24</v>
      </c>
      <c r="D2361" t="s">
        <v>2760</v>
      </c>
      <c r="E2361" t="s">
        <v>4108</v>
      </c>
      <c r="F2361" t="s">
        <v>4075</v>
      </c>
    </row>
    <row r="2362" spans="1:6" x14ac:dyDescent="0.25">
      <c r="A2362">
        <v>2742</v>
      </c>
      <c r="B2362" t="s">
        <v>4092</v>
      </c>
      <c r="C2362">
        <v>29</v>
      </c>
      <c r="D2362" t="s">
        <v>2760</v>
      </c>
      <c r="E2362" t="s">
        <v>4108</v>
      </c>
      <c r="F2362" t="s">
        <v>4076</v>
      </c>
    </row>
    <row r="2363" spans="1:6" x14ac:dyDescent="0.25">
      <c r="A2363">
        <v>2743</v>
      </c>
      <c r="B2363" t="s">
        <v>4092</v>
      </c>
      <c r="C2363">
        <v>33</v>
      </c>
      <c r="D2363" t="s">
        <v>4109</v>
      </c>
      <c r="E2363" t="s">
        <v>4110</v>
      </c>
      <c r="F2363" t="s">
        <v>4075</v>
      </c>
    </row>
    <row r="2364" spans="1:6" x14ac:dyDescent="0.25">
      <c r="A2364">
        <v>2743</v>
      </c>
      <c r="B2364" t="s">
        <v>4092</v>
      </c>
      <c r="C2364">
        <v>34</v>
      </c>
      <c r="D2364" t="s">
        <v>4109</v>
      </c>
      <c r="E2364" t="s">
        <v>4110</v>
      </c>
      <c r="F2364" t="s">
        <v>4076</v>
      </c>
    </row>
    <row r="2365" spans="1:6" x14ac:dyDescent="0.25">
      <c r="A2365">
        <v>2744</v>
      </c>
      <c r="B2365" t="s">
        <v>4092</v>
      </c>
      <c r="C2365">
        <v>33</v>
      </c>
      <c r="D2365" t="s">
        <v>4109</v>
      </c>
      <c r="E2365" t="s">
        <v>4110</v>
      </c>
      <c r="F2365" t="s">
        <v>4075</v>
      </c>
    </row>
    <row r="2366" spans="1:6" x14ac:dyDescent="0.25">
      <c r="A2366">
        <v>2744</v>
      </c>
      <c r="B2366" t="s">
        <v>4092</v>
      </c>
      <c r="C2366">
        <v>34</v>
      </c>
      <c r="D2366" t="s">
        <v>4109</v>
      </c>
      <c r="E2366" t="s">
        <v>4110</v>
      </c>
      <c r="F2366" t="s">
        <v>4076</v>
      </c>
    </row>
    <row r="2367" spans="1:6" x14ac:dyDescent="0.25">
      <c r="A2367">
        <v>2745</v>
      </c>
      <c r="B2367" t="s">
        <v>4072</v>
      </c>
      <c r="C2367">
        <v>5</v>
      </c>
      <c r="D2367" t="s">
        <v>4087</v>
      </c>
      <c r="E2367" t="s">
        <v>4088</v>
      </c>
      <c r="F2367" t="s">
        <v>4075</v>
      </c>
    </row>
    <row r="2368" spans="1:6" x14ac:dyDescent="0.25">
      <c r="A2368">
        <v>2745</v>
      </c>
      <c r="B2368" t="s">
        <v>4072</v>
      </c>
      <c r="C2368">
        <v>15</v>
      </c>
      <c r="D2368" t="s">
        <v>4080</v>
      </c>
      <c r="E2368" t="s">
        <v>4081</v>
      </c>
      <c r="F2368" t="s">
        <v>4076</v>
      </c>
    </row>
    <row r="2369" spans="1:6" x14ac:dyDescent="0.25">
      <c r="A2369">
        <v>2746</v>
      </c>
      <c r="B2369" t="s">
        <v>4072</v>
      </c>
      <c r="C2369">
        <v>3</v>
      </c>
      <c r="D2369" t="s">
        <v>4085</v>
      </c>
      <c r="E2369" t="s">
        <v>4086</v>
      </c>
      <c r="F2369" t="s">
        <v>4075</v>
      </c>
    </row>
    <row r="2370" spans="1:6" x14ac:dyDescent="0.25">
      <c r="A2370">
        <v>2746</v>
      </c>
      <c r="B2370" t="s">
        <v>4072</v>
      </c>
      <c r="C2370">
        <v>5</v>
      </c>
      <c r="D2370" t="s">
        <v>4087</v>
      </c>
      <c r="E2370" t="s">
        <v>4088</v>
      </c>
      <c r="F2370" t="s">
        <v>4075</v>
      </c>
    </row>
    <row r="2371" spans="1:6" x14ac:dyDescent="0.25">
      <c r="A2371">
        <v>2746</v>
      </c>
      <c r="B2371" t="s">
        <v>4072</v>
      </c>
      <c r="C2371">
        <v>15</v>
      </c>
      <c r="D2371" t="s">
        <v>4080</v>
      </c>
      <c r="E2371" t="s">
        <v>4081</v>
      </c>
      <c r="F2371" t="s">
        <v>4076</v>
      </c>
    </row>
    <row r="2372" spans="1:6" x14ac:dyDescent="0.25">
      <c r="A2372">
        <v>2747</v>
      </c>
      <c r="B2372" t="s">
        <v>4072</v>
      </c>
      <c r="C2372">
        <v>4</v>
      </c>
      <c r="D2372" t="s">
        <v>4077</v>
      </c>
      <c r="E2372" t="s">
        <v>4078</v>
      </c>
      <c r="F2372" t="s">
        <v>4075</v>
      </c>
    </row>
    <row r="2373" spans="1:6" x14ac:dyDescent="0.25">
      <c r="A2373">
        <v>2747</v>
      </c>
      <c r="B2373" t="s">
        <v>4072</v>
      </c>
      <c r="C2373">
        <v>16</v>
      </c>
      <c r="D2373" t="s">
        <v>4077</v>
      </c>
      <c r="E2373" t="s">
        <v>4078</v>
      </c>
      <c r="F2373" t="s">
        <v>4076</v>
      </c>
    </row>
    <row r="2374" spans="1:6" x14ac:dyDescent="0.25">
      <c r="A2374">
        <v>2748</v>
      </c>
      <c r="B2374" t="s">
        <v>4072</v>
      </c>
      <c r="C2374">
        <v>2</v>
      </c>
      <c r="D2374" t="s">
        <v>4082</v>
      </c>
      <c r="E2374" t="s">
        <v>4083</v>
      </c>
      <c r="F2374" t="s">
        <v>4075</v>
      </c>
    </row>
    <row r="2375" spans="1:6" x14ac:dyDescent="0.25">
      <c r="A2375">
        <v>2748</v>
      </c>
      <c r="B2375" t="s">
        <v>4072</v>
      </c>
      <c r="C2375">
        <v>17</v>
      </c>
      <c r="D2375" t="s">
        <v>4082</v>
      </c>
      <c r="E2375" t="s">
        <v>4084</v>
      </c>
      <c r="F2375" t="s">
        <v>4076</v>
      </c>
    </row>
    <row r="2376" spans="1:6" x14ac:dyDescent="0.25">
      <c r="A2376">
        <v>2750</v>
      </c>
      <c r="B2376" t="s">
        <v>4092</v>
      </c>
      <c r="C2376">
        <v>23</v>
      </c>
      <c r="D2376" t="s">
        <v>2757</v>
      </c>
      <c r="E2376" t="s">
        <v>4093</v>
      </c>
      <c r="F2376" t="s">
        <v>4075</v>
      </c>
    </row>
    <row r="2377" spans="1:6" x14ac:dyDescent="0.25">
      <c r="A2377">
        <v>2750</v>
      </c>
      <c r="B2377" t="s">
        <v>4092</v>
      </c>
      <c r="C2377">
        <v>28</v>
      </c>
      <c r="D2377" t="s">
        <v>2757</v>
      </c>
      <c r="E2377" t="s">
        <v>4093</v>
      </c>
      <c r="F2377" t="s">
        <v>4076</v>
      </c>
    </row>
    <row r="2378" spans="1:6" x14ac:dyDescent="0.25">
      <c r="A2378">
        <v>2751</v>
      </c>
      <c r="B2378" t="s">
        <v>4092</v>
      </c>
      <c r="C2378">
        <v>23</v>
      </c>
      <c r="D2378" t="s">
        <v>2757</v>
      </c>
      <c r="E2378" t="s">
        <v>4093</v>
      </c>
      <c r="F2378" t="s">
        <v>4075</v>
      </c>
    </row>
    <row r="2379" spans="1:6" x14ac:dyDescent="0.25">
      <c r="A2379">
        <v>2751</v>
      </c>
      <c r="B2379" t="s">
        <v>4092</v>
      </c>
      <c r="C2379">
        <v>25</v>
      </c>
      <c r="D2379" t="s">
        <v>4102</v>
      </c>
      <c r="E2379" t="s">
        <v>4103</v>
      </c>
      <c r="F2379" t="s">
        <v>4075</v>
      </c>
    </row>
    <row r="2380" spans="1:6" x14ac:dyDescent="0.25">
      <c r="A2380">
        <v>2752</v>
      </c>
      <c r="B2380" t="s">
        <v>4072</v>
      </c>
      <c r="C2380">
        <v>4</v>
      </c>
      <c r="D2380" t="s">
        <v>4077</v>
      </c>
      <c r="E2380" t="s">
        <v>4078</v>
      </c>
      <c r="F2380" t="s">
        <v>4075</v>
      </c>
    </row>
    <row r="2381" spans="1:6" x14ac:dyDescent="0.25">
      <c r="A2381">
        <v>2752</v>
      </c>
      <c r="B2381" t="s">
        <v>4072</v>
      </c>
      <c r="C2381">
        <v>16</v>
      </c>
      <c r="D2381" t="s">
        <v>4077</v>
      </c>
      <c r="E2381" t="s">
        <v>4078</v>
      </c>
      <c r="F2381" t="s">
        <v>4076</v>
      </c>
    </row>
    <row r="2382" spans="1:6" x14ac:dyDescent="0.25">
      <c r="A2382">
        <v>2753</v>
      </c>
      <c r="B2382" t="s">
        <v>4072</v>
      </c>
      <c r="C2382">
        <v>3</v>
      </c>
      <c r="D2382" t="s">
        <v>4085</v>
      </c>
      <c r="E2382" t="s">
        <v>4086</v>
      </c>
      <c r="F2382" t="s">
        <v>4075</v>
      </c>
    </row>
    <row r="2383" spans="1:6" x14ac:dyDescent="0.25">
      <c r="A2383">
        <v>2753</v>
      </c>
      <c r="B2383" t="s">
        <v>4072</v>
      </c>
      <c r="C2383">
        <v>5</v>
      </c>
      <c r="D2383" t="s">
        <v>4087</v>
      </c>
      <c r="E2383" t="s">
        <v>4088</v>
      </c>
      <c r="F2383" t="s">
        <v>4075</v>
      </c>
    </row>
    <row r="2384" spans="1:6" x14ac:dyDescent="0.25">
      <c r="A2384">
        <v>2753</v>
      </c>
      <c r="B2384" t="s">
        <v>4072</v>
      </c>
      <c r="C2384">
        <v>15</v>
      </c>
      <c r="D2384" t="s">
        <v>4080</v>
      </c>
      <c r="E2384" t="s">
        <v>4081</v>
      </c>
      <c r="F2384" t="s">
        <v>4076</v>
      </c>
    </row>
    <row r="2385" spans="1:6" x14ac:dyDescent="0.25">
      <c r="A2385">
        <v>2754</v>
      </c>
      <c r="B2385" t="s">
        <v>4072</v>
      </c>
      <c r="C2385">
        <v>2</v>
      </c>
      <c r="D2385" t="s">
        <v>4082</v>
      </c>
      <c r="E2385" t="s">
        <v>4083</v>
      </c>
      <c r="F2385" t="s">
        <v>4075</v>
      </c>
    </row>
    <row r="2386" spans="1:6" x14ac:dyDescent="0.25">
      <c r="A2386">
        <v>2754</v>
      </c>
      <c r="B2386" t="s">
        <v>4072</v>
      </c>
      <c r="C2386">
        <v>17</v>
      </c>
      <c r="D2386" t="s">
        <v>4082</v>
      </c>
      <c r="E2386" t="s">
        <v>4084</v>
      </c>
      <c r="F2386" t="s">
        <v>4076</v>
      </c>
    </row>
    <row r="2387" spans="1:6" x14ac:dyDescent="0.25">
      <c r="A2387">
        <v>2755</v>
      </c>
      <c r="B2387" t="s">
        <v>4072</v>
      </c>
      <c r="C2387">
        <v>6</v>
      </c>
      <c r="D2387" t="s">
        <v>4073</v>
      </c>
      <c r="E2387" t="s">
        <v>4074</v>
      </c>
      <c r="F2387" t="s">
        <v>4075</v>
      </c>
    </row>
    <row r="2388" spans="1:6" x14ac:dyDescent="0.25">
      <c r="A2388">
        <v>2755</v>
      </c>
      <c r="B2388" t="s">
        <v>4072</v>
      </c>
      <c r="C2388">
        <v>19</v>
      </c>
      <c r="D2388" t="s">
        <v>4073</v>
      </c>
      <c r="E2388" t="s">
        <v>4074</v>
      </c>
      <c r="F2388" t="s">
        <v>4076</v>
      </c>
    </row>
    <row r="2389" spans="1:6" x14ac:dyDescent="0.25">
      <c r="A2389">
        <v>2756</v>
      </c>
      <c r="B2389" t="s">
        <v>4072</v>
      </c>
      <c r="C2389">
        <v>2</v>
      </c>
      <c r="D2389" t="s">
        <v>4082</v>
      </c>
      <c r="E2389" t="s">
        <v>4083</v>
      </c>
      <c r="F2389" t="s">
        <v>4075</v>
      </c>
    </row>
    <row r="2390" spans="1:6" x14ac:dyDescent="0.25">
      <c r="A2390">
        <v>2756</v>
      </c>
      <c r="B2390" t="s">
        <v>4072</v>
      </c>
      <c r="C2390">
        <v>17</v>
      </c>
      <c r="D2390" t="s">
        <v>4082</v>
      </c>
      <c r="E2390" t="s">
        <v>4084</v>
      </c>
      <c r="F2390" t="s">
        <v>4076</v>
      </c>
    </row>
    <row r="2391" spans="1:6" x14ac:dyDescent="0.25">
      <c r="A2391">
        <v>2759</v>
      </c>
      <c r="B2391" t="s">
        <v>4072</v>
      </c>
      <c r="C2391">
        <v>4</v>
      </c>
      <c r="D2391" t="s">
        <v>4077</v>
      </c>
      <c r="E2391" t="s">
        <v>4078</v>
      </c>
      <c r="F2391" t="s">
        <v>4075</v>
      </c>
    </row>
    <row r="2392" spans="1:6" x14ac:dyDescent="0.25">
      <c r="A2392">
        <v>2759</v>
      </c>
      <c r="B2392" t="s">
        <v>4072</v>
      </c>
      <c r="C2392">
        <v>16</v>
      </c>
      <c r="D2392" t="s">
        <v>4077</v>
      </c>
      <c r="E2392" t="s">
        <v>4078</v>
      </c>
      <c r="F2392" t="s">
        <v>4076</v>
      </c>
    </row>
    <row r="2393" spans="1:6" x14ac:dyDescent="0.25">
      <c r="A2393">
        <v>2762</v>
      </c>
      <c r="B2393" t="s">
        <v>4092</v>
      </c>
      <c r="C2393">
        <v>23</v>
      </c>
      <c r="D2393" t="s">
        <v>2757</v>
      </c>
      <c r="E2393" t="s">
        <v>4093</v>
      </c>
      <c r="F2393" t="s">
        <v>4075</v>
      </c>
    </row>
    <row r="2394" spans="1:6" x14ac:dyDescent="0.25">
      <c r="A2394">
        <v>2762</v>
      </c>
      <c r="B2394" t="s">
        <v>4092</v>
      </c>
      <c r="C2394">
        <v>28</v>
      </c>
      <c r="D2394" t="s">
        <v>2757</v>
      </c>
      <c r="E2394" t="s">
        <v>4093</v>
      </c>
      <c r="F2394" t="s">
        <v>4076</v>
      </c>
    </row>
    <row r="2395" spans="1:6" x14ac:dyDescent="0.25">
      <c r="A2395">
        <v>2762</v>
      </c>
      <c r="B2395" t="s">
        <v>4092</v>
      </c>
      <c r="C2395">
        <v>48</v>
      </c>
      <c r="D2395" t="s">
        <v>2757</v>
      </c>
      <c r="E2395" t="s">
        <v>4093</v>
      </c>
      <c r="F2395" t="s">
        <v>4079</v>
      </c>
    </row>
    <row r="2396" spans="1:6" x14ac:dyDescent="0.25">
      <c r="A2396">
        <v>2765</v>
      </c>
      <c r="B2396" t="s">
        <v>4092</v>
      </c>
      <c r="C2396">
        <v>33</v>
      </c>
      <c r="D2396" t="s">
        <v>4109</v>
      </c>
      <c r="E2396" t="s">
        <v>4110</v>
      </c>
      <c r="F2396" t="s">
        <v>4075</v>
      </c>
    </row>
    <row r="2397" spans="1:6" x14ac:dyDescent="0.25">
      <c r="A2397">
        <v>2766</v>
      </c>
      <c r="B2397" t="s">
        <v>4092</v>
      </c>
      <c r="C2397">
        <v>23</v>
      </c>
      <c r="D2397" t="s">
        <v>2757</v>
      </c>
      <c r="E2397" t="s">
        <v>4093</v>
      </c>
      <c r="F2397" t="s">
        <v>4075</v>
      </c>
    </row>
    <row r="2398" spans="1:6" x14ac:dyDescent="0.25">
      <c r="A2398">
        <v>2779</v>
      </c>
      <c r="B2398" t="s">
        <v>4072</v>
      </c>
      <c r="C2398">
        <v>6</v>
      </c>
      <c r="D2398" t="s">
        <v>4073</v>
      </c>
      <c r="E2398" t="s">
        <v>4074</v>
      </c>
      <c r="F2398" t="s">
        <v>4075</v>
      </c>
    </row>
    <row r="2399" spans="1:6" x14ac:dyDescent="0.25">
      <c r="A2399">
        <v>2779</v>
      </c>
      <c r="B2399" t="s">
        <v>4072</v>
      </c>
      <c r="C2399">
        <v>19</v>
      </c>
      <c r="D2399" t="s">
        <v>4073</v>
      </c>
      <c r="E2399" t="s">
        <v>4074</v>
      </c>
      <c r="F2399" t="s">
        <v>4076</v>
      </c>
    </row>
    <row r="2400" spans="1:6" x14ac:dyDescent="0.25">
      <c r="A2400">
        <v>2780</v>
      </c>
      <c r="B2400" t="s">
        <v>4072</v>
      </c>
      <c r="C2400">
        <v>6</v>
      </c>
      <c r="D2400" t="s">
        <v>4073</v>
      </c>
      <c r="E2400" t="s">
        <v>4074</v>
      </c>
      <c r="F2400" t="s">
        <v>4075</v>
      </c>
    </row>
    <row r="2401" spans="1:6" x14ac:dyDescent="0.25">
      <c r="A2401">
        <v>2780</v>
      </c>
      <c r="B2401" t="s">
        <v>4072</v>
      </c>
      <c r="C2401">
        <v>19</v>
      </c>
      <c r="D2401" t="s">
        <v>4073</v>
      </c>
      <c r="E2401" t="s">
        <v>4074</v>
      </c>
      <c r="F2401" t="s">
        <v>4076</v>
      </c>
    </row>
    <row r="2402" spans="1:6" x14ac:dyDescent="0.25">
      <c r="A2402">
        <v>2780</v>
      </c>
      <c r="B2402" t="s">
        <v>4072</v>
      </c>
      <c r="C2402">
        <v>39</v>
      </c>
      <c r="D2402" t="s">
        <v>4073</v>
      </c>
      <c r="E2402" t="s">
        <v>4074</v>
      </c>
      <c r="F2402" t="s">
        <v>4079</v>
      </c>
    </row>
    <row r="2403" spans="1:6" x14ac:dyDescent="0.25">
      <c r="A2403">
        <v>2781</v>
      </c>
      <c r="B2403" t="s">
        <v>4072</v>
      </c>
      <c r="C2403">
        <v>2</v>
      </c>
      <c r="D2403" t="s">
        <v>4082</v>
      </c>
      <c r="E2403" t="s">
        <v>4083</v>
      </c>
      <c r="F2403" t="s">
        <v>4075</v>
      </c>
    </row>
    <row r="2404" spans="1:6" x14ac:dyDescent="0.25">
      <c r="A2404">
        <v>2781</v>
      </c>
      <c r="B2404" t="s">
        <v>4072</v>
      </c>
      <c r="C2404">
        <v>17</v>
      </c>
      <c r="D2404" t="s">
        <v>4082</v>
      </c>
      <c r="E2404" t="s">
        <v>4084</v>
      </c>
      <c r="F2404" t="s">
        <v>4076</v>
      </c>
    </row>
    <row r="2405" spans="1:6" x14ac:dyDescent="0.25">
      <c r="A2405">
        <v>2782</v>
      </c>
      <c r="B2405" t="s">
        <v>4072</v>
      </c>
      <c r="C2405">
        <v>3</v>
      </c>
      <c r="D2405" t="s">
        <v>4085</v>
      </c>
      <c r="E2405" t="s">
        <v>4086</v>
      </c>
      <c r="F2405" t="s">
        <v>4075</v>
      </c>
    </row>
    <row r="2406" spans="1:6" x14ac:dyDescent="0.25">
      <c r="A2406">
        <v>2782</v>
      </c>
      <c r="B2406" t="s">
        <v>4072</v>
      </c>
      <c r="C2406">
        <v>5</v>
      </c>
      <c r="D2406" t="s">
        <v>4087</v>
      </c>
      <c r="E2406" t="s">
        <v>4088</v>
      </c>
      <c r="F2406" t="s">
        <v>4075</v>
      </c>
    </row>
    <row r="2407" spans="1:6" x14ac:dyDescent="0.25">
      <c r="A2407">
        <v>2782</v>
      </c>
      <c r="B2407" t="s">
        <v>4072</v>
      </c>
      <c r="C2407">
        <v>15</v>
      </c>
      <c r="D2407" t="s">
        <v>4080</v>
      </c>
      <c r="E2407" t="s">
        <v>4081</v>
      </c>
      <c r="F2407" t="s">
        <v>4076</v>
      </c>
    </row>
    <row r="2408" spans="1:6" x14ac:dyDescent="0.25">
      <c r="A2408">
        <v>2783</v>
      </c>
      <c r="B2408" t="s">
        <v>4072</v>
      </c>
      <c r="C2408">
        <v>5</v>
      </c>
      <c r="D2408" t="s">
        <v>4087</v>
      </c>
      <c r="E2408" t="s">
        <v>4088</v>
      </c>
      <c r="F2408" t="s">
        <v>4075</v>
      </c>
    </row>
    <row r="2409" spans="1:6" x14ac:dyDescent="0.25">
      <c r="A2409">
        <v>2783</v>
      </c>
      <c r="B2409" t="s">
        <v>4072</v>
      </c>
      <c r="C2409">
        <v>15</v>
      </c>
      <c r="D2409" t="s">
        <v>4080</v>
      </c>
      <c r="E2409" t="s">
        <v>4081</v>
      </c>
      <c r="F2409" t="s">
        <v>4076</v>
      </c>
    </row>
    <row r="2410" spans="1:6" x14ac:dyDescent="0.25">
      <c r="A2410">
        <v>2784</v>
      </c>
      <c r="B2410" t="s">
        <v>4072</v>
      </c>
      <c r="C2410">
        <v>1</v>
      </c>
      <c r="D2410" t="s">
        <v>2761</v>
      </c>
      <c r="E2410" t="s">
        <v>4089</v>
      </c>
      <c r="F2410" t="s">
        <v>4075</v>
      </c>
    </row>
    <row r="2411" spans="1:6" x14ac:dyDescent="0.25">
      <c r="A2411">
        <v>2784</v>
      </c>
      <c r="B2411" t="s">
        <v>4072</v>
      </c>
      <c r="C2411">
        <v>38</v>
      </c>
      <c r="D2411" t="s">
        <v>2761</v>
      </c>
      <c r="E2411" t="s">
        <v>4089</v>
      </c>
      <c r="F2411" t="s">
        <v>4076</v>
      </c>
    </row>
    <row r="2412" spans="1:6" x14ac:dyDescent="0.25">
      <c r="A2412">
        <v>2785</v>
      </c>
      <c r="B2412" t="s">
        <v>4072</v>
      </c>
      <c r="C2412">
        <v>4</v>
      </c>
      <c r="D2412" t="s">
        <v>4077</v>
      </c>
      <c r="E2412" t="s">
        <v>4078</v>
      </c>
      <c r="F2412" t="s">
        <v>4075</v>
      </c>
    </row>
    <row r="2413" spans="1:6" x14ac:dyDescent="0.25">
      <c r="A2413">
        <v>2785</v>
      </c>
      <c r="B2413" t="s">
        <v>4072</v>
      </c>
      <c r="C2413">
        <v>16</v>
      </c>
      <c r="D2413" t="s">
        <v>4077</v>
      </c>
      <c r="E2413" t="s">
        <v>4078</v>
      </c>
      <c r="F2413" t="s">
        <v>4076</v>
      </c>
    </row>
    <row r="2414" spans="1:6" x14ac:dyDescent="0.25">
      <c r="A2414">
        <v>2789</v>
      </c>
      <c r="B2414" t="s">
        <v>4092</v>
      </c>
      <c r="C2414">
        <v>24</v>
      </c>
      <c r="D2414" t="s">
        <v>2760</v>
      </c>
      <c r="E2414" t="s">
        <v>4108</v>
      </c>
      <c r="F2414" t="s">
        <v>4075</v>
      </c>
    </row>
    <row r="2415" spans="1:6" x14ac:dyDescent="0.25">
      <c r="A2415">
        <v>2789</v>
      </c>
      <c r="B2415" t="s">
        <v>4092</v>
      </c>
      <c r="C2415">
        <v>29</v>
      </c>
      <c r="D2415" t="s">
        <v>2760</v>
      </c>
      <c r="E2415" t="s">
        <v>4108</v>
      </c>
      <c r="F2415" t="s">
        <v>4076</v>
      </c>
    </row>
    <row r="2416" spans="1:6" x14ac:dyDescent="0.25">
      <c r="A2416">
        <v>2789</v>
      </c>
      <c r="B2416" t="s">
        <v>4092</v>
      </c>
      <c r="C2416">
        <v>49</v>
      </c>
      <c r="D2416" t="s">
        <v>2760</v>
      </c>
      <c r="E2416" t="s">
        <v>4108</v>
      </c>
      <c r="F2416" t="s">
        <v>4079</v>
      </c>
    </row>
    <row r="2417" spans="1:6" x14ac:dyDescent="0.25">
      <c r="A2417">
        <v>2790</v>
      </c>
      <c r="B2417" t="s">
        <v>4092</v>
      </c>
      <c r="C2417">
        <v>24</v>
      </c>
      <c r="D2417" t="s">
        <v>2760</v>
      </c>
      <c r="E2417" t="s">
        <v>4108</v>
      </c>
      <c r="F2417" t="s">
        <v>4075</v>
      </c>
    </row>
    <row r="2418" spans="1:6" x14ac:dyDescent="0.25">
      <c r="A2418">
        <v>2790</v>
      </c>
      <c r="B2418" t="s">
        <v>4092</v>
      </c>
      <c r="C2418">
        <v>29</v>
      </c>
      <c r="D2418" t="s">
        <v>2760</v>
      </c>
      <c r="E2418" t="s">
        <v>4108</v>
      </c>
      <c r="F2418" t="s">
        <v>4076</v>
      </c>
    </row>
    <row r="2419" spans="1:6" x14ac:dyDescent="0.25">
      <c r="A2419">
        <v>2790</v>
      </c>
      <c r="B2419" t="s">
        <v>4092</v>
      </c>
      <c r="C2419">
        <v>49</v>
      </c>
      <c r="D2419" t="s">
        <v>2760</v>
      </c>
      <c r="E2419" t="s">
        <v>4108</v>
      </c>
      <c r="F2419" t="s">
        <v>4079</v>
      </c>
    </row>
    <row r="2420" spans="1:6" x14ac:dyDescent="0.25">
      <c r="A2420">
        <v>2791</v>
      </c>
      <c r="B2420" t="s">
        <v>4072</v>
      </c>
      <c r="C2420">
        <v>5</v>
      </c>
      <c r="D2420" t="s">
        <v>4087</v>
      </c>
      <c r="E2420" t="s">
        <v>4088</v>
      </c>
      <c r="F2420" t="s">
        <v>4075</v>
      </c>
    </row>
    <row r="2421" spans="1:6" x14ac:dyDescent="0.25">
      <c r="A2421">
        <v>2791</v>
      </c>
      <c r="B2421" t="s">
        <v>4072</v>
      </c>
      <c r="C2421">
        <v>15</v>
      </c>
      <c r="D2421" t="s">
        <v>4080</v>
      </c>
      <c r="E2421" t="s">
        <v>4081</v>
      </c>
      <c r="F2421" t="s">
        <v>4076</v>
      </c>
    </row>
    <row r="2422" spans="1:6" x14ac:dyDescent="0.25">
      <c r="A2422">
        <v>2791</v>
      </c>
      <c r="B2422" t="s">
        <v>4072</v>
      </c>
      <c r="C2422">
        <v>40</v>
      </c>
      <c r="D2422" t="s">
        <v>4080</v>
      </c>
      <c r="E2422" t="s">
        <v>4081</v>
      </c>
      <c r="F2422" t="s">
        <v>4079</v>
      </c>
    </row>
    <row r="2423" spans="1:6" x14ac:dyDescent="0.25">
      <c r="A2423">
        <v>2792</v>
      </c>
      <c r="B2423" t="s">
        <v>4072</v>
      </c>
      <c r="C2423">
        <v>6</v>
      </c>
      <c r="D2423" t="s">
        <v>4073</v>
      </c>
      <c r="E2423" t="s">
        <v>4074</v>
      </c>
      <c r="F2423" t="s">
        <v>4075</v>
      </c>
    </row>
    <row r="2424" spans="1:6" x14ac:dyDescent="0.25">
      <c r="A2424">
        <v>2792</v>
      </c>
      <c r="B2424" t="s">
        <v>4072</v>
      </c>
      <c r="C2424">
        <v>19</v>
      </c>
      <c r="D2424" t="s">
        <v>4073</v>
      </c>
      <c r="E2424" t="s">
        <v>4074</v>
      </c>
      <c r="F2424" t="s">
        <v>4076</v>
      </c>
    </row>
    <row r="2425" spans="1:6" x14ac:dyDescent="0.25">
      <c r="A2425">
        <v>2792</v>
      </c>
      <c r="B2425" t="s">
        <v>4072</v>
      </c>
      <c r="C2425">
        <v>39</v>
      </c>
      <c r="D2425" t="s">
        <v>4073</v>
      </c>
      <c r="E2425" t="s">
        <v>4074</v>
      </c>
      <c r="F2425" t="s">
        <v>4079</v>
      </c>
    </row>
    <row r="2426" spans="1:6" x14ac:dyDescent="0.25">
      <c r="A2426">
        <v>2793</v>
      </c>
      <c r="B2426" t="s">
        <v>4072</v>
      </c>
      <c r="C2426">
        <v>4</v>
      </c>
      <c r="D2426" t="s">
        <v>4077</v>
      </c>
      <c r="E2426" t="s">
        <v>4078</v>
      </c>
      <c r="F2426" t="s">
        <v>4075</v>
      </c>
    </row>
    <row r="2427" spans="1:6" x14ac:dyDescent="0.25">
      <c r="A2427">
        <v>2793</v>
      </c>
      <c r="B2427" t="s">
        <v>4072</v>
      </c>
      <c r="C2427">
        <v>16</v>
      </c>
      <c r="D2427" t="s">
        <v>4077</v>
      </c>
      <c r="E2427" t="s">
        <v>4078</v>
      </c>
      <c r="F2427" t="s">
        <v>4076</v>
      </c>
    </row>
    <row r="2428" spans="1:6" x14ac:dyDescent="0.25">
      <c r="A2428">
        <v>2794</v>
      </c>
      <c r="B2428" t="s">
        <v>4072</v>
      </c>
      <c r="C2428">
        <v>2</v>
      </c>
      <c r="D2428" t="s">
        <v>4082</v>
      </c>
      <c r="E2428" t="s">
        <v>4083</v>
      </c>
      <c r="F2428" t="s">
        <v>4075</v>
      </c>
    </row>
    <row r="2429" spans="1:6" x14ac:dyDescent="0.25">
      <c r="A2429">
        <v>2794</v>
      </c>
      <c r="B2429" t="s">
        <v>4072</v>
      </c>
      <c r="C2429">
        <v>17</v>
      </c>
      <c r="D2429" t="s">
        <v>4082</v>
      </c>
      <c r="E2429" t="s">
        <v>4084</v>
      </c>
      <c r="F2429" t="s">
        <v>4076</v>
      </c>
    </row>
    <row r="2430" spans="1:6" x14ac:dyDescent="0.25">
      <c r="A2430">
        <v>2795</v>
      </c>
      <c r="B2430" t="s">
        <v>4072</v>
      </c>
      <c r="C2430">
        <v>6</v>
      </c>
      <c r="D2430" t="s">
        <v>4073</v>
      </c>
      <c r="E2430" t="s">
        <v>4074</v>
      </c>
      <c r="F2430" t="s">
        <v>4075</v>
      </c>
    </row>
    <row r="2431" spans="1:6" x14ac:dyDescent="0.25">
      <c r="A2431">
        <v>2795</v>
      </c>
      <c r="B2431" t="s">
        <v>4072</v>
      </c>
      <c r="C2431">
        <v>19</v>
      </c>
      <c r="D2431" t="s">
        <v>4073</v>
      </c>
      <c r="E2431" t="s">
        <v>4074</v>
      </c>
      <c r="F2431" t="s">
        <v>4076</v>
      </c>
    </row>
    <row r="2432" spans="1:6" x14ac:dyDescent="0.25">
      <c r="A2432">
        <v>2795</v>
      </c>
      <c r="B2432" t="s">
        <v>4072</v>
      </c>
      <c r="C2432">
        <v>39</v>
      </c>
      <c r="D2432" t="s">
        <v>4073</v>
      </c>
      <c r="E2432" t="s">
        <v>4074</v>
      </c>
      <c r="F2432" t="s">
        <v>4079</v>
      </c>
    </row>
    <row r="2433" spans="1:6" x14ac:dyDescent="0.25">
      <c r="A2433">
        <v>2796</v>
      </c>
      <c r="B2433" t="s">
        <v>4092</v>
      </c>
      <c r="C2433">
        <v>24</v>
      </c>
      <c r="D2433" t="s">
        <v>2760</v>
      </c>
      <c r="E2433" t="s">
        <v>4108</v>
      </c>
      <c r="F2433" t="s">
        <v>4075</v>
      </c>
    </row>
    <row r="2434" spans="1:6" x14ac:dyDescent="0.25">
      <c r="A2434">
        <v>2796</v>
      </c>
      <c r="B2434" t="s">
        <v>4092</v>
      </c>
      <c r="C2434">
        <v>29</v>
      </c>
      <c r="D2434" t="s">
        <v>2760</v>
      </c>
      <c r="E2434" t="s">
        <v>4108</v>
      </c>
      <c r="F2434" t="s">
        <v>4076</v>
      </c>
    </row>
    <row r="2435" spans="1:6" x14ac:dyDescent="0.25">
      <c r="A2435">
        <v>2796</v>
      </c>
      <c r="B2435" t="s">
        <v>4092</v>
      </c>
      <c r="C2435">
        <v>49</v>
      </c>
      <c r="D2435" t="s">
        <v>2760</v>
      </c>
      <c r="E2435" t="s">
        <v>4108</v>
      </c>
      <c r="F2435" t="s">
        <v>4079</v>
      </c>
    </row>
    <row r="2436" spans="1:6" x14ac:dyDescent="0.25">
      <c r="A2436">
        <v>2801</v>
      </c>
      <c r="B2436" t="s">
        <v>4072</v>
      </c>
      <c r="C2436">
        <v>19</v>
      </c>
      <c r="D2436" t="s">
        <v>4073</v>
      </c>
      <c r="E2436" t="s">
        <v>4074</v>
      </c>
      <c r="F2436" t="s">
        <v>4076</v>
      </c>
    </row>
    <row r="2437" spans="1:6" x14ac:dyDescent="0.25">
      <c r="A2437">
        <v>2801</v>
      </c>
      <c r="B2437" t="s">
        <v>4072</v>
      </c>
      <c r="C2437">
        <v>39</v>
      </c>
      <c r="D2437" t="s">
        <v>4073</v>
      </c>
      <c r="E2437" t="s">
        <v>4074</v>
      </c>
      <c r="F2437" t="s">
        <v>4079</v>
      </c>
    </row>
    <row r="2438" spans="1:6" x14ac:dyDescent="0.25">
      <c r="A2438">
        <v>2802</v>
      </c>
      <c r="B2438" t="s">
        <v>4072</v>
      </c>
      <c r="C2438">
        <v>2</v>
      </c>
      <c r="D2438" t="s">
        <v>4082</v>
      </c>
      <c r="E2438" t="s">
        <v>4083</v>
      </c>
      <c r="F2438" t="s">
        <v>4075</v>
      </c>
    </row>
    <row r="2439" spans="1:6" x14ac:dyDescent="0.25">
      <c r="A2439">
        <v>2802</v>
      </c>
      <c r="B2439" t="s">
        <v>4072</v>
      </c>
      <c r="C2439">
        <v>17</v>
      </c>
      <c r="D2439" t="s">
        <v>4082</v>
      </c>
      <c r="E2439" t="s">
        <v>4084</v>
      </c>
      <c r="F2439" t="s">
        <v>4076</v>
      </c>
    </row>
    <row r="2440" spans="1:6" x14ac:dyDescent="0.25">
      <c r="A2440">
        <v>2802</v>
      </c>
      <c r="B2440" t="s">
        <v>4072</v>
      </c>
      <c r="C2440">
        <v>42</v>
      </c>
      <c r="D2440" t="s">
        <v>4082</v>
      </c>
      <c r="E2440" t="s">
        <v>4083</v>
      </c>
      <c r="F2440" t="s">
        <v>4079</v>
      </c>
    </row>
    <row r="2441" spans="1:6" x14ac:dyDescent="0.25">
      <c r="A2441">
        <v>2803</v>
      </c>
      <c r="B2441" t="s">
        <v>4072</v>
      </c>
      <c r="C2441">
        <v>3</v>
      </c>
      <c r="D2441" t="s">
        <v>4085</v>
      </c>
      <c r="E2441" t="s">
        <v>4086</v>
      </c>
      <c r="F2441" t="s">
        <v>4075</v>
      </c>
    </row>
    <row r="2442" spans="1:6" x14ac:dyDescent="0.25">
      <c r="A2442">
        <v>2803</v>
      </c>
      <c r="B2442" t="s">
        <v>4072</v>
      </c>
      <c r="C2442">
        <v>15</v>
      </c>
      <c r="D2442" t="s">
        <v>4080</v>
      </c>
      <c r="E2442" t="s">
        <v>4081</v>
      </c>
      <c r="F2442" t="s">
        <v>4076</v>
      </c>
    </row>
    <row r="2443" spans="1:6" x14ac:dyDescent="0.25">
      <c r="A2443">
        <v>2803</v>
      </c>
      <c r="B2443" t="s">
        <v>4072</v>
      </c>
      <c r="C2443">
        <v>40</v>
      </c>
      <c r="D2443" t="s">
        <v>4080</v>
      </c>
      <c r="E2443" t="s">
        <v>4081</v>
      </c>
      <c r="F2443" t="s">
        <v>4079</v>
      </c>
    </row>
    <row r="2444" spans="1:6" x14ac:dyDescent="0.25">
      <c r="A2444">
        <v>2804</v>
      </c>
      <c r="B2444" t="s">
        <v>4072</v>
      </c>
      <c r="C2444">
        <v>6</v>
      </c>
      <c r="D2444" t="s">
        <v>4073</v>
      </c>
      <c r="E2444" t="s">
        <v>4074</v>
      </c>
      <c r="F2444" t="s">
        <v>4075</v>
      </c>
    </row>
    <row r="2445" spans="1:6" x14ac:dyDescent="0.25">
      <c r="A2445">
        <v>2804</v>
      </c>
      <c r="B2445" t="s">
        <v>4072</v>
      </c>
      <c r="C2445">
        <v>19</v>
      </c>
      <c r="D2445" t="s">
        <v>4073</v>
      </c>
      <c r="E2445" t="s">
        <v>4074</v>
      </c>
      <c r="F2445" t="s">
        <v>4076</v>
      </c>
    </row>
    <row r="2446" spans="1:6" x14ac:dyDescent="0.25">
      <c r="A2446">
        <v>2804</v>
      </c>
      <c r="B2446" t="s">
        <v>4072</v>
      </c>
      <c r="C2446">
        <v>39</v>
      </c>
      <c r="D2446" t="s">
        <v>4073</v>
      </c>
      <c r="E2446" t="s">
        <v>4074</v>
      </c>
      <c r="F2446" t="s">
        <v>4079</v>
      </c>
    </row>
    <row r="2447" spans="1:6" x14ac:dyDescent="0.25">
      <c r="A2447">
        <v>2805</v>
      </c>
      <c r="B2447" t="s">
        <v>4072</v>
      </c>
      <c r="C2447">
        <v>6</v>
      </c>
      <c r="D2447" t="s">
        <v>4073</v>
      </c>
      <c r="E2447" t="s">
        <v>4074</v>
      </c>
      <c r="F2447" t="s">
        <v>4075</v>
      </c>
    </row>
    <row r="2448" spans="1:6" x14ac:dyDescent="0.25">
      <c r="A2448">
        <v>2805</v>
      </c>
      <c r="B2448" t="s">
        <v>4072</v>
      </c>
      <c r="C2448">
        <v>19</v>
      </c>
      <c r="D2448" t="s">
        <v>4073</v>
      </c>
      <c r="E2448" t="s">
        <v>4074</v>
      </c>
      <c r="F2448" t="s">
        <v>4076</v>
      </c>
    </row>
    <row r="2449" spans="1:6" x14ac:dyDescent="0.25">
      <c r="A2449">
        <v>2807</v>
      </c>
      <c r="B2449" t="s">
        <v>4072</v>
      </c>
      <c r="C2449">
        <v>2</v>
      </c>
      <c r="D2449" t="s">
        <v>4082</v>
      </c>
      <c r="E2449" t="s">
        <v>4083</v>
      </c>
      <c r="F2449" t="s">
        <v>4075</v>
      </c>
    </row>
    <row r="2450" spans="1:6" x14ac:dyDescent="0.25">
      <c r="A2450">
        <v>2807</v>
      </c>
      <c r="B2450" t="s">
        <v>4072</v>
      </c>
      <c r="C2450">
        <v>17</v>
      </c>
      <c r="D2450" t="s">
        <v>4082</v>
      </c>
      <c r="E2450" t="s">
        <v>4084</v>
      </c>
      <c r="F2450" t="s">
        <v>4076</v>
      </c>
    </row>
    <row r="2451" spans="1:6" x14ac:dyDescent="0.25">
      <c r="A2451">
        <v>2808</v>
      </c>
      <c r="B2451" t="s">
        <v>4072</v>
      </c>
      <c r="C2451">
        <v>3</v>
      </c>
      <c r="D2451" t="s">
        <v>4085</v>
      </c>
      <c r="E2451" t="s">
        <v>4086</v>
      </c>
      <c r="F2451" t="s">
        <v>4075</v>
      </c>
    </row>
    <row r="2452" spans="1:6" x14ac:dyDescent="0.25">
      <c r="A2452">
        <v>2808</v>
      </c>
      <c r="B2452" t="s">
        <v>4072</v>
      </c>
      <c r="C2452">
        <v>15</v>
      </c>
      <c r="D2452" t="s">
        <v>4080</v>
      </c>
      <c r="E2452" t="s">
        <v>4081</v>
      </c>
      <c r="F2452" t="s">
        <v>4076</v>
      </c>
    </row>
    <row r="2453" spans="1:6" x14ac:dyDescent="0.25">
      <c r="A2453">
        <v>2810</v>
      </c>
      <c r="B2453" t="s">
        <v>4092</v>
      </c>
      <c r="C2453">
        <v>23</v>
      </c>
      <c r="D2453" t="s">
        <v>2757</v>
      </c>
      <c r="E2453" t="s">
        <v>4093</v>
      </c>
      <c r="F2453" t="s">
        <v>4075</v>
      </c>
    </row>
    <row r="2454" spans="1:6" x14ac:dyDescent="0.25">
      <c r="A2454">
        <v>2810</v>
      </c>
      <c r="B2454" t="s">
        <v>4092</v>
      </c>
      <c r="C2454">
        <v>28</v>
      </c>
      <c r="D2454" t="s">
        <v>2757</v>
      </c>
      <c r="E2454" t="s">
        <v>4093</v>
      </c>
      <c r="F2454" t="s">
        <v>4076</v>
      </c>
    </row>
    <row r="2455" spans="1:6" x14ac:dyDescent="0.25">
      <c r="A2455">
        <v>2811</v>
      </c>
      <c r="B2455" t="s">
        <v>4072</v>
      </c>
      <c r="C2455">
        <v>6</v>
      </c>
      <c r="D2455" t="s">
        <v>4073</v>
      </c>
      <c r="E2455" t="s">
        <v>4074</v>
      </c>
      <c r="F2455" t="s">
        <v>4075</v>
      </c>
    </row>
    <row r="2456" spans="1:6" x14ac:dyDescent="0.25">
      <c r="A2456">
        <v>2811</v>
      </c>
      <c r="B2456" t="s">
        <v>4072</v>
      </c>
      <c r="C2456">
        <v>19</v>
      </c>
      <c r="D2456" t="s">
        <v>4073</v>
      </c>
      <c r="E2456" t="s">
        <v>4074</v>
      </c>
      <c r="F2456" t="s">
        <v>4076</v>
      </c>
    </row>
    <row r="2457" spans="1:6" x14ac:dyDescent="0.25">
      <c r="A2457">
        <v>2811</v>
      </c>
      <c r="B2457" t="s">
        <v>4072</v>
      </c>
      <c r="C2457">
        <v>39</v>
      </c>
      <c r="D2457" t="s">
        <v>4073</v>
      </c>
      <c r="E2457" t="s">
        <v>4074</v>
      </c>
      <c r="F2457" t="s">
        <v>4079</v>
      </c>
    </row>
    <row r="2458" spans="1:6" x14ac:dyDescent="0.25">
      <c r="A2458">
        <v>2812</v>
      </c>
      <c r="B2458" t="s">
        <v>4072</v>
      </c>
      <c r="C2458">
        <v>2</v>
      </c>
      <c r="D2458" t="s">
        <v>4082</v>
      </c>
      <c r="E2458" t="s">
        <v>4083</v>
      </c>
      <c r="F2458" t="s">
        <v>4075</v>
      </c>
    </row>
    <row r="2459" spans="1:6" x14ac:dyDescent="0.25">
      <c r="A2459">
        <v>2812</v>
      </c>
      <c r="B2459" t="s">
        <v>4072</v>
      </c>
      <c r="C2459">
        <v>17</v>
      </c>
      <c r="D2459" t="s">
        <v>4082</v>
      </c>
      <c r="E2459" t="s">
        <v>4084</v>
      </c>
      <c r="F2459" t="s">
        <v>4076</v>
      </c>
    </row>
    <row r="2460" spans="1:6" x14ac:dyDescent="0.25">
      <c r="A2460">
        <v>2812</v>
      </c>
      <c r="B2460" t="s">
        <v>4072</v>
      </c>
      <c r="C2460">
        <v>42</v>
      </c>
      <c r="D2460" t="s">
        <v>4082</v>
      </c>
      <c r="E2460" t="s">
        <v>4083</v>
      </c>
      <c r="F2460" t="s">
        <v>4079</v>
      </c>
    </row>
    <row r="2461" spans="1:6" x14ac:dyDescent="0.25">
      <c r="A2461">
        <v>2814</v>
      </c>
      <c r="B2461" t="s">
        <v>4072</v>
      </c>
      <c r="C2461">
        <v>2</v>
      </c>
      <c r="D2461" t="s">
        <v>4082</v>
      </c>
      <c r="E2461" t="s">
        <v>4083</v>
      </c>
      <c r="F2461" t="s">
        <v>4075</v>
      </c>
    </row>
    <row r="2462" spans="1:6" x14ac:dyDescent="0.25">
      <c r="A2462">
        <v>2814</v>
      </c>
      <c r="B2462" t="s">
        <v>4072</v>
      </c>
      <c r="C2462">
        <v>17</v>
      </c>
      <c r="D2462" t="s">
        <v>4082</v>
      </c>
      <c r="E2462" t="s">
        <v>4084</v>
      </c>
      <c r="F2462" t="s">
        <v>4076</v>
      </c>
    </row>
    <row r="2463" spans="1:6" x14ac:dyDescent="0.25">
      <c r="A2463">
        <v>2814</v>
      </c>
      <c r="B2463" t="s">
        <v>4072</v>
      </c>
      <c r="C2463">
        <v>42</v>
      </c>
      <c r="D2463" t="s">
        <v>4082</v>
      </c>
      <c r="E2463" t="s">
        <v>4083</v>
      </c>
      <c r="F2463" t="s">
        <v>4079</v>
      </c>
    </row>
    <row r="2464" spans="1:6" x14ac:dyDescent="0.25">
      <c r="A2464">
        <v>2815</v>
      </c>
      <c r="B2464" t="s">
        <v>4072</v>
      </c>
      <c r="C2464">
        <v>1</v>
      </c>
      <c r="D2464" t="s">
        <v>2761</v>
      </c>
      <c r="E2464" t="s">
        <v>4089</v>
      </c>
      <c r="F2464" t="s">
        <v>4075</v>
      </c>
    </row>
    <row r="2465" spans="1:6" x14ac:dyDescent="0.25">
      <c r="A2465">
        <v>2815</v>
      </c>
      <c r="B2465" t="s">
        <v>4072</v>
      </c>
      <c r="C2465">
        <v>2</v>
      </c>
      <c r="D2465" t="s">
        <v>4082</v>
      </c>
      <c r="E2465" t="s">
        <v>4083</v>
      </c>
      <c r="F2465" t="s">
        <v>4075</v>
      </c>
    </row>
    <row r="2466" spans="1:6" x14ac:dyDescent="0.25">
      <c r="A2466">
        <v>2815</v>
      </c>
      <c r="B2466" t="s">
        <v>4072</v>
      </c>
      <c r="C2466">
        <v>17</v>
      </c>
      <c r="D2466" t="s">
        <v>4082</v>
      </c>
      <c r="E2466" t="s">
        <v>4084</v>
      </c>
      <c r="F2466" t="s">
        <v>4076</v>
      </c>
    </row>
    <row r="2467" spans="1:6" x14ac:dyDescent="0.25">
      <c r="A2467">
        <v>2815</v>
      </c>
      <c r="B2467" t="s">
        <v>4072</v>
      </c>
      <c r="C2467">
        <v>42</v>
      </c>
      <c r="D2467" t="s">
        <v>4082</v>
      </c>
      <c r="E2467" t="s">
        <v>4083</v>
      </c>
      <c r="F2467" t="s">
        <v>4079</v>
      </c>
    </row>
    <row r="2468" spans="1:6" x14ac:dyDescent="0.25">
      <c r="A2468">
        <v>2817</v>
      </c>
      <c r="B2468" t="s">
        <v>4072</v>
      </c>
      <c r="C2468">
        <v>19</v>
      </c>
      <c r="D2468" t="s">
        <v>4073</v>
      </c>
      <c r="E2468" t="s">
        <v>4074</v>
      </c>
      <c r="F2468" t="s">
        <v>4076</v>
      </c>
    </row>
    <row r="2469" spans="1:6" x14ac:dyDescent="0.25">
      <c r="A2469">
        <v>2817</v>
      </c>
      <c r="B2469" t="s">
        <v>4072</v>
      </c>
      <c r="C2469">
        <v>39</v>
      </c>
      <c r="D2469" t="s">
        <v>4073</v>
      </c>
      <c r="E2469" t="s">
        <v>4074</v>
      </c>
      <c r="F2469" t="s">
        <v>4079</v>
      </c>
    </row>
    <row r="2470" spans="1:6" x14ac:dyDescent="0.25">
      <c r="A2470">
        <v>2819</v>
      </c>
      <c r="B2470" t="s">
        <v>4072</v>
      </c>
      <c r="C2470">
        <v>5</v>
      </c>
      <c r="D2470" t="s">
        <v>4087</v>
      </c>
      <c r="E2470" t="s">
        <v>4088</v>
      </c>
      <c r="F2470" t="s">
        <v>4075</v>
      </c>
    </row>
    <row r="2471" spans="1:6" x14ac:dyDescent="0.25">
      <c r="A2471">
        <v>2819</v>
      </c>
      <c r="B2471" t="s">
        <v>4072</v>
      </c>
      <c r="C2471">
        <v>15</v>
      </c>
      <c r="D2471" t="s">
        <v>4080</v>
      </c>
      <c r="E2471" t="s">
        <v>4081</v>
      </c>
      <c r="F2471" t="s">
        <v>4076</v>
      </c>
    </row>
    <row r="2472" spans="1:6" x14ac:dyDescent="0.25">
      <c r="A2472">
        <v>2819</v>
      </c>
      <c r="B2472" t="s">
        <v>4072</v>
      </c>
      <c r="C2472">
        <v>40</v>
      </c>
      <c r="D2472" t="s">
        <v>4080</v>
      </c>
      <c r="E2472" t="s">
        <v>4081</v>
      </c>
      <c r="F2472" t="s">
        <v>4079</v>
      </c>
    </row>
    <row r="2473" spans="1:6" x14ac:dyDescent="0.25">
      <c r="A2473">
        <v>2820</v>
      </c>
      <c r="B2473" t="s">
        <v>4072</v>
      </c>
      <c r="C2473">
        <v>5</v>
      </c>
      <c r="D2473" t="s">
        <v>4087</v>
      </c>
      <c r="E2473" t="s">
        <v>4088</v>
      </c>
      <c r="F2473" t="s">
        <v>4075</v>
      </c>
    </row>
    <row r="2474" spans="1:6" x14ac:dyDescent="0.25">
      <c r="A2474">
        <v>2820</v>
      </c>
      <c r="B2474" t="s">
        <v>4072</v>
      </c>
      <c r="C2474">
        <v>15</v>
      </c>
      <c r="D2474" t="s">
        <v>4080</v>
      </c>
      <c r="E2474" t="s">
        <v>4081</v>
      </c>
      <c r="F2474" t="s">
        <v>4076</v>
      </c>
    </row>
    <row r="2475" spans="1:6" x14ac:dyDescent="0.25">
      <c r="A2475">
        <v>2820</v>
      </c>
      <c r="B2475" t="s">
        <v>4072</v>
      </c>
      <c r="C2475">
        <v>40</v>
      </c>
      <c r="D2475" t="s">
        <v>4080</v>
      </c>
      <c r="E2475" t="s">
        <v>4081</v>
      </c>
      <c r="F2475" t="s">
        <v>4079</v>
      </c>
    </row>
    <row r="2476" spans="1:6" x14ac:dyDescent="0.25">
      <c r="A2476">
        <v>2821</v>
      </c>
      <c r="B2476" t="s">
        <v>4072</v>
      </c>
      <c r="C2476">
        <v>5</v>
      </c>
      <c r="D2476" t="s">
        <v>4087</v>
      </c>
      <c r="E2476" t="s">
        <v>4088</v>
      </c>
      <c r="F2476" t="s">
        <v>4075</v>
      </c>
    </row>
    <row r="2477" spans="1:6" x14ac:dyDescent="0.25">
      <c r="A2477">
        <v>2821</v>
      </c>
      <c r="B2477" t="s">
        <v>4072</v>
      </c>
      <c r="C2477">
        <v>15</v>
      </c>
      <c r="D2477" t="s">
        <v>4080</v>
      </c>
      <c r="E2477" t="s">
        <v>4081</v>
      </c>
      <c r="F2477" t="s">
        <v>4076</v>
      </c>
    </row>
    <row r="2478" spans="1:6" x14ac:dyDescent="0.25">
      <c r="A2478">
        <v>2821</v>
      </c>
      <c r="B2478" t="s">
        <v>4072</v>
      </c>
      <c r="C2478">
        <v>40</v>
      </c>
      <c r="D2478" t="s">
        <v>4080</v>
      </c>
      <c r="E2478" t="s">
        <v>4081</v>
      </c>
      <c r="F2478" t="s">
        <v>4079</v>
      </c>
    </row>
    <row r="2479" spans="1:6" x14ac:dyDescent="0.25">
      <c r="A2479">
        <v>2822</v>
      </c>
      <c r="B2479" t="s">
        <v>4072</v>
      </c>
      <c r="C2479">
        <v>13</v>
      </c>
      <c r="D2479" t="s">
        <v>4097</v>
      </c>
      <c r="E2479" t="s">
        <v>4098</v>
      </c>
      <c r="F2479" t="s">
        <v>4076</v>
      </c>
    </row>
    <row r="2480" spans="1:6" x14ac:dyDescent="0.25">
      <c r="A2480">
        <v>2822</v>
      </c>
      <c r="B2480" t="s">
        <v>4072</v>
      </c>
      <c r="C2480">
        <v>14</v>
      </c>
      <c r="D2480" t="s">
        <v>4090</v>
      </c>
      <c r="E2480" t="s">
        <v>4091</v>
      </c>
      <c r="F2480" t="s">
        <v>4076</v>
      </c>
    </row>
    <row r="2481" spans="1:6" x14ac:dyDescent="0.25">
      <c r="A2481">
        <v>2822</v>
      </c>
      <c r="B2481" t="s">
        <v>4072</v>
      </c>
      <c r="C2481">
        <v>15</v>
      </c>
      <c r="D2481" t="s">
        <v>4080</v>
      </c>
      <c r="E2481" t="s">
        <v>4081</v>
      </c>
      <c r="F2481" t="s">
        <v>4076</v>
      </c>
    </row>
    <row r="2482" spans="1:6" x14ac:dyDescent="0.25">
      <c r="A2482">
        <v>2822</v>
      </c>
      <c r="B2482" t="s">
        <v>4072</v>
      </c>
      <c r="C2482">
        <v>16</v>
      </c>
      <c r="D2482" t="s">
        <v>4077</v>
      </c>
      <c r="E2482" t="s">
        <v>4078</v>
      </c>
      <c r="F2482" t="s">
        <v>4076</v>
      </c>
    </row>
    <row r="2483" spans="1:6" x14ac:dyDescent="0.25">
      <c r="A2483">
        <v>2822</v>
      </c>
      <c r="B2483" t="s">
        <v>4072</v>
      </c>
      <c r="C2483">
        <v>40</v>
      </c>
      <c r="D2483" t="s">
        <v>4080</v>
      </c>
      <c r="E2483" t="s">
        <v>4081</v>
      </c>
      <c r="F2483" t="s">
        <v>4079</v>
      </c>
    </row>
    <row r="2484" spans="1:6" x14ac:dyDescent="0.25">
      <c r="A2484">
        <v>2822</v>
      </c>
      <c r="B2484" t="s">
        <v>4072</v>
      </c>
      <c r="C2484">
        <v>41</v>
      </c>
      <c r="D2484" t="s">
        <v>4090</v>
      </c>
      <c r="E2484" t="s">
        <v>4091</v>
      </c>
      <c r="F2484" t="s">
        <v>4079</v>
      </c>
    </row>
    <row r="2485" spans="1:6" x14ac:dyDescent="0.25">
      <c r="A2485">
        <v>2822</v>
      </c>
      <c r="B2485" t="s">
        <v>4072</v>
      </c>
      <c r="C2485">
        <v>44</v>
      </c>
      <c r="D2485" t="s">
        <v>4077</v>
      </c>
      <c r="E2485" t="s">
        <v>4078</v>
      </c>
      <c r="F2485" t="s">
        <v>4079</v>
      </c>
    </row>
    <row r="2486" spans="1:6" x14ac:dyDescent="0.25">
      <c r="A2486">
        <v>2822</v>
      </c>
      <c r="B2486" t="s">
        <v>4072</v>
      </c>
      <c r="C2486">
        <v>46</v>
      </c>
      <c r="D2486" t="s">
        <v>4099</v>
      </c>
      <c r="E2486" t="s">
        <v>4100</v>
      </c>
      <c r="F2486" t="s">
        <v>4079</v>
      </c>
    </row>
    <row r="2487" spans="1:6" x14ac:dyDescent="0.25">
      <c r="A2487">
        <v>2824</v>
      </c>
      <c r="B2487" t="s">
        <v>4072</v>
      </c>
      <c r="C2487">
        <v>6</v>
      </c>
      <c r="D2487" t="s">
        <v>4073</v>
      </c>
      <c r="E2487" t="s">
        <v>4074</v>
      </c>
      <c r="F2487" t="s">
        <v>4075</v>
      </c>
    </row>
    <row r="2488" spans="1:6" x14ac:dyDescent="0.25">
      <c r="A2488">
        <v>2824</v>
      </c>
      <c r="B2488" t="s">
        <v>4072</v>
      </c>
      <c r="C2488">
        <v>19</v>
      </c>
      <c r="D2488" t="s">
        <v>4073</v>
      </c>
      <c r="E2488" t="s">
        <v>4074</v>
      </c>
      <c r="F2488" t="s">
        <v>4076</v>
      </c>
    </row>
    <row r="2489" spans="1:6" x14ac:dyDescent="0.25">
      <c r="A2489">
        <v>2824</v>
      </c>
      <c r="B2489" t="s">
        <v>4072</v>
      </c>
      <c r="C2489">
        <v>39</v>
      </c>
      <c r="D2489" t="s">
        <v>4073</v>
      </c>
      <c r="E2489" t="s">
        <v>4074</v>
      </c>
      <c r="F2489" t="s">
        <v>4079</v>
      </c>
    </row>
    <row r="2490" spans="1:6" x14ac:dyDescent="0.25">
      <c r="A2490">
        <v>2826</v>
      </c>
      <c r="B2490" t="s">
        <v>4072</v>
      </c>
      <c r="C2490">
        <v>19</v>
      </c>
      <c r="D2490" t="s">
        <v>4073</v>
      </c>
      <c r="E2490" t="s">
        <v>4074</v>
      </c>
      <c r="F2490" t="s">
        <v>4076</v>
      </c>
    </row>
    <row r="2491" spans="1:6" x14ac:dyDescent="0.25">
      <c r="A2491">
        <v>2826</v>
      </c>
      <c r="B2491" t="s">
        <v>4072</v>
      </c>
      <c r="C2491">
        <v>39</v>
      </c>
      <c r="D2491" t="s">
        <v>4073</v>
      </c>
      <c r="E2491" t="s">
        <v>4074</v>
      </c>
      <c r="F2491" t="s">
        <v>4079</v>
      </c>
    </row>
    <row r="2492" spans="1:6" x14ac:dyDescent="0.25">
      <c r="A2492">
        <v>2828</v>
      </c>
      <c r="B2492" t="s">
        <v>4072</v>
      </c>
      <c r="C2492">
        <v>4</v>
      </c>
      <c r="D2492" t="s">
        <v>4077</v>
      </c>
      <c r="E2492" t="s">
        <v>4078</v>
      </c>
      <c r="F2492" t="s">
        <v>4075</v>
      </c>
    </row>
    <row r="2493" spans="1:6" x14ac:dyDescent="0.25">
      <c r="A2493">
        <v>2828</v>
      </c>
      <c r="B2493" t="s">
        <v>4072</v>
      </c>
      <c r="C2493">
        <v>16</v>
      </c>
      <c r="D2493" t="s">
        <v>4077</v>
      </c>
      <c r="E2493" t="s">
        <v>4078</v>
      </c>
      <c r="F2493" t="s">
        <v>4076</v>
      </c>
    </row>
    <row r="2494" spans="1:6" x14ac:dyDescent="0.25">
      <c r="A2494">
        <v>2828</v>
      </c>
      <c r="B2494" t="s">
        <v>4072</v>
      </c>
      <c r="C2494">
        <v>44</v>
      </c>
      <c r="D2494" t="s">
        <v>4077</v>
      </c>
      <c r="E2494" t="s">
        <v>4078</v>
      </c>
      <c r="F2494" t="s">
        <v>4079</v>
      </c>
    </row>
    <row r="2495" spans="1:6" x14ac:dyDescent="0.25">
      <c r="A2495">
        <v>2831</v>
      </c>
      <c r="B2495" t="s">
        <v>4072</v>
      </c>
      <c r="C2495">
        <v>6</v>
      </c>
      <c r="D2495" t="s">
        <v>4073</v>
      </c>
      <c r="E2495" t="s">
        <v>4074</v>
      </c>
      <c r="F2495" t="s">
        <v>4075</v>
      </c>
    </row>
    <row r="2496" spans="1:6" x14ac:dyDescent="0.25">
      <c r="A2496">
        <v>2831</v>
      </c>
      <c r="B2496" t="s">
        <v>4072</v>
      </c>
      <c r="C2496">
        <v>19</v>
      </c>
      <c r="D2496" t="s">
        <v>4073</v>
      </c>
      <c r="E2496" t="s">
        <v>4074</v>
      </c>
      <c r="F2496" t="s">
        <v>4076</v>
      </c>
    </row>
    <row r="2497" spans="1:6" x14ac:dyDescent="0.25">
      <c r="A2497">
        <v>2832</v>
      </c>
      <c r="B2497" t="s">
        <v>4072</v>
      </c>
      <c r="C2497">
        <v>5</v>
      </c>
      <c r="D2497" t="s">
        <v>4087</v>
      </c>
      <c r="E2497" t="s">
        <v>4088</v>
      </c>
      <c r="F2497" t="s">
        <v>4075</v>
      </c>
    </row>
    <row r="2498" spans="1:6" x14ac:dyDescent="0.25">
      <c r="A2498">
        <v>2832</v>
      </c>
      <c r="B2498" t="s">
        <v>4072</v>
      </c>
      <c r="C2498">
        <v>15</v>
      </c>
      <c r="D2498" t="s">
        <v>4080</v>
      </c>
      <c r="E2498" t="s">
        <v>4081</v>
      </c>
      <c r="F2498" t="s">
        <v>4076</v>
      </c>
    </row>
    <row r="2499" spans="1:6" x14ac:dyDescent="0.25">
      <c r="A2499">
        <v>2833</v>
      </c>
      <c r="B2499" t="s">
        <v>4072</v>
      </c>
      <c r="C2499">
        <v>3</v>
      </c>
      <c r="D2499" t="s">
        <v>4085</v>
      </c>
      <c r="E2499" t="s">
        <v>4086</v>
      </c>
      <c r="F2499" t="s">
        <v>4075</v>
      </c>
    </row>
    <row r="2500" spans="1:6" x14ac:dyDescent="0.25">
      <c r="A2500">
        <v>2833</v>
      </c>
      <c r="B2500" t="s">
        <v>4072</v>
      </c>
      <c r="C2500">
        <v>5</v>
      </c>
      <c r="D2500" t="s">
        <v>4087</v>
      </c>
      <c r="E2500" t="s">
        <v>4088</v>
      </c>
      <c r="F2500" t="s">
        <v>4075</v>
      </c>
    </row>
    <row r="2501" spans="1:6" x14ac:dyDescent="0.25">
      <c r="A2501">
        <v>2833</v>
      </c>
      <c r="B2501" t="s">
        <v>4072</v>
      </c>
      <c r="C2501">
        <v>15</v>
      </c>
      <c r="D2501" t="s">
        <v>4080</v>
      </c>
      <c r="E2501" t="s">
        <v>4081</v>
      </c>
      <c r="F2501" t="s">
        <v>4076</v>
      </c>
    </row>
    <row r="2502" spans="1:6" x14ac:dyDescent="0.25">
      <c r="A2502">
        <v>2834</v>
      </c>
      <c r="B2502" t="s">
        <v>4072</v>
      </c>
      <c r="C2502">
        <v>5</v>
      </c>
      <c r="D2502" t="s">
        <v>4087</v>
      </c>
      <c r="E2502" t="s">
        <v>4088</v>
      </c>
      <c r="F2502" t="s">
        <v>4075</v>
      </c>
    </row>
    <row r="2503" spans="1:6" x14ac:dyDescent="0.25">
      <c r="A2503">
        <v>2834</v>
      </c>
      <c r="B2503" t="s">
        <v>4072</v>
      </c>
      <c r="C2503">
        <v>15</v>
      </c>
      <c r="D2503" t="s">
        <v>4080</v>
      </c>
      <c r="E2503" t="s">
        <v>4081</v>
      </c>
      <c r="F2503" t="s">
        <v>4076</v>
      </c>
    </row>
    <row r="2504" spans="1:6" x14ac:dyDescent="0.25">
      <c r="A2504">
        <v>2835</v>
      </c>
      <c r="B2504" t="s">
        <v>4072</v>
      </c>
      <c r="C2504">
        <v>3</v>
      </c>
      <c r="D2504" t="s">
        <v>4085</v>
      </c>
      <c r="E2504" t="s">
        <v>4086</v>
      </c>
      <c r="F2504" t="s">
        <v>4075</v>
      </c>
    </row>
    <row r="2505" spans="1:6" x14ac:dyDescent="0.25">
      <c r="A2505">
        <v>2835</v>
      </c>
      <c r="B2505" t="s">
        <v>4072</v>
      </c>
      <c r="C2505">
        <v>15</v>
      </c>
      <c r="D2505" t="s">
        <v>4080</v>
      </c>
      <c r="E2505" t="s">
        <v>4081</v>
      </c>
      <c r="F2505" t="s">
        <v>4076</v>
      </c>
    </row>
    <row r="2506" spans="1:6" x14ac:dyDescent="0.25">
      <c r="A2506">
        <v>2836</v>
      </c>
      <c r="B2506" t="s">
        <v>4072</v>
      </c>
      <c r="C2506">
        <v>3</v>
      </c>
      <c r="D2506" t="s">
        <v>4085</v>
      </c>
      <c r="E2506" t="s">
        <v>4086</v>
      </c>
      <c r="F2506" t="s">
        <v>4075</v>
      </c>
    </row>
    <row r="2507" spans="1:6" x14ac:dyDescent="0.25">
      <c r="A2507">
        <v>2836</v>
      </c>
      <c r="B2507" t="s">
        <v>4072</v>
      </c>
      <c r="C2507">
        <v>15</v>
      </c>
      <c r="D2507" t="s">
        <v>4080</v>
      </c>
      <c r="E2507" t="s">
        <v>4081</v>
      </c>
      <c r="F2507" t="s">
        <v>4076</v>
      </c>
    </row>
    <row r="2508" spans="1:6" x14ac:dyDescent="0.25">
      <c r="A2508">
        <v>2837</v>
      </c>
      <c r="B2508" t="s">
        <v>4072</v>
      </c>
      <c r="C2508">
        <v>4</v>
      </c>
      <c r="D2508" t="s">
        <v>4077</v>
      </c>
      <c r="E2508" t="s">
        <v>4078</v>
      </c>
      <c r="F2508" t="s">
        <v>4075</v>
      </c>
    </row>
    <row r="2509" spans="1:6" x14ac:dyDescent="0.25">
      <c r="A2509">
        <v>2837</v>
      </c>
      <c r="B2509" t="s">
        <v>4072</v>
      </c>
      <c r="C2509">
        <v>16</v>
      </c>
      <c r="D2509" t="s">
        <v>4077</v>
      </c>
      <c r="E2509" t="s">
        <v>4078</v>
      </c>
      <c r="F2509" t="s">
        <v>4076</v>
      </c>
    </row>
    <row r="2510" spans="1:6" x14ac:dyDescent="0.25">
      <c r="A2510">
        <v>2838</v>
      </c>
      <c r="B2510" t="s">
        <v>4072</v>
      </c>
      <c r="C2510">
        <v>4</v>
      </c>
      <c r="D2510" t="s">
        <v>4077</v>
      </c>
      <c r="E2510" t="s">
        <v>4078</v>
      </c>
      <c r="F2510" t="s">
        <v>4075</v>
      </c>
    </row>
    <row r="2511" spans="1:6" x14ac:dyDescent="0.25">
      <c r="A2511">
        <v>2838</v>
      </c>
      <c r="B2511" t="s">
        <v>4072</v>
      </c>
      <c r="C2511">
        <v>16</v>
      </c>
      <c r="D2511" t="s">
        <v>4077</v>
      </c>
      <c r="E2511" t="s">
        <v>4078</v>
      </c>
      <c r="F2511" t="s">
        <v>4076</v>
      </c>
    </row>
    <row r="2512" spans="1:6" x14ac:dyDescent="0.25">
      <c r="A2512">
        <v>2844</v>
      </c>
      <c r="B2512" t="s">
        <v>4092</v>
      </c>
      <c r="C2512">
        <v>24</v>
      </c>
      <c r="D2512" t="s">
        <v>2760</v>
      </c>
      <c r="E2512" t="s">
        <v>4108</v>
      </c>
      <c r="F2512" t="s">
        <v>4075</v>
      </c>
    </row>
    <row r="2513" spans="1:6" x14ac:dyDescent="0.25">
      <c r="A2513">
        <v>2844</v>
      </c>
      <c r="B2513" t="s">
        <v>4092</v>
      </c>
      <c r="C2513">
        <v>29</v>
      </c>
      <c r="D2513" t="s">
        <v>2760</v>
      </c>
      <c r="E2513" t="s">
        <v>4108</v>
      </c>
      <c r="F2513" t="s">
        <v>4076</v>
      </c>
    </row>
    <row r="2514" spans="1:6" x14ac:dyDescent="0.25">
      <c r="A2514">
        <v>2856</v>
      </c>
      <c r="B2514" t="s">
        <v>4072</v>
      </c>
      <c r="C2514">
        <v>13</v>
      </c>
      <c r="D2514" t="s">
        <v>4097</v>
      </c>
      <c r="E2514" t="s">
        <v>4098</v>
      </c>
      <c r="F2514" t="s">
        <v>4076</v>
      </c>
    </row>
    <row r="2515" spans="1:6" x14ac:dyDescent="0.25">
      <c r="A2515">
        <v>2856</v>
      </c>
      <c r="B2515" t="s">
        <v>4072</v>
      </c>
      <c r="C2515">
        <v>46</v>
      </c>
      <c r="D2515" t="s">
        <v>4099</v>
      </c>
      <c r="E2515" t="s">
        <v>4100</v>
      </c>
      <c r="F2515" t="s">
        <v>4079</v>
      </c>
    </row>
    <row r="2516" spans="1:6" x14ac:dyDescent="0.25">
      <c r="A2516">
        <v>2857</v>
      </c>
      <c r="B2516" t="s">
        <v>4072</v>
      </c>
      <c r="C2516">
        <v>13</v>
      </c>
      <c r="D2516" t="s">
        <v>4097</v>
      </c>
      <c r="E2516" t="s">
        <v>4098</v>
      </c>
      <c r="F2516" t="s">
        <v>4076</v>
      </c>
    </row>
    <row r="2517" spans="1:6" x14ac:dyDescent="0.25">
      <c r="A2517">
        <v>2857</v>
      </c>
      <c r="B2517" t="s">
        <v>4072</v>
      </c>
      <c r="C2517">
        <v>46</v>
      </c>
      <c r="D2517" t="s">
        <v>4099</v>
      </c>
      <c r="E2517" t="s">
        <v>4100</v>
      </c>
      <c r="F2517" t="s">
        <v>4079</v>
      </c>
    </row>
    <row r="2518" spans="1:6" x14ac:dyDescent="0.25">
      <c r="A2518">
        <v>2858</v>
      </c>
      <c r="B2518" t="s">
        <v>4072</v>
      </c>
      <c r="C2518">
        <v>13</v>
      </c>
      <c r="D2518" t="s">
        <v>4097</v>
      </c>
      <c r="E2518" t="s">
        <v>4098</v>
      </c>
      <c r="F2518" t="s">
        <v>4076</v>
      </c>
    </row>
    <row r="2519" spans="1:6" x14ac:dyDescent="0.25">
      <c r="A2519">
        <v>2858</v>
      </c>
      <c r="B2519" t="s">
        <v>4072</v>
      </c>
      <c r="C2519">
        <v>14</v>
      </c>
      <c r="D2519" t="s">
        <v>4090</v>
      </c>
      <c r="E2519" t="s">
        <v>4091</v>
      </c>
      <c r="F2519" t="s">
        <v>4076</v>
      </c>
    </row>
    <row r="2520" spans="1:6" x14ac:dyDescent="0.25">
      <c r="A2520">
        <v>2858</v>
      </c>
      <c r="B2520" t="s">
        <v>4072</v>
      </c>
      <c r="C2520">
        <v>41</v>
      </c>
      <c r="D2520" t="s">
        <v>4090</v>
      </c>
      <c r="E2520" t="s">
        <v>4091</v>
      </c>
      <c r="F2520" t="s">
        <v>4079</v>
      </c>
    </row>
    <row r="2521" spans="1:6" x14ac:dyDescent="0.25">
      <c r="A2521">
        <v>2858</v>
      </c>
      <c r="B2521" t="s">
        <v>4072</v>
      </c>
      <c r="C2521">
        <v>46</v>
      </c>
      <c r="D2521" t="s">
        <v>4099</v>
      </c>
      <c r="E2521" t="s">
        <v>4100</v>
      </c>
      <c r="F2521" t="s">
        <v>4079</v>
      </c>
    </row>
    <row r="2522" spans="1:6" x14ac:dyDescent="0.25">
      <c r="A2522">
        <v>2859</v>
      </c>
      <c r="B2522" t="s">
        <v>4072</v>
      </c>
      <c r="C2522">
        <v>5</v>
      </c>
      <c r="D2522" t="s">
        <v>4087</v>
      </c>
      <c r="E2522" t="s">
        <v>4088</v>
      </c>
      <c r="F2522" t="s">
        <v>4075</v>
      </c>
    </row>
    <row r="2523" spans="1:6" x14ac:dyDescent="0.25">
      <c r="A2523">
        <v>2869</v>
      </c>
      <c r="B2523" t="s">
        <v>4072</v>
      </c>
      <c r="C2523">
        <v>2</v>
      </c>
      <c r="D2523" t="s">
        <v>4082</v>
      </c>
      <c r="E2523" t="s">
        <v>4083</v>
      </c>
      <c r="F2523" t="s">
        <v>4075</v>
      </c>
    </row>
    <row r="2524" spans="1:6" x14ac:dyDescent="0.25">
      <c r="A2524">
        <v>2869</v>
      </c>
      <c r="B2524" t="s">
        <v>4072</v>
      </c>
      <c r="C2524">
        <v>17</v>
      </c>
      <c r="D2524" t="s">
        <v>4082</v>
      </c>
      <c r="E2524" t="s">
        <v>4084</v>
      </c>
      <c r="F2524" t="s">
        <v>4076</v>
      </c>
    </row>
    <row r="2525" spans="1:6" x14ac:dyDescent="0.25">
      <c r="A2525">
        <v>2869</v>
      </c>
      <c r="B2525" t="s">
        <v>4072</v>
      </c>
      <c r="C2525">
        <v>42</v>
      </c>
      <c r="D2525" t="s">
        <v>4082</v>
      </c>
      <c r="E2525" t="s">
        <v>4083</v>
      </c>
      <c r="F2525" t="s">
        <v>4079</v>
      </c>
    </row>
    <row r="2526" spans="1:6" x14ac:dyDescent="0.25">
      <c r="A2526">
        <v>2870</v>
      </c>
      <c r="B2526" t="s">
        <v>4072</v>
      </c>
      <c r="C2526">
        <v>5</v>
      </c>
      <c r="D2526" t="s">
        <v>4087</v>
      </c>
      <c r="E2526" t="s">
        <v>4088</v>
      </c>
      <c r="F2526" t="s">
        <v>4075</v>
      </c>
    </row>
    <row r="2527" spans="1:6" x14ac:dyDescent="0.25">
      <c r="A2527">
        <v>2870</v>
      </c>
      <c r="B2527" t="s">
        <v>4072</v>
      </c>
      <c r="C2527">
        <v>15</v>
      </c>
      <c r="D2527" t="s">
        <v>4080</v>
      </c>
      <c r="E2527" t="s">
        <v>4081</v>
      </c>
      <c r="F2527" t="s">
        <v>4076</v>
      </c>
    </row>
    <row r="2528" spans="1:6" x14ac:dyDescent="0.25">
      <c r="A2528">
        <v>2870</v>
      </c>
      <c r="B2528" t="s">
        <v>4072</v>
      </c>
      <c r="C2528">
        <v>40</v>
      </c>
      <c r="D2528" t="s">
        <v>4080</v>
      </c>
      <c r="E2528" t="s">
        <v>4081</v>
      </c>
      <c r="F2528" t="s">
        <v>4079</v>
      </c>
    </row>
    <row r="2529" spans="1:6" x14ac:dyDescent="0.25">
      <c r="A2529">
        <v>2871</v>
      </c>
      <c r="B2529" t="s">
        <v>4072</v>
      </c>
      <c r="C2529">
        <v>3</v>
      </c>
      <c r="D2529" t="s">
        <v>4085</v>
      </c>
      <c r="E2529" t="s">
        <v>4086</v>
      </c>
      <c r="F2529" t="s">
        <v>4075</v>
      </c>
    </row>
    <row r="2530" spans="1:6" x14ac:dyDescent="0.25">
      <c r="A2530">
        <v>2871</v>
      </c>
      <c r="B2530" t="s">
        <v>4072</v>
      </c>
      <c r="C2530">
        <v>5</v>
      </c>
      <c r="D2530" t="s">
        <v>4087</v>
      </c>
      <c r="E2530" t="s">
        <v>4088</v>
      </c>
      <c r="F2530" t="s">
        <v>4075</v>
      </c>
    </row>
    <row r="2531" spans="1:6" x14ac:dyDescent="0.25">
      <c r="A2531">
        <v>2871</v>
      </c>
      <c r="B2531" t="s">
        <v>4072</v>
      </c>
      <c r="C2531">
        <v>15</v>
      </c>
      <c r="D2531" t="s">
        <v>4080</v>
      </c>
      <c r="E2531" t="s">
        <v>4081</v>
      </c>
      <c r="F2531" t="s">
        <v>4076</v>
      </c>
    </row>
    <row r="2532" spans="1:6" x14ac:dyDescent="0.25">
      <c r="A2532">
        <v>2871</v>
      </c>
      <c r="B2532" t="s">
        <v>4072</v>
      </c>
      <c r="C2532">
        <v>40</v>
      </c>
      <c r="D2532" t="s">
        <v>4080</v>
      </c>
      <c r="E2532" t="s">
        <v>4081</v>
      </c>
      <c r="F2532" t="s">
        <v>4079</v>
      </c>
    </row>
    <row r="2533" spans="1:6" x14ac:dyDescent="0.25">
      <c r="A2533">
        <v>2872</v>
      </c>
      <c r="B2533" t="s">
        <v>4072</v>
      </c>
      <c r="C2533">
        <v>5</v>
      </c>
      <c r="D2533" t="s">
        <v>4087</v>
      </c>
      <c r="E2533" t="s">
        <v>4088</v>
      </c>
      <c r="F2533" t="s">
        <v>4075</v>
      </c>
    </row>
    <row r="2534" spans="1:6" x14ac:dyDescent="0.25">
      <c r="A2534">
        <v>2872</v>
      </c>
      <c r="B2534" t="s">
        <v>4072</v>
      </c>
      <c r="C2534">
        <v>15</v>
      </c>
      <c r="D2534" t="s">
        <v>4080</v>
      </c>
      <c r="E2534" t="s">
        <v>4081</v>
      </c>
      <c r="F2534" t="s">
        <v>4076</v>
      </c>
    </row>
    <row r="2535" spans="1:6" x14ac:dyDescent="0.25">
      <c r="A2535">
        <v>2872</v>
      </c>
      <c r="B2535" t="s">
        <v>4072</v>
      </c>
      <c r="C2535">
        <v>40</v>
      </c>
      <c r="D2535" t="s">
        <v>4080</v>
      </c>
      <c r="E2535" t="s">
        <v>4081</v>
      </c>
      <c r="F2535" t="s">
        <v>4079</v>
      </c>
    </row>
    <row r="2536" spans="1:6" x14ac:dyDescent="0.25">
      <c r="A2536">
        <v>2873</v>
      </c>
      <c r="B2536" t="s">
        <v>4072</v>
      </c>
      <c r="C2536">
        <v>3</v>
      </c>
      <c r="D2536" t="s">
        <v>4085</v>
      </c>
      <c r="E2536" t="s">
        <v>4086</v>
      </c>
      <c r="F2536" t="s">
        <v>4075</v>
      </c>
    </row>
    <row r="2537" spans="1:6" x14ac:dyDescent="0.25">
      <c r="A2537">
        <v>2873</v>
      </c>
      <c r="B2537" t="s">
        <v>4072</v>
      </c>
      <c r="C2537">
        <v>15</v>
      </c>
      <c r="D2537" t="s">
        <v>4080</v>
      </c>
      <c r="E2537" t="s">
        <v>4081</v>
      </c>
      <c r="F2537" t="s">
        <v>4076</v>
      </c>
    </row>
    <row r="2538" spans="1:6" x14ac:dyDescent="0.25">
      <c r="A2538">
        <v>2873</v>
      </c>
      <c r="B2538" t="s">
        <v>4072</v>
      </c>
      <c r="C2538">
        <v>40</v>
      </c>
      <c r="D2538" t="s">
        <v>4080</v>
      </c>
      <c r="E2538" t="s">
        <v>4081</v>
      </c>
      <c r="F2538" t="s">
        <v>4079</v>
      </c>
    </row>
    <row r="2539" spans="1:6" x14ac:dyDescent="0.25">
      <c r="A2539">
        <v>2874</v>
      </c>
      <c r="B2539" t="s">
        <v>4072</v>
      </c>
      <c r="C2539">
        <v>2</v>
      </c>
      <c r="D2539" t="s">
        <v>4082</v>
      </c>
      <c r="E2539" t="s">
        <v>4083</v>
      </c>
      <c r="F2539" t="s">
        <v>4075</v>
      </c>
    </row>
    <row r="2540" spans="1:6" x14ac:dyDescent="0.25">
      <c r="A2540">
        <v>2874</v>
      </c>
      <c r="B2540" t="s">
        <v>4072</v>
      </c>
      <c r="C2540">
        <v>17</v>
      </c>
      <c r="D2540" t="s">
        <v>4082</v>
      </c>
      <c r="E2540" t="s">
        <v>4084</v>
      </c>
      <c r="F2540" t="s">
        <v>4076</v>
      </c>
    </row>
    <row r="2541" spans="1:6" x14ac:dyDescent="0.25">
      <c r="A2541">
        <v>2874</v>
      </c>
      <c r="B2541" t="s">
        <v>4072</v>
      </c>
      <c r="C2541">
        <v>42</v>
      </c>
      <c r="D2541" t="s">
        <v>4082</v>
      </c>
      <c r="E2541" t="s">
        <v>4083</v>
      </c>
      <c r="F2541" t="s">
        <v>4079</v>
      </c>
    </row>
    <row r="2542" spans="1:6" x14ac:dyDescent="0.25">
      <c r="A2542">
        <v>2875</v>
      </c>
      <c r="B2542" t="s">
        <v>4072</v>
      </c>
      <c r="C2542">
        <v>1</v>
      </c>
      <c r="D2542" t="s">
        <v>2761</v>
      </c>
      <c r="E2542" t="s">
        <v>4089</v>
      </c>
      <c r="F2542" t="s">
        <v>4075</v>
      </c>
    </row>
    <row r="2543" spans="1:6" x14ac:dyDescent="0.25">
      <c r="A2543">
        <v>2875</v>
      </c>
      <c r="B2543" t="s">
        <v>4072</v>
      </c>
      <c r="C2543">
        <v>38</v>
      </c>
      <c r="D2543" t="s">
        <v>2761</v>
      </c>
      <c r="E2543" t="s">
        <v>4089</v>
      </c>
      <c r="F2543" t="s">
        <v>4076</v>
      </c>
    </row>
    <row r="2544" spans="1:6" x14ac:dyDescent="0.25">
      <c r="A2544">
        <v>2875</v>
      </c>
      <c r="B2544" t="s">
        <v>4072</v>
      </c>
      <c r="C2544">
        <v>43</v>
      </c>
      <c r="D2544" t="s">
        <v>2761</v>
      </c>
      <c r="E2544" t="s">
        <v>4089</v>
      </c>
      <c r="F2544" t="s">
        <v>4079</v>
      </c>
    </row>
    <row r="2545" spans="1:6" x14ac:dyDescent="0.25">
      <c r="A2545">
        <v>2876</v>
      </c>
      <c r="B2545" t="s">
        <v>4072</v>
      </c>
      <c r="C2545">
        <v>1</v>
      </c>
      <c r="D2545" t="s">
        <v>2761</v>
      </c>
      <c r="E2545" t="s">
        <v>4089</v>
      </c>
      <c r="F2545" t="s">
        <v>4075</v>
      </c>
    </row>
    <row r="2546" spans="1:6" x14ac:dyDescent="0.25">
      <c r="A2546">
        <v>2876</v>
      </c>
      <c r="B2546" t="s">
        <v>4072</v>
      </c>
      <c r="C2546">
        <v>38</v>
      </c>
      <c r="D2546" t="s">
        <v>2761</v>
      </c>
      <c r="E2546" t="s">
        <v>4089</v>
      </c>
      <c r="F2546" t="s">
        <v>4076</v>
      </c>
    </row>
    <row r="2547" spans="1:6" x14ac:dyDescent="0.25">
      <c r="A2547">
        <v>2876</v>
      </c>
      <c r="B2547" t="s">
        <v>4072</v>
      </c>
      <c r="C2547">
        <v>43</v>
      </c>
      <c r="D2547" t="s">
        <v>2761</v>
      </c>
      <c r="E2547" t="s">
        <v>4089</v>
      </c>
      <c r="F2547" t="s">
        <v>4079</v>
      </c>
    </row>
    <row r="2548" spans="1:6" x14ac:dyDescent="0.25">
      <c r="A2548">
        <v>2877</v>
      </c>
      <c r="B2548" t="s">
        <v>4072</v>
      </c>
      <c r="C2548">
        <v>5</v>
      </c>
      <c r="D2548" t="s">
        <v>4087</v>
      </c>
      <c r="E2548" t="s">
        <v>4088</v>
      </c>
      <c r="F2548" t="s">
        <v>4075</v>
      </c>
    </row>
    <row r="2549" spans="1:6" x14ac:dyDescent="0.25">
      <c r="A2549">
        <v>2877</v>
      </c>
      <c r="B2549" t="s">
        <v>4072</v>
      </c>
      <c r="C2549">
        <v>15</v>
      </c>
      <c r="D2549" t="s">
        <v>4080</v>
      </c>
      <c r="E2549" t="s">
        <v>4081</v>
      </c>
      <c r="F2549" t="s">
        <v>4076</v>
      </c>
    </row>
    <row r="2550" spans="1:6" x14ac:dyDescent="0.25">
      <c r="A2550">
        <v>2877</v>
      </c>
      <c r="B2550" t="s">
        <v>4072</v>
      </c>
      <c r="C2550">
        <v>40</v>
      </c>
      <c r="D2550" t="s">
        <v>4080</v>
      </c>
      <c r="E2550" t="s">
        <v>4081</v>
      </c>
      <c r="F2550" t="s">
        <v>4079</v>
      </c>
    </row>
    <row r="2551" spans="1:6" x14ac:dyDescent="0.25">
      <c r="A2551">
        <v>2879</v>
      </c>
      <c r="B2551" t="s">
        <v>4072</v>
      </c>
      <c r="C2551">
        <v>4</v>
      </c>
      <c r="D2551" t="s">
        <v>4077</v>
      </c>
      <c r="E2551" t="s">
        <v>4078</v>
      </c>
      <c r="F2551" t="s">
        <v>4075</v>
      </c>
    </row>
    <row r="2552" spans="1:6" x14ac:dyDescent="0.25">
      <c r="A2552">
        <v>2879</v>
      </c>
      <c r="B2552" t="s">
        <v>4072</v>
      </c>
      <c r="C2552">
        <v>16</v>
      </c>
      <c r="D2552" t="s">
        <v>4077</v>
      </c>
      <c r="E2552" t="s">
        <v>4078</v>
      </c>
      <c r="F2552" t="s">
        <v>4076</v>
      </c>
    </row>
    <row r="2553" spans="1:6" x14ac:dyDescent="0.25">
      <c r="A2553">
        <v>2880</v>
      </c>
      <c r="B2553" t="s">
        <v>4072</v>
      </c>
      <c r="C2553">
        <v>3</v>
      </c>
      <c r="D2553" t="s">
        <v>4085</v>
      </c>
      <c r="E2553" t="s">
        <v>4086</v>
      </c>
      <c r="F2553" t="s">
        <v>4075</v>
      </c>
    </row>
    <row r="2554" spans="1:6" x14ac:dyDescent="0.25">
      <c r="A2554">
        <v>2880</v>
      </c>
      <c r="B2554" t="s">
        <v>4072</v>
      </c>
      <c r="C2554">
        <v>15</v>
      </c>
      <c r="D2554" t="s">
        <v>4080</v>
      </c>
      <c r="E2554" t="s">
        <v>4081</v>
      </c>
      <c r="F2554" t="s">
        <v>4076</v>
      </c>
    </row>
    <row r="2555" spans="1:6" x14ac:dyDescent="0.25">
      <c r="A2555">
        <v>2881</v>
      </c>
      <c r="B2555" t="s">
        <v>4072</v>
      </c>
      <c r="C2555">
        <v>2</v>
      </c>
      <c r="D2555" t="s">
        <v>4082</v>
      </c>
      <c r="E2555" t="s">
        <v>4083</v>
      </c>
      <c r="F2555" t="s">
        <v>4075</v>
      </c>
    </row>
    <row r="2556" spans="1:6" x14ac:dyDescent="0.25">
      <c r="A2556">
        <v>2881</v>
      </c>
      <c r="B2556" t="s">
        <v>4072</v>
      </c>
      <c r="C2556">
        <v>17</v>
      </c>
      <c r="D2556" t="s">
        <v>4082</v>
      </c>
      <c r="E2556" t="s">
        <v>4084</v>
      </c>
      <c r="F2556" t="s">
        <v>4076</v>
      </c>
    </row>
    <row r="2557" spans="1:6" x14ac:dyDescent="0.25">
      <c r="A2557">
        <v>2882</v>
      </c>
      <c r="B2557" t="s">
        <v>4072</v>
      </c>
      <c r="C2557">
        <v>6</v>
      </c>
      <c r="D2557" t="s">
        <v>4073</v>
      </c>
      <c r="E2557" t="s">
        <v>4074</v>
      </c>
      <c r="F2557" t="s">
        <v>4075</v>
      </c>
    </row>
    <row r="2558" spans="1:6" x14ac:dyDescent="0.25">
      <c r="A2558">
        <v>2882</v>
      </c>
      <c r="B2558" t="s">
        <v>4072</v>
      </c>
      <c r="C2558">
        <v>19</v>
      </c>
      <c r="D2558" t="s">
        <v>4073</v>
      </c>
      <c r="E2558" t="s">
        <v>4074</v>
      </c>
      <c r="F2558" t="s">
        <v>4076</v>
      </c>
    </row>
    <row r="2559" spans="1:6" x14ac:dyDescent="0.25">
      <c r="A2559">
        <v>2883</v>
      </c>
      <c r="B2559" t="s">
        <v>4072</v>
      </c>
      <c r="C2559">
        <v>10</v>
      </c>
      <c r="D2559" t="s">
        <v>4095</v>
      </c>
      <c r="E2559" t="s">
        <v>4096</v>
      </c>
      <c r="F2559" t="s">
        <v>4075</v>
      </c>
    </row>
    <row r="2560" spans="1:6" x14ac:dyDescent="0.25">
      <c r="A2560">
        <v>2884</v>
      </c>
      <c r="B2560" t="s">
        <v>4072</v>
      </c>
      <c r="C2560">
        <v>6</v>
      </c>
      <c r="D2560" t="s">
        <v>4073</v>
      </c>
      <c r="E2560" t="s">
        <v>4074</v>
      </c>
      <c r="F2560" t="s">
        <v>4075</v>
      </c>
    </row>
    <row r="2561" spans="1:6" x14ac:dyDescent="0.25">
      <c r="A2561">
        <v>2884</v>
      </c>
      <c r="B2561" t="s">
        <v>4072</v>
      </c>
      <c r="C2561">
        <v>19</v>
      </c>
      <c r="D2561" t="s">
        <v>4073</v>
      </c>
      <c r="E2561" t="s">
        <v>4074</v>
      </c>
      <c r="F2561" t="s">
        <v>4076</v>
      </c>
    </row>
    <row r="2562" spans="1:6" x14ac:dyDescent="0.25">
      <c r="A2562">
        <v>2885</v>
      </c>
      <c r="B2562" t="s">
        <v>4072</v>
      </c>
      <c r="C2562">
        <v>10</v>
      </c>
      <c r="D2562" t="s">
        <v>4095</v>
      </c>
      <c r="E2562" t="s">
        <v>4096</v>
      </c>
      <c r="F2562" t="s">
        <v>4075</v>
      </c>
    </row>
    <row r="2563" spans="1:6" x14ac:dyDescent="0.25">
      <c r="A2563">
        <v>2886</v>
      </c>
      <c r="B2563" t="s">
        <v>4092</v>
      </c>
      <c r="C2563">
        <v>23</v>
      </c>
      <c r="D2563" t="s">
        <v>2757</v>
      </c>
      <c r="E2563" t="s">
        <v>4093</v>
      </c>
      <c r="F2563" t="s">
        <v>4075</v>
      </c>
    </row>
    <row r="2564" spans="1:6" x14ac:dyDescent="0.25">
      <c r="A2564">
        <v>2886</v>
      </c>
      <c r="B2564" t="s">
        <v>4092</v>
      </c>
      <c r="C2564">
        <v>28</v>
      </c>
      <c r="D2564" t="s">
        <v>2757</v>
      </c>
      <c r="E2564" t="s">
        <v>4093</v>
      </c>
      <c r="F2564" t="s">
        <v>4076</v>
      </c>
    </row>
    <row r="2565" spans="1:6" x14ac:dyDescent="0.25">
      <c r="A2565">
        <v>2888</v>
      </c>
      <c r="B2565" t="s">
        <v>4092</v>
      </c>
      <c r="C2565">
        <v>23</v>
      </c>
      <c r="D2565" t="s">
        <v>2757</v>
      </c>
      <c r="E2565" t="s">
        <v>4093</v>
      </c>
      <c r="F2565" t="s">
        <v>4075</v>
      </c>
    </row>
    <row r="2566" spans="1:6" x14ac:dyDescent="0.25">
      <c r="A2566">
        <v>2888</v>
      </c>
      <c r="B2566" t="s">
        <v>4092</v>
      </c>
      <c r="C2566">
        <v>28</v>
      </c>
      <c r="D2566" t="s">
        <v>2757</v>
      </c>
      <c r="E2566" t="s">
        <v>4093</v>
      </c>
      <c r="F2566" t="s">
        <v>4076</v>
      </c>
    </row>
    <row r="2567" spans="1:6" x14ac:dyDescent="0.25">
      <c r="A2567">
        <v>2892</v>
      </c>
      <c r="B2567" t="s">
        <v>4092</v>
      </c>
      <c r="C2567">
        <v>32</v>
      </c>
      <c r="D2567" t="s">
        <v>4106</v>
      </c>
      <c r="E2567" t="s">
        <v>4107</v>
      </c>
      <c r="F2567" t="s">
        <v>4076</v>
      </c>
    </row>
    <row r="2568" spans="1:6" x14ac:dyDescent="0.25">
      <c r="A2568">
        <v>2893</v>
      </c>
      <c r="B2568" t="s">
        <v>4092</v>
      </c>
      <c r="C2568">
        <v>33</v>
      </c>
      <c r="D2568" t="s">
        <v>4109</v>
      </c>
      <c r="E2568" t="s">
        <v>4110</v>
      </c>
      <c r="F2568" t="s">
        <v>4075</v>
      </c>
    </row>
    <row r="2569" spans="1:6" x14ac:dyDescent="0.25">
      <c r="A2569">
        <v>2893</v>
      </c>
      <c r="B2569" t="s">
        <v>4092</v>
      </c>
      <c r="C2569">
        <v>34</v>
      </c>
      <c r="D2569" t="s">
        <v>4109</v>
      </c>
      <c r="E2569" t="s">
        <v>4110</v>
      </c>
      <c r="F2569" t="s">
        <v>4076</v>
      </c>
    </row>
    <row r="2570" spans="1:6" x14ac:dyDescent="0.25">
      <c r="A2570">
        <v>2894</v>
      </c>
      <c r="B2570" t="s">
        <v>4092</v>
      </c>
      <c r="C2570">
        <v>33</v>
      </c>
      <c r="D2570" t="s">
        <v>4109</v>
      </c>
      <c r="E2570" t="s">
        <v>4110</v>
      </c>
      <c r="F2570" t="s">
        <v>4075</v>
      </c>
    </row>
    <row r="2571" spans="1:6" x14ac:dyDescent="0.25">
      <c r="A2571">
        <v>2894</v>
      </c>
      <c r="B2571" t="s">
        <v>4092</v>
      </c>
      <c r="C2571">
        <v>34</v>
      </c>
      <c r="D2571" t="s">
        <v>4109</v>
      </c>
      <c r="E2571" t="s">
        <v>4110</v>
      </c>
      <c r="F2571" t="s">
        <v>4076</v>
      </c>
    </row>
    <row r="2572" spans="1:6" x14ac:dyDescent="0.25">
      <c r="A2572">
        <v>2897</v>
      </c>
      <c r="B2572" t="s">
        <v>4072</v>
      </c>
      <c r="C2572">
        <v>6</v>
      </c>
      <c r="D2572" t="s">
        <v>4073</v>
      </c>
      <c r="E2572" t="s">
        <v>4074</v>
      </c>
      <c r="F2572" t="s">
        <v>4075</v>
      </c>
    </row>
    <row r="2573" spans="1:6" x14ac:dyDescent="0.25">
      <c r="A2573">
        <v>2897</v>
      </c>
      <c r="B2573" t="s">
        <v>4072</v>
      </c>
      <c r="C2573">
        <v>19</v>
      </c>
      <c r="D2573" t="s">
        <v>4073</v>
      </c>
      <c r="E2573" t="s">
        <v>4074</v>
      </c>
      <c r="F2573" t="s">
        <v>4076</v>
      </c>
    </row>
    <row r="2574" spans="1:6" x14ac:dyDescent="0.25">
      <c r="A2574">
        <v>2897</v>
      </c>
      <c r="B2574" t="s">
        <v>4072</v>
      </c>
      <c r="C2574">
        <v>39</v>
      </c>
      <c r="D2574" t="s">
        <v>4073</v>
      </c>
      <c r="E2574" t="s">
        <v>4074</v>
      </c>
      <c r="F2574" t="s">
        <v>4079</v>
      </c>
    </row>
    <row r="2575" spans="1:6" x14ac:dyDescent="0.25">
      <c r="A2575">
        <v>2898</v>
      </c>
      <c r="B2575" t="s">
        <v>4092</v>
      </c>
      <c r="C2575">
        <v>33</v>
      </c>
      <c r="D2575" t="s">
        <v>4109</v>
      </c>
      <c r="E2575" t="s">
        <v>4110</v>
      </c>
      <c r="F2575" t="s">
        <v>4075</v>
      </c>
    </row>
    <row r="2576" spans="1:6" x14ac:dyDescent="0.25">
      <c r="A2576">
        <v>2898</v>
      </c>
      <c r="B2576" t="s">
        <v>4092</v>
      </c>
      <c r="C2576">
        <v>34</v>
      </c>
      <c r="D2576" t="s">
        <v>4109</v>
      </c>
      <c r="E2576" t="s">
        <v>4110</v>
      </c>
      <c r="F2576" t="s">
        <v>4076</v>
      </c>
    </row>
    <row r="2577" spans="1:6" x14ac:dyDescent="0.25">
      <c r="A2577">
        <v>2898</v>
      </c>
      <c r="B2577" t="s">
        <v>4092</v>
      </c>
      <c r="C2577">
        <v>51</v>
      </c>
      <c r="D2577" t="s">
        <v>4109</v>
      </c>
      <c r="E2577" t="s">
        <v>4111</v>
      </c>
      <c r="F2577" t="s">
        <v>4079</v>
      </c>
    </row>
    <row r="2578" spans="1:6" x14ac:dyDescent="0.25">
      <c r="A2578">
        <v>2899</v>
      </c>
      <c r="B2578" t="s">
        <v>4092</v>
      </c>
      <c r="C2578">
        <v>33</v>
      </c>
      <c r="D2578" t="s">
        <v>4109</v>
      </c>
      <c r="E2578" t="s">
        <v>4110</v>
      </c>
      <c r="F2578" t="s">
        <v>4075</v>
      </c>
    </row>
    <row r="2579" spans="1:6" x14ac:dyDescent="0.25">
      <c r="A2579">
        <v>2899</v>
      </c>
      <c r="B2579" t="s">
        <v>4092</v>
      </c>
      <c r="C2579">
        <v>34</v>
      </c>
      <c r="D2579" t="s">
        <v>4109</v>
      </c>
      <c r="E2579" t="s">
        <v>4110</v>
      </c>
      <c r="F2579" t="s">
        <v>4076</v>
      </c>
    </row>
    <row r="2580" spans="1:6" x14ac:dyDescent="0.25">
      <c r="A2580">
        <v>2899</v>
      </c>
      <c r="B2580" t="s">
        <v>4092</v>
      </c>
      <c r="C2580">
        <v>51</v>
      </c>
      <c r="D2580" t="s">
        <v>4109</v>
      </c>
      <c r="E2580" t="s">
        <v>4111</v>
      </c>
      <c r="F2580" t="s">
        <v>4079</v>
      </c>
    </row>
    <row r="2581" spans="1:6" x14ac:dyDescent="0.25">
      <c r="A2581">
        <v>2900</v>
      </c>
      <c r="B2581" t="s">
        <v>4092</v>
      </c>
      <c r="C2581">
        <v>23</v>
      </c>
      <c r="D2581" t="s">
        <v>2757</v>
      </c>
      <c r="E2581" t="s">
        <v>4093</v>
      </c>
      <c r="F2581" t="s">
        <v>4075</v>
      </c>
    </row>
    <row r="2582" spans="1:6" x14ac:dyDescent="0.25">
      <c r="A2582">
        <v>2900</v>
      </c>
      <c r="B2582" t="s">
        <v>4092</v>
      </c>
      <c r="C2582">
        <v>28</v>
      </c>
      <c r="D2582" t="s">
        <v>2757</v>
      </c>
      <c r="E2582" t="s">
        <v>4093</v>
      </c>
      <c r="F2582" t="s">
        <v>4076</v>
      </c>
    </row>
    <row r="2583" spans="1:6" x14ac:dyDescent="0.25">
      <c r="A2583">
        <v>2900</v>
      </c>
      <c r="B2583" t="s">
        <v>4092</v>
      </c>
      <c r="C2583">
        <v>48</v>
      </c>
      <c r="D2583" t="s">
        <v>2757</v>
      </c>
      <c r="E2583" t="s">
        <v>4093</v>
      </c>
      <c r="F2583" t="s">
        <v>4079</v>
      </c>
    </row>
    <row r="2584" spans="1:6" x14ac:dyDescent="0.25">
      <c r="A2584">
        <v>2901</v>
      </c>
      <c r="B2584" t="s">
        <v>4072</v>
      </c>
      <c r="C2584">
        <v>3</v>
      </c>
      <c r="D2584" t="s">
        <v>4085</v>
      </c>
      <c r="E2584" t="s">
        <v>4086</v>
      </c>
      <c r="F2584" t="s">
        <v>4075</v>
      </c>
    </row>
    <row r="2585" spans="1:6" x14ac:dyDescent="0.25">
      <c r="A2585">
        <v>2901</v>
      </c>
      <c r="B2585" t="s">
        <v>4072</v>
      </c>
      <c r="C2585">
        <v>5</v>
      </c>
      <c r="D2585" t="s">
        <v>4087</v>
      </c>
      <c r="E2585" t="s">
        <v>4088</v>
      </c>
      <c r="F2585" t="s">
        <v>4075</v>
      </c>
    </row>
    <row r="2586" spans="1:6" x14ac:dyDescent="0.25">
      <c r="A2586">
        <v>2901</v>
      </c>
      <c r="B2586" t="s">
        <v>4072</v>
      </c>
      <c r="C2586">
        <v>15</v>
      </c>
      <c r="D2586" t="s">
        <v>4080</v>
      </c>
      <c r="E2586" t="s">
        <v>4081</v>
      </c>
      <c r="F2586" t="s">
        <v>4076</v>
      </c>
    </row>
    <row r="2587" spans="1:6" x14ac:dyDescent="0.25">
      <c r="A2587">
        <v>2913</v>
      </c>
      <c r="B2587" t="s">
        <v>4072</v>
      </c>
      <c r="C2587">
        <v>6</v>
      </c>
      <c r="D2587" t="s">
        <v>4073</v>
      </c>
      <c r="E2587" t="s">
        <v>4074</v>
      </c>
      <c r="F2587" t="s">
        <v>4075</v>
      </c>
    </row>
    <row r="2588" spans="1:6" x14ac:dyDescent="0.25">
      <c r="A2588">
        <v>2913</v>
      </c>
      <c r="B2588" t="s">
        <v>4072</v>
      </c>
      <c r="C2588">
        <v>19</v>
      </c>
      <c r="D2588" t="s">
        <v>4073</v>
      </c>
      <c r="E2588" t="s">
        <v>4074</v>
      </c>
      <c r="F2588" t="s">
        <v>4076</v>
      </c>
    </row>
    <row r="2589" spans="1:6" x14ac:dyDescent="0.25">
      <c r="A2589">
        <v>2913</v>
      </c>
      <c r="B2589" t="s">
        <v>4072</v>
      </c>
      <c r="C2589">
        <v>39</v>
      </c>
      <c r="D2589" t="s">
        <v>4073</v>
      </c>
      <c r="E2589" t="s">
        <v>4074</v>
      </c>
      <c r="F2589" t="s">
        <v>4079</v>
      </c>
    </row>
    <row r="2590" spans="1:6" x14ac:dyDescent="0.25">
      <c r="A2590">
        <v>2914</v>
      </c>
      <c r="B2590" t="s">
        <v>4072</v>
      </c>
      <c r="C2590">
        <v>10</v>
      </c>
      <c r="D2590" t="s">
        <v>4095</v>
      </c>
      <c r="E2590" t="s">
        <v>4096</v>
      </c>
      <c r="F2590" t="s">
        <v>4075</v>
      </c>
    </row>
    <row r="2591" spans="1:6" x14ac:dyDescent="0.25">
      <c r="A2591">
        <v>2914</v>
      </c>
      <c r="B2591" t="s">
        <v>4072</v>
      </c>
      <c r="C2591">
        <v>13</v>
      </c>
      <c r="D2591" t="s">
        <v>4097</v>
      </c>
      <c r="E2591" t="s">
        <v>4098</v>
      </c>
      <c r="F2591" t="s">
        <v>4076</v>
      </c>
    </row>
    <row r="2592" spans="1:6" x14ac:dyDescent="0.25">
      <c r="A2592">
        <v>2914</v>
      </c>
      <c r="B2592" t="s">
        <v>4072</v>
      </c>
      <c r="C2592">
        <v>46</v>
      </c>
      <c r="D2592" t="s">
        <v>4099</v>
      </c>
      <c r="E2592" t="s">
        <v>4100</v>
      </c>
      <c r="F2592" t="s">
        <v>4079</v>
      </c>
    </row>
    <row r="2593" spans="1:6" x14ac:dyDescent="0.25">
      <c r="A2593">
        <v>2915</v>
      </c>
      <c r="B2593" t="s">
        <v>4092</v>
      </c>
      <c r="C2593">
        <v>24</v>
      </c>
      <c r="D2593" t="s">
        <v>2760</v>
      </c>
      <c r="E2593" t="s">
        <v>4108</v>
      </c>
      <c r="F2593" t="s">
        <v>4075</v>
      </c>
    </row>
    <row r="2594" spans="1:6" x14ac:dyDescent="0.25">
      <c r="A2594">
        <v>2915</v>
      </c>
      <c r="B2594" t="s">
        <v>4092</v>
      </c>
      <c r="C2594">
        <v>29</v>
      </c>
      <c r="D2594" t="s">
        <v>2760</v>
      </c>
      <c r="E2594" t="s">
        <v>4108</v>
      </c>
      <c r="F2594" t="s">
        <v>4076</v>
      </c>
    </row>
    <row r="2595" spans="1:6" x14ac:dyDescent="0.25">
      <c r="A2595">
        <v>2915</v>
      </c>
      <c r="B2595" t="s">
        <v>4092</v>
      </c>
      <c r="C2595">
        <v>49</v>
      </c>
      <c r="D2595" t="s">
        <v>2760</v>
      </c>
      <c r="E2595" t="s">
        <v>4108</v>
      </c>
      <c r="F2595" t="s">
        <v>4079</v>
      </c>
    </row>
    <row r="2596" spans="1:6" x14ac:dyDescent="0.25">
      <c r="A2596">
        <v>2917</v>
      </c>
      <c r="B2596" t="s">
        <v>4072</v>
      </c>
      <c r="C2596">
        <v>6</v>
      </c>
      <c r="D2596" t="s">
        <v>4073</v>
      </c>
      <c r="E2596" t="s">
        <v>4074</v>
      </c>
      <c r="F2596" t="s">
        <v>4075</v>
      </c>
    </row>
    <row r="2597" spans="1:6" x14ac:dyDescent="0.25">
      <c r="A2597">
        <v>2917</v>
      </c>
      <c r="B2597" t="s">
        <v>4072</v>
      </c>
      <c r="C2597">
        <v>19</v>
      </c>
      <c r="D2597" t="s">
        <v>4073</v>
      </c>
      <c r="E2597" t="s">
        <v>4074</v>
      </c>
      <c r="F2597" t="s">
        <v>4076</v>
      </c>
    </row>
    <row r="2598" spans="1:6" x14ac:dyDescent="0.25">
      <c r="A2598">
        <v>2917</v>
      </c>
      <c r="B2598" t="s">
        <v>4072</v>
      </c>
      <c r="C2598">
        <v>39</v>
      </c>
      <c r="D2598" t="s">
        <v>4073</v>
      </c>
      <c r="E2598" t="s">
        <v>4074</v>
      </c>
      <c r="F2598" t="s">
        <v>4079</v>
      </c>
    </row>
    <row r="2599" spans="1:6" x14ac:dyDescent="0.25">
      <c r="A2599">
        <v>2918</v>
      </c>
      <c r="B2599" t="s">
        <v>4072</v>
      </c>
      <c r="C2599">
        <v>4</v>
      </c>
      <c r="D2599" t="s">
        <v>4077</v>
      </c>
      <c r="E2599" t="s">
        <v>4078</v>
      </c>
      <c r="F2599" t="s">
        <v>4075</v>
      </c>
    </row>
    <row r="2600" spans="1:6" x14ac:dyDescent="0.25">
      <c r="A2600">
        <v>2918</v>
      </c>
      <c r="B2600" t="s">
        <v>4072</v>
      </c>
      <c r="C2600">
        <v>16</v>
      </c>
      <c r="D2600" t="s">
        <v>4077</v>
      </c>
      <c r="E2600" t="s">
        <v>4078</v>
      </c>
      <c r="F2600" t="s">
        <v>4076</v>
      </c>
    </row>
    <row r="2601" spans="1:6" x14ac:dyDescent="0.25">
      <c r="A2601">
        <v>2918</v>
      </c>
      <c r="B2601" t="s">
        <v>4072</v>
      </c>
      <c r="C2601">
        <v>44</v>
      </c>
      <c r="D2601" t="s">
        <v>4077</v>
      </c>
      <c r="E2601" t="s">
        <v>4078</v>
      </c>
      <c r="F2601" t="s">
        <v>4079</v>
      </c>
    </row>
    <row r="2602" spans="1:6" x14ac:dyDescent="0.25">
      <c r="A2602">
        <v>2922</v>
      </c>
      <c r="B2602" t="s">
        <v>4072</v>
      </c>
      <c r="C2602">
        <v>19</v>
      </c>
      <c r="D2602" t="s">
        <v>4073</v>
      </c>
      <c r="E2602" t="s">
        <v>4074</v>
      </c>
      <c r="F2602" t="s">
        <v>4076</v>
      </c>
    </row>
    <row r="2603" spans="1:6" x14ac:dyDescent="0.25">
      <c r="A2603">
        <v>2922</v>
      </c>
      <c r="B2603" t="s">
        <v>4072</v>
      </c>
      <c r="C2603">
        <v>39</v>
      </c>
      <c r="D2603" t="s">
        <v>4073</v>
      </c>
      <c r="E2603" t="s">
        <v>4074</v>
      </c>
      <c r="F2603" t="s">
        <v>4079</v>
      </c>
    </row>
    <row r="2604" spans="1:6" x14ac:dyDescent="0.25">
      <c r="A2604">
        <v>2923</v>
      </c>
      <c r="B2604" t="s">
        <v>4072</v>
      </c>
      <c r="C2604">
        <v>6</v>
      </c>
      <c r="D2604" t="s">
        <v>4073</v>
      </c>
      <c r="E2604" t="s">
        <v>4074</v>
      </c>
      <c r="F2604" t="s">
        <v>4075</v>
      </c>
    </row>
    <row r="2605" spans="1:6" x14ac:dyDescent="0.25">
      <c r="A2605">
        <v>2923</v>
      </c>
      <c r="B2605" t="s">
        <v>4072</v>
      </c>
      <c r="C2605">
        <v>19</v>
      </c>
      <c r="D2605" t="s">
        <v>4073</v>
      </c>
      <c r="E2605" t="s">
        <v>4074</v>
      </c>
      <c r="F2605" t="s">
        <v>4076</v>
      </c>
    </row>
    <row r="2606" spans="1:6" x14ac:dyDescent="0.25">
      <c r="A2606">
        <v>2923</v>
      </c>
      <c r="B2606" t="s">
        <v>4072</v>
      </c>
      <c r="C2606">
        <v>39</v>
      </c>
      <c r="D2606" t="s">
        <v>4073</v>
      </c>
      <c r="E2606" t="s">
        <v>4074</v>
      </c>
      <c r="F2606" t="s">
        <v>4079</v>
      </c>
    </row>
    <row r="2607" spans="1:6" x14ac:dyDescent="0.25">
      <c r="A2607">
        <v>2924</v>
      </c>
      <c r="B2607" t="s">
        <v>4072</v>
      </c>
      <c r="C2607">
        <v>4</v>
      </c>
      <c r="D2607" t="s">
        <v>4077</v>
      </c>
      <c r="E2607" t="s">
        <v>4078</v>
      </c>
      <c r="F2607" t="s">
        <v>4075</v>
      </c>
    </row>
    <row r="2608" spans="1:6" x14ac:dyDescent="0.25">
      <c r="A2608">
        <v>2924</v>
      </c>
      <c r="B2608" t="s">
        <v>4072</v>
      </c>
      <c r="C2608">
        <v>16</v>
      </c>
      <c r="D2608" t="s">
        <v>4077</v>
      </c>
      <c r="E2608" t="s">
        <v>4078</v>
      </c>
      <c r="F2608" t="s">
        <v>4076</v>
      </c>
    </row>
    <row r="2609" spans="1:6" x14ac:dyDescent="0.25">
      <c r="A2609">
        <v>2924</v>
      </c>
      <c r="B2609" t="s">
        <v>4072</v>
      </c>
      <c r="C2609">
        <v>44</v>
      </c>
      <c r="D2609" t="s">
        <v>4077</v>
      </c>
      <c r="E2609" t="s">
        <v>4078</v>
      </c>
      <c r="F2609" t="s">
        <v>4079</v>
      </c>
    </row>
    <row r="2610" spans="1:6" x14ac:dyDescent="0.25">
      <c r="A2610">
        <v>2925</v>
      </c>
      <c r="B2610" t="s">
        <v>4072</v>
      </c>
      <c r="C2610">
        <v>4</v>
      </c>
      <c r="D2610" t="s">
        <v>4077</v>
      </c>
      <c r="E2610" t="s">
        <v>4078</v>
      </c>
      <c r="F2610" t="s">
        <v>4075</v>
      </c>
    </row>
    <row r="2611" spans="1:6" x14ac:dyDescent="0.25">
      <c r="A2611">
        <v>2925</v>
      </c>
      <c r="B2611" t="s">
        <v>4072</v>
      </c>
      <c r="C2611">
        <v>16</v>
      </c>
      <c r="D2611" t="s">
        <v>4077</v>
      </c>
      <c r="E2611" t="s">
        <v>4078</v>
      </c>
      <c r="F2611" t="s">
        <v>4076</v>
      </c>
    </row>
    <row r="2612" spans="1:6" x14ac:dyDescent="0.25">
      <c r="A2612">
        <v>2925</v>
      </c>
      <c r="B2612" t="s">
        <v>4072</v>
      </c>
      <c r="C2612">
        <v>44</v>
      </c>
      <c r="D2612" t="s">
        <v>4077</v>
      </c>
      <c r="E2612" t="s">
        <v>4078</v>
      </c>
      <c r="F2612" t="s">
        <v>4079</v>
      </c>
    </row>
    <row r="2613" spans="1:6" x14ac:dyDescent="0.25">
      <c r="A2613">
        <v>2926</v>
      </c>
      <c r="B2613" t="s">
        <v>4072</v>
      </c>
      <c r="C2613">
        <v>3</v>
      </c>
      <c r="D2613" t="s">
        <v>4085</v>
      </c>
      <c r="E2613" t="s">
        <v>4086</v>
      </c>
      <c r="F2613" t="s">
        <v>4075</v>
      </c>
    </row>
    <row r="2614" spans="1:6" x14ac:dyDescent="0.25">
      <c r="A2614">
        <v>2926</v>
      </c>
      <c r="B2614" t="s">
        <v>4072</v>
      </c>
      <c r="C2614">
        <v>5</v>
      </c>
      <c r="D2614" t="s">
        <v>4087</v>
      </c>
      <c r="E2614" t="s">
        <v>4088</v>
      </c>
      <c r="F2614" t="s">
        <v>4075</v>
      </c>
    </row>
    <row r="2615" spans="1:6" x14ac:dyDescent="0.25">
      <c r="A2615">
        <v>2926</v>
      </c>
      <c r="B2615" t="s">
        <v>4072</v>
      </c>
      <c r="C2615">
        <v>15</v>
      </c>
      <c r="D2615" t="s">
        <v>4080</v>
      </c>
      <c r="E2615" t="s">
        <v>4081</v>
      </c>
      <c r="F2615" t="s">
        <v>4076</v>
      </c>
    </row>
    <row r="2616" spans="1:6" x14ac:dyDescent="0.25">
      <c r="A2616">
        <v>2926</v>
      </c>
      <c r="B2616" t="s">
        <v>4072</v>
      </c>
      <c r="C2616">
        <v>40</v>
      </c>
      <c r="D2616" t="s">
        <v>4080</v>
      </c>
      <c r="E2616" t="s">
        <v>4081</v>
      </c>
      <c r="F2616" t="s">
        <v>4079</v>
      </c>
    </row>
    <row r="2617" spans="1:6" x14ac:dyDescent="0.25">
      <c r="A2617">
        <v>2927</v>
      </c>
      <c r="B2617" t="s">
        <v>4072</v>
      </c>
      <c r="C2617">
        <v>5</v>
      </c>
      <c r="D2617" t="s">
        <v>4087</v>
      </c>
      <c r="E2617" t="s">
        <v>4088</v>
      </c>
      <c r="F2617" t="s">
        <v>4075</v>
      </c>
    </row>
    <row r="2618" spans="1:6" x14ac:dyDescent="0.25">
      <c r="A2618">
        <v>2927</v>
      </c>
      <c r="B2618" t="s">
        <v>4072</v>
      </c>
      <c r="C2618">
        <v>15</v>
      </c>
      <c r="D2618" t="s">
        <v>4080</v>
      </c>
      <c r="E2618" t="s">
        <v>4081</v>
      </c>
      <c r="F2618" t="s">
        <v>4076</v>
      </c>
    </row>
    <row r="2619" spans="1:6" x14ac:dyDescent="0.25">
      <c r="A2619">
        <v>2927</v>
      </c>
      <c r="B2619" t="s">
        <v>4072</v>
      </c>
      <c r="C2619">
        <v>40</v>
      </c>
      <c r="D2619" t="s">
        <v>4080</v>
      </c>
      <c r="E2619" t="s">
        <v>4081</v>
      </c>
      <c r="F2619" t="s">
        <v>4079</v>
      </c>
    </row>
    <row r="2620" spans="1:6" x14ac:dyDescent="0.25">
      <c r="A2620">
        <v>2928</v>
      </c>
      <c r="B2620" t="s">
        <v>4072</v>
      </c>
      <c r="C2620">
        <v>5</v>
      </c>
      <c r="D2620" t="s">
        <v>4087</v>
      </c>
      <c r="E2620" t="s">
        <v>4088</v>
      </c>
      <c r="F2620" t="s">
        <v>4075</v>
      </c>
    </row>
    <row r="2621" spans="1:6" x14ac:dyDescent="0.25">
      <c r="A2621">
        <v>2928</v>
      </c>
      <c r="B2621" t="s">
        <v>4072</v>
      </c>
      <c r="C2621">
        <v>15</v>
      </c>
      <c r="D2621" t="s">
        <v>4080</v>
      </c>
      <c r="E2621" t="s">
        <v>4081</v>
      </c>
      <c r="F2621" t="s">
        <v>4076</v>
      </c>
    </row>
    <row r="2622" spans="1:6" x14ac:dyDescent="0.25">
      <c r="A2622">
        <v>2928</v>
      </c>
      <c r="B2622" t="s">
        <v>4072</v>
      </c>
      <c r="C2622">
        <v>40</v>
      </c>
      <c r="D2622" t="s">
        <v>4080</v>
      </c>
      <c r="E2622" t="s">
        <v>4081</v>
      </c>
      <c r="F2622" t="s">
        <v>4079</v>
      </c>
    </row>
    <row r="2623" spans="1:6" x14ac:dyDescent="0.25">
      <c r="A2623">
        <v>2930</v>
      </c>
      <c r="B2623" t="s">
        <v>4092</v>
      </c>
      <c r="C2623">
        <v>29</v>
      </c>
      <c r="D2623" t="s">
        <v>2760</v>
      </c>
      <c r="E2623" t="s">
        <v>4108</v>
      </c>
      <c r="F2623" t="s">
        <v>4076</v>
      </c>
    </row>
    <row r="2624" spans="1:6" x14ac:dyDescent="0.25">
      <c r="A2624">
        <v>2930</v>
      </c>
      <c r="B2624" t="s">
        <v>4092</v>
      </c>
      <c r="C2624">
        <v>49</v>
      </c>
      <c r="D2624" t="s">
        <v>2760</v>
      </c>
      <c r="E2624" t="s">
        <v>4108</v>
      </c>
      <c r="F2624" t="s">
        <v>4079</v>
      </c>
    </row>
    <row r="2625" spans="1:6" x14ac:dyDescent="0.25">
      <c r="A2625">
        <v>2931</v>
      </c>
      <c r="B2625" t="s">
        <v>4112</v>
      </c>
      <c r="C2625">
        <v>53</v>
      </c>
      <c r="D2625" t="s">
        <v>2759</v>
      </c>
      <c r="E2625" t="s">
        <v>4117</v>
      </c>
      <c r="F2625" t="s">
        <v>4079</v>
      </c>
    </row>
    <row r="2626" spans="1:6" x14ac:dyDescent="0.25">
      <c r="A2626">
        <v>2932</v>
      </c>
      <c r="B2626" t="s">
        <v>4112</v>
      </c>
      <c r="C2626">
        <v>55</v>
      </c>
      <c r="D2626" t="s">
        <v>4113</v>
      </c>
      <c r="E2626" t="s">
        <v>4114</v>
      </c>
      <c r="F2626" t="s">
        <v>4079</v>
      </c>
    </row>
    <row r="2627" spans="1:6" x14ac:dyDescent="0.25">
      <c r="A2627">
        <v>2933</v>
      </c>
      <c r="B2627" t="s">
        <v>4072</v>
      </c>
      <c r="C2627">
        <v>2</v>
      </c>
      <c r="D2627" t="s">
        <v>4082</v>
      </c>
      <c r="E2627" t="s">
        <v>4083</v>
      </c>
      <c r="F2627" t="s">
        <v>4075</v>
      </c>
    </row>
    <row r="2628" spans="1:6" x14ac:dyDescent="0.25">
      <c r="A2628">
        <v>2933</v>
      </c>
      <c r="B2628" t="s">
        <v>4072</v>
      </c>
      <c r="C2628">
        <v>17</v>
      </c>
      <c r="D2628" t="s">
        <v>4082</v>
      </c>
      <c r="E2628" t="s">
        <v>4084</v>
      </c>
      <c r="F2628" t="s">
        <v>4076</v>
      </c>
    </row>
    <row r="2629" spans="1:6" x14ac:dyDescent="0.25">
      <c r="A2629">
        <v>2935</v>
      </c>
      <c r="B2629" t="s">
        <v>4072</v>
      </c>
      <c r="C2629">
        <v>6</v>
      </c>
      <c r="D2629" t="s">
        <v>4073</v>
      </c>
      <c r="E2629" t="s">
        <v>4074</v>
      </c>
      <c r="F2629" t="s">
        <v>4075</v>
      </c>
    </row>
    <row r="2630" spans="1:6" x14ac:dyDescent="0.25">
      <c r="A2630">
        <v>2935</v>
      </c>
      <c r="B2630" t="s">
        <v>4072</v>
      </c>
      <c r="C2630">
        <v>19</v>
      </c>
      <c r="D2630" t="s">
        <v>4073</v>
      </c>
      <c r="E2630" t="s">
        <v>4074</v>
      </c>
      <c r="F2630" t="s">
        <v>4076</v>
      </c>
    </row>
    <row r="2631" spans="1:6" x14ac:dyDescent="0.25">
      <c r="A2631">
        <v>2935</v>
      </c>
      <c r="B2631" t="s">
        <v>4072</v>
      </c>
      <c r="C2631">
        <v>39</v>
      </c>
      <c r="D2631" t="s">
        <v>4073</v>
      </c>
      <c r="E2631" t="s">
        <v>4074</v>
      </c>
      <c r="F2631" t="s">
        <v>4079</v>
      </c>
    </row>
    <row r="2632" spans="1:6" x14ac:dyDescent="0.25">
      <c r="A2632">
        <v>2936</v>
      </c>
      <c r="B2632" t="s">
        <v>4072</v>
      </c>
      <c r="C2632">
        <v>6</v>
      </c>
      <c r="D2632" t="s">
        <v>4073</v>
      </c>
      <c r="E2632" t="s">
        <v>4074</v>
      </c>
      <c r="F2632" t="s">
        <v>4075</v>
      </c>
    </row>
    <row r="2633" spans="1:6" x14ac:dyDescent="0.25">
      <c r="A2633">
        <v>2936</v>
      </c>
      <c r="B2633" t="s">
        <v>4072</v>
      </c>
      <c r="C2633">
        <v>19</v>
      </c>
      <c r="D2633" t="s">
        <v>4073</v>
      </c>
      <c r="E2633" t="s">
        <v>4074</v>
      </c>
      <c r="F2633" t="s">
        <v>4076</v>
      </c>
    </row>
    <row r="2634" spans="1:6" x14ac:dyDescent="0.25">
      <c r="A2634">
        <v>2936</v>
      </c>
      <c r="B2634" t="s">
        <v>4072</v>
      </c>
      <c r="C2634">
        <v>39</v>
      </c>
      <c r="D2634" t="s">
        <v>4073</v>
      </c>
      <c r="E2634" t="s">
        <v>4074</v>
      </c>
      <c r="F2634" t="s">
        <v>4079</v>
      </c>
    </row>
    <row r="2635" spans="1:6" x14ac:dyDescent="0.25">
      <c r="A2635">
        <v>2937</v>
      </c>
      <c r="B2635" t="s">
        <v>4072</v>
      </c>
      <c r="C2635">
        <v>5</v>
      </c>
      <c r="D2635" t="s">
        <v>4087</v>
      </c>
      <c r="E2635" t="s">
        <v>4088</v>
      </c>
      <c r="F2635" t="s">
        <v>4075</v>
      </c>
    </row>
    <row r="2636" spans="1:6" x14ac:dyDescent="0.25">
      <c r="A2636">
        <v>2937</v>
      </c>
      <c r="B2636" t="s">
        <v>4072</v>
      </c>
      <c r="C2636">
        <v>15</v>
      </c>
      <c r="D2636" t="s">
        <v>4080</v>
      </c>
      <c r="E2636" t="s">
        <v>4081</v>
      </c>
      <c r="F2636" t="s">
        <v>4076</v>
      </c>
    </row>
    <row r="2637" spans="1:6" x14ac:dyDescent="0.25">
      <c r="A2637">
        <v>2937</v>
      </c>
      <c r="B2637" t="s">
        <v>4072</v>
      </c>
      <c r="C2637">
        <v>40</v>
      </c>
      <c r="D2637" t="s">
        <v>4080</v>
      </c>
      <c r="E2637" t="s">
        <v>4081</v>
      </c>
      <c r="F2637" t="s">
        <v>4079</v>
      </c>
    </row>
    <row r="2638" spans="1:6" x14ac:dyDescent="0.25">
      <c r="A2638">
        <v>2938</v>
      </c>
      <c r="B2638" t="s">
        <v>4072</v>
      </c>
      <c r="C2638">
        <v>5</v>
      </c>
      <c r="D2638" t="s">
        <v>4087</v>
      </c>
      <c r="E2638" t="s">
        <v>4088</v>
      </c>
      <c r="F2638" t="s">
        <v>4075</v>
      </c>
    </row>
    <row r="2639" spans="1:6" x14ac:dyDescent="0.25">
      <c r="A2639">
        <v>2938</v>
      </c>
      <c r="B2639" t="s">
        <v>4072</v>
      </c>
      <c r="C2639">
        <v>15</v>
      </c>
      <c r="D2639" t="s">
        <v>4080</v>
      </c>
      <c r="E2639" t="s">
        <v>4081</v>
      </c>
      <c r="F2639" t="s">
        <v>4076</v>
      </c>
    </row>
    <row r="2640" spans="1:6" x14ac:dyDescent="0.25">
      <c r="A2640">
        <v>2938</v>
      </c>
      <c r="B2640" t="s">
        <v>4072</v>
      </c>
      <c r="C2640">
        <v>40</v>
      </c>
      <c r="D2640" t="s">
        <v>4080</v>
      </c>
      <c r="E2640" t="s">
        <v>4081</v>
      </c>
      <c r="F2640" t="s">
        <v>4079</v>
      </c>
    </row>
    <row r="2641" spans="1:6" x14ac:dyDescent="0.25">
      <c r="A2641">
        <v>2939</v>
      </c>
      <c r="B2641" t="s">
        <v>4072</v>
      </c>
      <c r="C2641">
        <v>3</v>
      </c>
      <c r="D2641" t="s">
        <v>4085</v>
      </c>
      <c r="E2641" t="s">
        <v>4086</v>
      </c>
      <c r="F2641" t="s">
        <v>4075</v>
      </c>
    </row>
    <row r="2642" spans="1:6" x14ac:dyDescent="0.25">
      <c r="A2642">
        <v>2939</v>
      </c>
      <c r="B2642" t="s">
        <v>4072</v>
      </c>
      <c r="C2642">
        <v>15</v>
      </c>
      <c r="D2642" t="s">
        <v>4080</v>
      </c>
      <c r="E2642" t="s">
        <v>4081</v>
      </c>
      <c r="F2642" t="s">
        <v>4076</v>
      </c>
    </row>
    <row r="2643" spans="1:6" x14ac:dyDescent="0.25">
      <c r="A2643">
        <v>2939</v>
      </c>
      <c r="B2643" t="s">
        <v>4072</v>
      </c>
      <c r="C2643">
        <v>40</v>
      </c>
      <c r="D2643" t="s">
        <v>4080</v>
      </c>
      <c r="E2643" t="s">
        <v>4081</v>
      </c>
      <c r="F2643" t="s">
        <v>4079</v>
      </c>
    </row>
    <row r="2644" spans="1:6" x14ac:dyDescent="0.25">
      <c r="A2644">
        <v>2940</v>
      </c>
      <c r="B2644" t="s">
        <v>4072</v>
      </c>
      <c r="C2644">
        <v>5</v>
      </c>
      <c r="D2644" t="s">
        <v>4087</v>
      </c>
      <c r="E2644" t="s">
        <v>4088</v>
      </c>
      <c r="F2644" t="s">
        <v>4075</v>
      </c>
    </row>
    <row r="2645" spans="1:6" x14ac:dyDescent="0.25">
      <c r="A2645">
        <v>2940</v>
      </c>
      <c r="B2645" t="s">
        <v>4072</v>
      </c>
      <c r="C2645">
        <v>15</v>
      </c>
      <c r="D2645" t="s">
        <v>4080</v>
      </c>
      <c r="E2645" t="s">
        <v>4081</v>
      </c>
      <c r="F2645" t="s">
        <v>4076</v>
      </c>
    </row>
    <row r="2646" spans="1:6" x14ac:dyDescent="0.25">
      <c r="A2646">
        <v>2940</v>
      </c>
      <c r="B2646" t="s">
        <v>4072</v>
      </c>
      <c r="C2646">
        <v>40</v>
      </c>
      <c r="D2646" t="s">
        <v>4080</v>
      </c>
      <c r="E2646" t="s">
        <v>4081</v>
      </c>
      <c r="F2646" t="s">
        <v>4079</v>
      </c>
    </row>
    <row r="2647" spans="1:6" x14ac:dyDescent="0.25">
      <c r="A2647">
        <v>2942</v>
      </c>
      <c r="B2647" t="s">
        <v>4072</v>
      </c>
      <c r="C2647">
        <v>6</v>
      </c>
      <c r="D2647" t="s">
        <v>4073</v>
      </c>
      <c r="E2647" t="s">
        <v>4074</v>
      </c>
      <c r="F2647" t="s">
        <v>4075</v>
      </c>
    </row>
    <row r="2648" spans="1:6" x14ac:dyDescent="0.25">
      <c r="A2648">
        <v>2942</v>
      </c>
      <c r="B2648" t="s">
        <v>4072</v>
      </c>
      <c r="C2648">
        <v>19</v>
      </c>
      <c r="D2648" t="s">
        <v>4073</v>
      </c>
      <c r="E2648" t="s">
        <v>4074</v>
      </c>
      <c r="F2648" t="s">
        <v>4076</v>
      </c>
    </row>
    <row r="2649" spans="1:6" x14ac:dyDescent="0.25">
      <c r="A2649">
        <v>2942</v>
      </c>
      <c r="B2649" t="s">
        <v>4092</v>
      </c>
      <c r="C2649">
        <v>24</v>
      </c>
      <c r="D2649" t="s">
        <v>2760</v>
      </c>
      <c r="E2649" t="s">
        <v>4108</v>
      </c>
      <c r="F2649" t="s">
        <v>4075</v>
      </c>
    </row>
    <row r="2650" spans="1:6" x14ac:dyDescent="0.25">
      <c r="A2650">
        <v>2942</v>
      </c>
      <c r="B2650" t="s">
        <v>4092</v>
      </c>
      <c r="C2650">
        <v>29</v>
      </c>
      <c r="D2650" t="s">
        <v>2760</v>
      </c>
      <c r="E2650" t="s">
        <v>4108</v>
      </c>
      <c r="F2650" t="s">
        <v>4076</v>
      </c>
    </row>
    <row r="2651" spans="1:6" x14ac:dyDescent="0.25">
      <c r="A2651">
        <v>2942</v>
      </c>
      <c r="B2651" t="s">
        <v>4072</v>
      </c>
      <c r="C2651">
        <v>39</v>
      </c>
      <c r="D2651" t="s">
        <v>4073</v>
      </c>
      <c r="E2651" t="s">
        <v>4074</v>
      </c>
      <c r="F2651" t="s">
        <v>4079</v>
      </c>
    </row>
    <row r="2652" spans="1:6" x14ac:dyDescent="0.25">
      <c r="A2652">
        <v>2942</v>
      </c>
      <c r="B2652" t="s">
        <v>4092</v>
      </c>
      <c r="C2652">
        <v>49</v>
      </c>
      <c r="D2652" t="s">
        <v>2760</v>
      </c>
      <c r="E2652" t="s">
        <v>4108</v>
      </c>
      <c r="F2652" t="s">
        <v>4079</v>
      </c>
    </row>
    <row r="2653" spans="1:6" x14ac:dyDescent="0.25">
      <c r="A2653">
        <v>2943</v>
      </c>
      <c r="B2653" t="s">
        <v>4072</v>
      </c>
      <c r="C2653">
        <v>6</v>
      </c>
      <c r="D2653" t="s">
        <v>4073</v>
      </c>
      <c r="E2653" t="s">
        <v>4074</v>
      </c>
      <c r="F2653" t="s">
        <v>4075</v>
      </c>
    </row>
    <row r="2654" spans="1:6" x14ac:dyDescent="0.25">
      <c r="A2654">
        <v>2943</v>
      </c>
      <c r="B2654" t="s">
        <v>4072</v>
      </c>
      <c r="C2654">
        <v>19</v>
      </c>
      <c r="D2654" t="s">
        <v>4073</v>
      </c>
      <c r="E2654" t="s">
        <v>4074</v>
      </c>
      <c r="F2654" t="s">
        <v>4076</v>
      </c>
    </row>
    <row r="2655" spans="1:6" x14ac:dyDescent="0.25">
      <c r="A2655">
        <v>2944</v>
      </c>
      <c r="B2655" t="s">
        <v>4072</v>
      </c>
      <c r="C2655">
        <v>6</v>
      </c>
      <c r="D2655" t="s">
        <v>4073</v>
      </c>
      <c r="E2655" t="s">
        <v>4074</v>
      </c>
      <c r="F2655" t="s">
        <v>4075</v>
      </c>
    </row>
    <row r="2656" spans="1:6" x14ac:dyDescent="0.25">
      <c r="A2656">
        <v>2945</v>
      </c>
      <c r="B2656" t="s">
        <v>4072</v>
      </c>
      <c r="C2656">
        <v>6</v>
      </c>
      <c r="D2656" t="s">
        <v>4073</v>
      </c>
      <c r="E2656" t="s">
        <v>4074</v>
      </c>
      <c r="F2656" t="s">
        <v>4075</v>
      </c>
    </row>
    <row r="2657" spans="1:6" x14ac:dyDescent="0.25">
      <c r="A2657">
        <v>2945</v>
      </c>
      <c r="B2657" t="s">
        <v>4072</v>
      </c>
      <c r="C2657">
        <v>19</v>
      </c>
      <c r="D2657" t="s">
        <v>4073</v>
      </c>
      <c r="E2657" t="s">
        <v>4074</v>
      </c>
      <c r="F2657" t="s">
        <v>4076</v>
      </c>
    </row>
    <row r="2658" spans="1:6" x14ac:dyDescent="0.25">
      <c r="A2658">
        <v>2945</v>
      </c>
      <c r="B2658" t="s">
        <v>4072</v>
      </c>
      <c r="C2658">
        <v>39</v>
      </c>
      <c r="D2658" t="s">
        <v>4073</v>
      </c>
      <c r="E2658" t="s">
        <v>4074</v>
      </c>
      <c r="F2658" t="s">
        <v>4079</v>
      </c>
    </row>
    <row r="2659" spans="1:6" x14ac:dyDescent="0.25">
      <c r="A2659">
        <v>2947</v>
      </c>
      <c r="B2659" t="s">
        <v>4072</v>
      </c>
      <c r="C2659">
        <v>19</v>
      </c>
      <c r="D2659" t="s">
        <v>4073</v>
      </c>
      <c r="E2659" t="s">
        <v>4074</v>
      </c>
      <c r="F2659" t="s">
        <v>4076</v>
      </c>
    </row>
    <row r="2660" spans="1:6" x14ac:dyDescent="0.25">
      <c r="A2660">
        <v>2948</v>
      </c>
      <c r="B2660" t="s">
        <v>4072</v>
      </c>
      <c r="C2660">
        <v>19</v>
      </c>
      <c r="D2660" t="s">
        <v>4073</v>
      </c>
      <c r="E2660" t="s">
        <v>4074</v>
      </c>
      <c r="F2660" t="s">
        <v>4076</v>
      </c>
    </row>
    <row r="2661" spans="1:6" x14ac:dyDescent="0.25">
      <c r="A2661">
        <v>2949</v>
      </c>
      <c r="B2661" t="s">
        <v>4072</v>
      </c>
      <c r="C2661">
        <v>3</v>
      </c>
      <c r="D2661" t="s">
        <v>4085</v>
      </c>
      <c r="E2661" t="s">
        <v>4086</v>
      </c>
      <c r="F2661" t="s">
        <v>4075</v>
      </c>
    </row>
    <row r="2662" spans="1:6" x14ac:dyDescent="0.25">
      <c r="A2662">
        <v>2949</v>
      </c>
      <c r="B2662" t="s">
        <v>4072</v>
      </c>
      <c r="C2662">
        <v>15</v>
      </c>
      <c r="D2662" t="s">
        <v>4080</v>
      </c>
      <c r="E2662" t="s">
        <v>4081</v>
      </c>
      <c r="F2662" t="s">
        <v>4076</v>
      </c>
    </row>
    <row r="2663" spans="1:6" x14ac:dyDescent="0.25">
      <c r="A2663">
        <v>2950</v>
      </c>
      <c r="B2663" t="s">
        <v>4072</v>
      </c>
      <c r="C2663">
        <v>4</v>
      </c>
      <c r="D2663" t="s">
        <v>4077</v>
      </c>
      <c r="E2663" t="s">
        <v>4078</v>
      </c>
      <c r="F2663" t="s">
        <v>4075</v>
      </c>
    </row>
    <row r="2664" spans="1:6" x14ac:dyDescent="0.25">
      <c r="A2664">
        <v>2950</v>
      </c>
      <c r="B2664" t="s">
        <v>4072</v>
      </c>
      <c r="C2664">
        <v>16</v>
      </c>
      <c r="D2664" t="s">
        <v>4077</v>
      </c>
      <c r="E2664" t="s">
        <v>4078</v>
      </c>
      <c r="F2664" t="s">
        <v>4076</v>
      </c>
    </row>
    <row r="2665" spans="1:6" x14ac:dyDescent="0.25">
      <c r="A2665">
        <v>2951</v>
      </c>
      <c r="B2665" t="s">
        <v>4072</v>
      </c>
      <c r="C2665">
        <v>5</v>
      </c>
      <c r="D2665" t="s">
        <v>4087</v>
      </c>
      <c r="E2665" t="s">
        <v>4088</v>
      </c>
      <c r="F2665" t="s">
        <v>4075</v>
      </c>
    </row>
    <row r="2666" spans="1:6" x14ac:dyDescent="0.25">
      <c r="A2666">
        <v>2951</v>
      </c>
      <c r="B2666" t="s">
        <v>4072</v>
      </c>
      <c r="C2666">
        <v>15</v>
      </c>
      <c r="D2666" t="s">
        <v>4080</v>
      </c>
      <c r="E2666" t="s">
        <v>4081</v>
      </c>
      <c r="F2666" t="s">
        <v>4076</v>
      </c>
    </row>
    <row r="2667" spans="1:6" x14ac:dyDescent="0.25">
      <c r="A2667">
        <v>2952</v>
      </c>
      <c r="B2667" t="s">
        <v>4072</v>
      </c>
      <c r="C2667">
        <v>5</v>
      </c>
      <c r="D2667" t="s">
        <v>4087</v>
      </c>
      <c r="E2667" t="s">
        <v>4088</v>
      </c>
      <c r="F2667" t="s">
        <v>4075</v>
      </c>
    </row>
    <row r="2668" spans="1:6" x14ac:dyDescent="0.25">
      <c r="A2668">
        <v>2952</v>
      </c>
      <c r="B2668" t="s">
        <v>4072</v>
      </c>
      <c r="C2668">
        <v>15</v>
      </c>
      <c r="D2668" t="s">
        <v>4080</v>
      </c>
      <c r="E2668" t="s">
        <v>4081</v>
      </c>
      <c r="F2668" t="s">
        <v>4076</v>
      </c>
    </row>
    <row r="2669" spans="1:6" x14ac:dyDescent="0.25">
      <c r="A2669">
        <v>2953</v>
      </c>
      <c r="B2669" t="s">
        <v>4072</v>
      </c>
      <c r="C2669">
        <v>2</v>
      </c>
      <c r="D2669" t="s">
        <v>4082</v>
      </c>
      <c r="E2669" t="s">
        <v>4083</v>
      </c>
      <c r="F2669" t="s">
        <v>4075</v>
      </c>
    </row>
    <row r="2670" spans="1:6" x14ac:dyDescent="0.25">
      <c r="A2670">
        <v>2953</v>
      </c>
      <c r="B2670" t="s">
        <v>4072</v>
      </c>
      <c r="C2670">
        <v>17</v>
      </c>
      <c r="D2670" t="s">
        <v>4082</v>
      </c>
      <c r="E2670" t="s">
        <v>4084</v>
      </c>
      <c r="F2670" t="s">
        <v>4076</v>
      </c>
    </row>
    <row r="2671" spans="1:6" x14ac:dyDescent="0.25">
      <c r="A2671">
        <v>2954</v>
      </c>
      <c r="B2671" t="s">
        <v>4092</v>
      </c>
      <c r="C2671">
        <v>23</v>
      </c>
      <c r="D2671" t="s">
        <v>2757</v>
      </c>
      <c r="E2671" t="s">
        <v>4093</v>
      </c>
      <c r="F2671" t="s">
        <v>4075</v>
      </c>
    </row>
    <row r="2672" spans="1:6" x14ac:dyDescent="0.25">
      <c r="A2672">
        <v>2954</v>
      </c>
      <c r="B2672" t="s">
        <v>4092</v>
      </c>
      <c r="C2672">
        <v>28</v>
      </c>
      <c r="D2672" t="s">
        <v>2757</v>
      </c>
      <c r="E2672" t="s">
        <v>4093</v>
      </c>
      <c r="F2672" t="s">
        <v>4076</v>
      </c>
    </row>
    <row r="2673" spans="1:6" x14ac:dyDescent="0.25">
      <c r="A2673">
        <v>2955</v>
      </c>
      <c r="B2673" t="s">
        <v>4072</v>
      </c>
      <c r="C2673">
        <v>2</v>
      </c>
      <c r="D2673" t="s">
        <v>4082</v>
      </c>
      <c r="E2673" t="s">
        <v>4083</v>
      </c>
      <c r="F2673" t="s">
        <v>4075</v>
      </c>
    </row>
    <row r="2674" spans="1:6" x14ac:dyDescent="0.25">
      <c r="A2674">
        <v>2955</v>
      </c>
      <c r="B2674" t="s">
        <v>4072</v>
      </c>
      <c r="C2674">
        <v>17</v>
      </c>
      <c r="D2674" t="s">
        <v>4082</v>
      </c>
      <c r="E2674" t="s">
        <v>4084</v>
      </c>
      <c r="F2674" t="s">
        <v>4076</v>
      </c>
    </row>
    <row r="2675" spans="1:6" x14ac:dyDescent="0.25">
      <c r="A2675">
        <v>2956</v>
      </c>
      <c r="B2675" t="s">
        <v>4072</v>
      </c>
      <c r="C2675">
        <v>6</v>
      </c>
      <c r="D2675" t="s">
        <v>4073</v>
      </c>
      <c r="E2675" t="s">
        <v>4074</v>
      </c>
      <c r="F2675" t="s">
        <v>4075</v>
      </c>
    </row>
    <row r="2676" spans="1:6" x14ac:dyDescent="0.25">
      <c r="A2676">
        <v>2956</v>
      </c>
      <c r="B2676" t="s">
        <v>4072</v>
      </c>
      <c r="C2676">
        <v>19</v>
      </c>
      <c r="D2676" t="s">
        <v>4073</v>
      </c>
      <c r="E2676" t="s">
        <v>4074</v>
      </c>
      <c r="F2676" t="s">
        <v>4076</v>
      </c>
    </row>
    <row r="2677" spans="1:6" x14ac:dyDescent="0.25">
      <c r="A2677">
        <v>2957</v>
      </c>
      <c r="B2677" t="s">
        <v>4072</v>
      </c>
      <c r="C2677">
        <v>13</v>
      </c>
      <c r="D2677" t="s">
        <v>4097</v>
      </c>
      <c r="E2677" t="s">
        <v>4098</v>
      </c>
      <c r="F2677" t="s">
        <v>4076</v>
      </c>
    </row>
    <row r="2678" spans="1:6" x14ac:dyDescent="0.25">
      <c r="A2678">
        <v>2958</v>
      </c>
      <c r="B2678" t="s">
        <v>4072</v>
      </c>
      <c r="C2678">
        <v>2</v>
      </c>
      <c r="D2678" t="s">
        <v>4082</v>
      </c>
      <c r="E2678" t="s">
        <v>4083</v>
      </c>
      <c r="F2678" t="s">
        <v>4075</v>
      </c>
    </row>
    <row r="2679" spans="1:6" x14ac:dyDescent="0.25">
      <c r="A2679">
        <v>2958</v>
      </c>
      <c r="B2679" t="s">
        <v>4072</v>
      </c>
      <c r="C2679">
        <v>4</v>
      </c>
      <c r="D2679" t="s">
        <v>4077</v>
      </c>
      <c r="E2679" t="s">
        <v>4078</v>
      </c>
      <c r="F2679" t="s">
        <v>4075</v>
      </c>
    </row>
    <row r="2680" spans="1:6" x14ac:dyDescent="0.25">
      <c r="A2680">
        <v>2958</v>
      </c>
      <c r="B2680" t="s">
        <v>4072</v>
      </c>
      <c r="C2680">
        <v>5</v>
      </c>
      <c r="D2680" t="s">
        <v>4087</v>
      </c>
      <c r="E2680" t="s">
        <v>4088</v>
      </c>
      <c r="F2680" t="s">
        <v>4075</v>
      </c>
    </row>
    <row r="2681" spans="1:6" x14ac:dyDescent="0.25">
      <c r="A2681">
        <v>2958</v>
      </c>
      <c r="B2681" t="s">
        <v>4072</v>
      </c>
      <c r="C2681">
        <v>15</v>
      </c>
      <c r="D2681" t="s">
        <v>4080</v>
      </c>
      <c r="E2681" t="s">
        <v>4081</v>
      </c>
      <c r="F2681" t="s">
        <v>4076</v>
      </c>
    </row>
    <row r="2682" spans="1:6" x14ac:dyDescent="0.25">
      <c r="A2682">
        <v>2958</v>
      </c>
      <c r="B2682" t="s">
        <v>4072</v>
      </c>
      <c r="C2682">
        <v>16</v>
      </c>
      <c r="D2682" t="s">
        <v>4077</v>
      </c>
      <c r="E2682" t="s">
        <v>4078</v>
      </c>
      <c r="F2682" t="s">
        <v>4076</v>
      </c>
    </row>
    <row r="2683" spans="1:6" x14ac:dyDescent="0.25">
      <c r="A2683">
        <v>2958</v>
      </c>
      <c r="B2683" t="s">
        <v>4072</v>
      </c>
      <c r="C2683">
        <v>17</v>
      </c>
      <c r="D2683" t="s">
        <v>4082</v>
      </c>
      <c r="E2683" t="s">
        <v>4084</v>
      </c>
      <c r="F2683" t="s">
        <v>4076</v>
      </c>
    </row>
    <row r="2684" spans="1:6" x14ac:dyDescent="0.25">
      <c r="A2684">
        <v>2958</v>
      </c>
      <c r="B2684" t="s">
        <v>4072</v>
      </c>
      <c r="C2684">
        <v>40</v>
      </c>
      <c r="D2684" t="s">
        <v>4080</v>
      </c>
      <c r="E2684" t="s">
        <v>4081</v>
      </c>
      <c r="F2684" t="s">
        <v>4079</v>
      </c>
    </row>
    <row r="2685" spans="1:6" x14ac:dyDescent="0.25">
      <c r="A2685">
        <v>2958</v>
      </c>
      <c r="B2685" t="s">
        <v>4072</v>
      </c>
      <c r="C2685">
        <v>42</v>
      </c>
      <c r="D2685" t="s">
        <v>4082</v>
      </c>
      <c r="E2685" t="s">
        <v>4083</v>
      </c>
      <c r="F2685" t="s">
        <v>4079</v>
      </c>
    </row>
    <row r="2686" spans="1:6" x14ac:dyDescent="0.25">
      <c r="A2686">
        <v>2958</v>
      </c>
      <c r="B2686" t="s">
        <v>4072</v>
      </c>
      <c r="C2686">
        <v>44</v>
      </c>
      <c r="D2686" t="s">
        <v>4077</v>
      </c>
      <c r="E2686" t="s">
        <v>4078</v>
      </c>
      <c r="F2686" t="s">
        <v>4079</v>
      </c>
    </row>
    <row r="2687" spans="1:6" x14ac:dyDescent="0.25">
      <c r="A2687">
        <v>2959</v>
      </c>
      <c r="B2687" t="s">
        <v>4072</v>
      </c>
      <c r="C2687">
        <v>6</v>
      </c>
      <c r="D2687" t="s">
        <v>4073</v>
      </c>
      <c r="E2687" t="s">
        <v>4074</v>
      </c>
      <c r="F2687" t="s">
        <v>4075</v>
      </c>
    </row>
    <row r="2688" spans="1:6" x14ac:dyDescent="0.25">
      <c r="A2688">
        <v>2959</v>
      </c>
      <c r="B2688" t="s">
        <v>4072</v>
      </c>
      <c r="C2688">
        <v>19</v>
      </c>
      <c r="D2688" t="s">
        <v>4073</v>
      </c>
      <c r="E2688" t="s">
        <v>4074</v>
      </c>
      <c r="F2688" t="s">
        <v>4076</v>
      </c>
    </row>
    <row r="2689" spans="1:6" x14ac:dyDescent="0.25">
      <c r="A2689">
        <v>2959</v>
      </c>
      <c r="B2689" t="s">
        <v>4072</v>
      </c>
      <c r="C2689">
        <v>39</v>
      </c>
      <c r="D2689" t="s">
        <v>4073</v>
      </c>
      <c r="E2689" t="s">
        <v>4074</v>
      </c>
      <c r="F2689" t="s">
        <v>4079</v>
      </c>
    </row>
    <row r="2690" spans="1:6" x14ac:dyDescent="0.25">
      <c r="A2690">
        <v>2960</v>
      </c>
      <c r="B2690" t="s">
        <v>4072</v>
      </c>
      <c r="C2690">
        <v>3</v>
      </c>
      <c r="D2690" t="s">
        <v>4085</v>
      </c>
      <c r="E2690" t="s">
        <v>4086</v>
      </c>
      <c r="F2690" t="s">
        <v>4075</v>
      </c>
    </row>
    <row r="2691" spans="1:6" x14ac:dyDescent="0.25">
      <c r="A2691">
        <v>2960</v>
      </c>
      <c r="B2691" t="s">
        <v>4072</v>
      </c>
      <c r="C2691">
        <v>4</v>
      </c>
      <c r="D2691" t="s">
        <v>4077</v>
      </c>
      <c r="E2691" t="s">
        <v>4078</v>
      </c>
      <c r="F2691" t="s">
        <v>4075</v>
      </c>
    </row>
    <row r="2692" spans="1:6" x14ac:dyDescent="0.25">
      <c r="A2692">
        <v>2960</v>
      </c>
      <c r="B2692" t="s">
        <v>4072</v>
      </c>
      <c r="C2692">
        <v>5</v>
      </c>
      <c r="D2692" t="s">
        <v>4087</v>
      </c>
      <c r="E2692" t="s">
        <v>4088</v>
      </c>
      <c r="F2692" t="s">
        <v>4075</v>
      </c>
    </row>
    <row r="2693" spans="1:6" x14ac:dyDescent="0.25">
      <c r="A2693">
        <v>2960</v>
      </c>
      <c r="B2693" t="s">
        <v>4072</v>
      </c>
      <c r="C2693">
        <v>15</v>
      </c>
      <c r="D2693" t="s">
        <v>4080</v>
      </c>
      <c r="E2693" t="s">
        <v>4081</v>
      </c>
      <c r="F2693" t="s">
        <v>4076</v>
      </c>
    </row>
    <row r="2694" spans="1:6" x14ac:dyDescent="0.25">
      <c r="A2694">
        <v>2960</v>
      </c>
      <c r="B2694" t="s">
        <v>4072</v>
      </c>
      <c r="C2694">
        <v>16</v>
      </c>
      <c r="D2694" t="s">
        <v>4077</v>
      </c>
      <c r="E2694" t="s">
        <v>4078</v>
      </c>
      <c r="F2694" t="s">
        <v>4076</v>
      </c>
    </row>
    <row r="2695" spans="1:6" x14ac:dyDescent="0.25">
      <c r="A2695">
        <v>2960</v>
      </c>
      <c r="B2695" t="s">
        <v>4072</v>
      </c>
      <c r="C2695">
        <v>40</v>
      </c>
      <c r="D2695" t="s">
        <v>4080</v>
      </c>
      <c r="E2695" t="s">
        <v>4081</v>
      </c>
      <c r="F2695" t="s">
        <v>4079</v>
      </c>
    </row>
    <row r="2696" spans="1:6" x14ac:dyDescent="0.25">
      <c r="A2696">
        <v>2960</v>
      </c>
      <c r="B2696" t="s">
        <v>4072</v>
      </c>
      <c r="C2696">
        <v>44</v>
      </c>
      <c r="D2696" t="s">
        <v>4077</v>
      </c>
      <c r="E2696" t="s">
        <v>4078</v>
      </c>
      <c r="F2696" t="s">
        <v>4079</v>
      </c>
    </row>
    <row r="2697" spans="1:6" x14ac:dyDescent="0.25">
      <c r="A2697">
        <v>2961</v>
      </c>
      <c r="B2697" t="s">
        <v>4072</v>
      </c>
      <c r="C2697">
        <v>6</v>
      </c>
      <c r="D2697" t="s">
        <v>4073</v>
      </c>
      <c r="E2697" t="s">
        <v>4074</v>
      </c>
      <c r="F2697" t="s">
        <v>4075</v>
      </c>
    </row>
    <row r="2698" spans="1:6" x14ac:dyDescent="0.25">
      <c r="A2698">
        <v>2962</v>
      </c>
      <c r="B2698" t="s">
        <v>4072</v>
      </c>
      <c r="C2698">
        <v>19</v>
      </c>
      <c r="D2698" t="s">
        <v>4073</v>
      </c>
      <c r="E2698" t="s">
        <v>4074</v>
      </c>
      <c r="F2698" t="s">
        <v>4076</v>
      </c>
    </row>
    <row r="2699" spans="1:6" x14ac:dyDescent="0.25">
      <c r="A2699">
        <v>2962</v>
      </c>
      <c r="B2699" t="s">
        <v>4072</v>
      </c>
      <c r="C2699">
        <v>39</v>
      </c>
      <c r="D2699" t="s">
        <v>4073</v>
      </c>
      <c r="E2699" t="s">
        <v>4074</v>
      </c>
      <c r="F2699" t="s">
        <v>4079</v>
      </c>
    </row>
    <row r="2700" spans="1:6" x14ac:dyDescent="0.25">
      <c r="A2700">
        <v>2963</v>
      </c>
      <c r="B2700" t="s">
        <v>4072</v>
      </c>
      <c r="C2700">
        <v>3</v>
      </c>
      <c r="D2700" t="s">
        <v>4085</v>
      </c>
      <c r="E2700" t="s">
        <v>4086</v>
      </c>
      <c r="F2700" t="s">
        <v>4075</v>
      </c>
    </row>
    <row r="2701" spans="1:6" x14ac:dyDescent="0.25">
      <c r="A2701">
        <v>2963</v>
      </c>
      <c r="B2701" t="s">
        <v>4072</v>
      </c>
      <c r="C2701">
        <v>15</v>
      </c>
      <c r="D2701" t="s">
        <v>4080</v>
      </c>
      <c r="E2701" t="s">
        <v>4081</v>
      </c>
      <c r="F2701" t="s">
        <v>4076</v>
      </c>
    </row>
    <row r="2702" spans="1:6" x14ac:dyDescent="0.25">
      <c r="A2702">
        <v>2963</v>
      </c>
      <c r="B2702" t="s">
        <v>4072</v>
      </c>
      <c r="C2702">
        <v>40</v>
      </c>
      <c r="D2702" t="s">
        <v>4080</v>
      </c>
      <c r="E2702" t="s">
        <v>4081</v>
      </c>
      <c r="F2702" t="s">
        <v>4079</v>
      </c>
    </row>
    <row r="2703" spans="1:6" x14ac:dyDescent="0.25">
      <c r="A2703">
        <v>2964</v>
      </c>
      <c r="B2703" t="s">
        <v>4072</v>
      </c>
      <c r="C2703">
        <v>1</v>
      </c>
      <c r="D2703" t="s">
        <v>2761</v>
      </c>
      <c r="E2703" t="s">
        <v>4089</v>
      </c>
      <c r="F2703" t="s">
        <v>4075</v>
      </c>
    </row>
    <row r="2704" spans="1:6" x14ac:dyDescent="0.25">
      <c r="A2704">
        <v>2964</v>
      </c>
      <c r="B2704" t="s">
        <v>4072</v>
      </c>
      <c r="C2704">
        <v>17</v>
      </c>
      <c r="D2704" t="s">
        <v>4082</v>
      </c>
      <c r="E2704" t="s">
        <v>4084</v>
      </c>
      <c r="F2704" t="s">
        <v>4076</v>
      </c>
    </row>
    <row r="2705" spans="1:6" x14ac:dyDescent="0.25">
      <c r="A2705">
        <v>2964</v>
      </c>
      <c r="B2705" t="s">
        <v>4072</v>
      </c>
      <c r="C2705">
        <v>42</v>
      </c>
      <c r="D2705" t="s">
        <v>4082</v>
      </c>
      <c r="E2705" t="s">
        <v>4083</v>
      </c>
      <c r="F2705" t="s">
        <v>4079</v>
      </c>
    </row>
    <row r="2706" spans="1:6" x14ac:dyDescent="0.25">
      <c r="A2706">
        <v>2965</v>
      </c>
      <c r="B2706" t="s">
        <v>4072</v>
      </c>
      <c r="C2706">
        <v>3</v>
      </c>
      <c r="D2706" t="s">
        <v>4085</v>
      </c>
      <c r="E2706" t="s">
        <v>4086</v>
      </c>
      <c r="F2706" t="s">
        <v>4075</v>
      </c>
    </row>
    <row r="2707" spans="1:6" x14ac:dyDescent="0.25">
      <c r="A2707">
        <v>2965</v>
      </c>
      <c r="B2707" t="s">
        <v>4072</v>
      </c>
      <c r="C2707">
        <v>15</v>
      </c>
      <c r="D2707" t="s">
        <v>4080</v>
      </c>
      <c r="E2707" t="s">
        <v>4081</v>
      </c>
      <c r="F2707" t="s">
        <v>4076</v>
      </c>
    </row>
    <row r="2708" spans="1:6" x14ac:dyDescent="0.25">
      <c r="A2708">
        <v>2966</v>
      </c>
      <c r="B2708" t="s">
        <v>4072</v>
      </c>
      <c r="C2708">
        <v>4</v>
      </c>
      <c r="D2708" t="s">
        <v>4077</v>
      </c>
      <c r="E2708" t="s">
        <v>4078</v>
      </c>
      <c r="F2708" t="s">
        <v>4075</v>
      </c>
    </row>
    <row r="2709" spans="1:6" x14ac:dyDescent="0.25">
      <c r="A2709">
        <v>2966</v>
      </c>
      <c r="B2709" t="s">
        <v>4072</v>
      </c>
      <c r="C2709">
        <v>16</v>
      </c>
      <c r="D2709" t="s">
        <v>4077</v>
      </c>
      <c r="E2709" t="s">
        <v>4078</v>
      </c>
      <c r="F2709" t="s">
        <v>4076</v>
      </c>
    </row>
    <row r="2710" spans="1:6" x14ac:dyDescent="0.25">
      <c r="A2710">
        <v>2967</v>
      </c>
      <c r="B2710" t="s">
        <v>4072</v>
      </c>
      <c r="C2710">
        <v>3</v>
      </c>
      <c r="D2710" t="s">
        <v>4085</v>
      </c>
      <c r="E2710" t="s">
        <v>4086</v>
      </c>
      <c r="F2710" t="s">
        <v>4075</v>
      </c>
    </row>
    <row r="2711" spans="1:6" x14ac:dyDescent="0.25">
      <c r="A2711">
        <v>2967</v>
      </c>
      <c r="B2711" t="s">
        <v>4072</v>
      </c>
      <c r="C2711">
        <v>5</v>
      </c>
      <c r="D2711" t="s">
        <v>4087</v>
      </c>
      <c r="E2711" t="s">
        <v>4088</v>
      </c>
      <c r="F2711" t="s">
        <v>4075</v>
      </c>
    </row>
    <row r="2712" spans="1:6" x14ac:dyDescent="0.25">
      <c r="A2712">
        <v>2967</v>
      </c>
      <c r="B2712" t="s">
        <v>4072</v>
      </c>
      <c r="C2712">
        <v>15</v>
      </c>
      <c r="D2712" t="s">
        <v>4080</v>
      </c>
      <c r="E2712" t="s">
        <v>4081</v>
      </c>
      <c r="F2712" t="s">
        <v>4076</v>
      </c>
    </row>
    <row r="2713" spans="1:6" x14ac:dyDescent="0.25">
      <c r="A2713">
        <v>2967</v>
      </c>
      <c r="B2713" t="s">
        <v>4072</v>
      </c>
      <c r="C2713">
        <v>40</v>
      </c>
      <c r="D2713" t="s">
        <v>4080</v>
      </c>
      <c r="E2713" t="s">
        <v>4081</v>
      </c>
      <c r="F2713" t="s">
        <v>4079</v>
      </c>
    </row>
    <row r="2714" spans="1:6" x14ac:dyDescent="0.25">
      <c r="A2714">
        <v>2968</v>
      </c>
      <c r="B2714" t="s">
        <v>4072</v>
      </c>
      <c r="C2714">
        <v>5</v>
      </c>
      <c r="D2714" t="s">
        <v>4087</v>
      </c>
      <c r="E2714" t="s">
        <v>4088</v>
      </c>
      <c r="F2714" t="s">
        <v>4075</v>
      </c>
    </row>
    <row r="2715" spans="1:6" x14ac:dyDescent="0.25">
      <c r="A2715">
        <v>2968</v>
      </c>
      <c r="B2715" t="s">
        <v>4072</v>
      </c>
      <c r="C2715">
        <v>15</v>
      </c>
      <c r="D2715" t="s">
        <v>4080</v>
      </c>
      <c r="E2715" t="s">
        <v>4081</v>
      </c>
      <c r="F2715" t="s">
        <v>4076</v>
      </c>
    </row>
    <row r="2716" spans="1:6" x14ac:dyDescent="0.25">
      <c r="A2716">
        <v>2969</v>
      </c>
      <c r="B2716" t="s">
        <v>4072</v>
      </c>
      <c r="C2716">
        <v>5</v>
      </c>
      <c r="D2716" t="s">
        <v>4087</v>
      </c>
      <c r="E2716" t="s">
        <v>4088</v>
      </c>
      <c r="F2716" t="s">
        <v>4075</v>
      </c>
    </row>
    <row r="2717" spans="1:6" x14ac:dyDescent="0.25">
      <c r="A2717">
        <v>2969</v>
      </c>
      <c r="B2717" t="s">
        <v>4072</v>
      </c>
      <c r="C2717">
        <v>15</v>
      </c>
      <c r="D2717" t="s">
        <v>4080</v>
      </c>
      <c r="E2717" t="s">
        <v>4081</v>
      </c>
      <c r="F2717" t="s">
        <v>4076</v>
      </c>
    </row>
    <row r="2718" spans="1:6" x14ac:dyDescent="0.25">
      <c r="A2718">
        <v>2970</v>
      </c>
      <c r="B2718" t="s">
        <v>4092</v>
      </c>
      <c r="C2718">
        <v>33</v>
      </c>
      <c r="D2718" t="s">
        <v>4109</v>
      </c>
      <c r="E2718" t="s">
        <v>4110</v>
      </c>
      <c r="F2718" t="s">
        <v>4075</v>
      </c>
    </row>
    <row r="2719" spans="1:6" x14ac:dyDescent="0.25">
      <c r="A2719">
        <v>2970</v>
      </c>
      <c r="B2719" t="s">
        <v>4092</v>
      </c>
      <c r="C2719">
        <v>34</v>
      </c>
      <c r="D2719" t="s">
        <v>4109</v>
      </c>
      <c r="E2719" t="s">
        <v>4110</v>
      </c>
      <c r="F2719" t="s">
        <v>4076</v>
      </c>
    </row>
    <row r="2720" spans="1:6" x14ac:dyDescent="0.25">
      <c r="A2720">
        <v>2971</v>
      </c>
      <c r="B2720" t="s">
        <v>4092</v>
      </c>
      <c r="C2720">
        <v>23</v>
      </c>
      <c r="D2720" t="s">
        <v>2757</v>
      </c>
      <c r="E2720" t="s">
        <v>4093</v>
      </c>
      <c r="F2720" t="s">
        <v>4075</v>
      </c>
    </row>
    <row r="2721" spans="1:6" x14ac:dyDescent="0.25">
      <c r="A2721">
        <v>2971</v>
      </c>
      <c r="B2721" t="s">
        <v>4092</v>
      </c>
      <c r="C2721">
        <v>28</v>
      </c>
      <c r="D2721" t="s">
        <v>2757</v>
      </c>
      <c r="E2721" t="s">
        <v>4093</v>
      </c>
      <c r="F2721" t="s">
        <v>4076</v>
      </c>
    </row>
    <row r="2722" spans="1:6" x14ac:dyDescent="0.25">
      <c r="A2722">
        <v>2974</v>
      </c>
      <c r="B2722" t="s">
        <v>4072</v>
      </c>
      <c r="C2722">
        <v>10</v>
      </c>
      <c r="D2722" t="s">
        <v>4095</v>
      </c>
      <c r="E2722" t="s">
        <v>4096</v>
      </c>
      <c r="F2722" t="s">
        <v>4075</v>
      </c>
    </row>
    <row r="2723" spans="1:6" x14ac:dyDescent="0.25">
      <c r="A2723">
        <v>2974</v>
      </c>
      <c r="B2723" t="s">
        <v>4072</v>
      </c>
      <c r="C2723">
        <v>13</v>
      </c>
      <c r="D2723" t="s">
        <v>4097</v>
      </c>
      <c r="E2723" t="s">
        <v>4098</v>
      </c>
      <c r="F2723" t="s">
        <v>4076</v>
      </c>
    </row>
    <row r="2724" spans="1:6" x14ac:dyDescent="0.25">
      <c r="A2724">
        <v>2975</v>
      </c>
      <c r="B2724" t="s">
        <v>4072</v>
      </c>
      <c r="C2724">
        <v>3</v>
      </c>
      <c r="D2724" t="s">
        <v>4085</v>
      </c>
      <c r="E2724" t="s">
        <v>4086</v>
      </c>
      <c r="F2724" t="s">
        <v>4075</v>
      </c>
    </row>
    <row r="2725" spans="1:6" x14ac:dyDescent="0.25">
      <c r="A2725">
        <v>2975</v>
      </c>
      <c r="B2725" t="s">
        <v>4072</v>
      </c>
      <c r="C2725">
        <v>15</v>
      </c>
      <c r="D2725" t="s">
        <v>4080</v>
      </c>
      <c r="E2725" t="s">
        <v>4081</v>
      </c>
      <c r="F2725" t="s">
        <v>4076</v>
      </c>
    </row>
    <row r="2726" spans="1:6" x14ac:dyDescent="0.25">
      <c r="A2726">
        <v>2976</v>
      </c>
      <c r="B2726" t="s">
        <v>4072</v>
      </c>
      <c r="C2726">
        <v>4</v>
      </c>
      <c r="D2726" t="s">
        <v>4077</v>
      </c>
      <c r="E2726" t="s">
        <v>4078</v>
      </c>
      <c r="F2726" t="s">
        <v>4075</v>
      </c>
    </row>
    <row r="2727" spans="1:6" x14ac:dyDescent="0.25">
      <c r="A2727">
        <v>2976</v>
      </c>
      <c r="B2727" t="s">
        <v>4072</v>
      </c>
      <c r="C2727">
        <v>16</v>
      </c>
      <c r="D2727" t="s">
        <v>4077</v>
      </c>
      <c r="E2727" t="s">
        <v>4078</v>
      </c>
      <c r="F2727" t="s">
        <v>4076</v>
      </c>
    </row>
    <row r="2728" spans="1:6" x14ac:dyDescent="0.25">
      <c r="A2728">
        <v>2977</v>
      </c>
      <c r="B2728" t="s">
        <v>4072</v>
      </c>
      <c r="C2728">
        <v>4</v>
      </c>
      <c r="D2728" t="s">
        <v>4077</v>
      </c>
      <c r="E2728" t="s">
        <v>4078</v>
      </c>
      <c r="F2728" t="s">
        <v>4075</v>
      </c>
    </row>
    <row r="2729" spans="1:6" x14ac:dyDescent="0.25">
      <c r="A2729">
        <v>2977</v>
      </c>
      <c r="B2729" t="s">
        <v>4072</v>
      </c>
      <c r="C2729">
        <v>16</v>
      </c>
      <c r="D2729" t="s">
        <v>4077</v>
      </c>
      <c r="E2729" t="s">
        <v>4078</v>
      </c>
      <c r="F2729" t="s">
        <v>4076</v>
      </c>
    </row>
    <row r="2730" spans="1:6" x14ac:dyDescent="0.25">
      <c r="A2730">
        <v>2978</v>
      </c>
      <c r="B2730" t="s">
        <v>4072</v>
      </c>
      <c r="C2730">
        <v>2</v>
      </c>
      <c r="D2730" t="s">
        <v>4082</v>
      </c>
      <c r="E2730" t="s">
        <v>4083</v>
      </c>
      <c r="F2730" t="s">
        <v>4075</v>
      </c>
    </row>
    <row r="2731" spans="1:6" x14ac:dyDescent="0.25">
      <c r="A2731">
        <v>2978</v>
      </c>
      <c r="B2731" t="s">
        <v>4072</v>
      </c>
      <c r="C2731">
        <v>17</v>
      </c>
      <c r="D2731" t="s">
        <v>4082</v>
      </c>
      <c r="E2731" t="s">
        <v>4084</v>
      </c>
      <c r="F2731" t="s">
        <v>4076</v>
      </c>
    </row>
    <row r="2732" spans="1:6" x14ac:dyDescent="0.25">
      <c r="A2732">
        <v>2979</v>
      </c>
      <c r="B2732" t="s">
        <v>4072</v>
      </c>
      <c r="C2732">
        <v>2</v>
      </c>
      <c r="D2732" t="s">
        <v>4082</v>
      </c>
      <c r="E2732" t="s">
        <v>4083</v>
      </c>
      <c r="F2732" t="s">
        <v>4075</v>
      </c>
    </row>
    <row r="2733" spans="1:6" x14ac:dyDescent="0.25">
      <c r="A2733">
        <v>2979</v>
      </c>
      <c r="B2733" t="s">
        <v>4072</v>
      </c>
      <c r="C2733">
        <v>17</v>
      </c>
      <c r="D2733" t="s">
        <v>4082</v>
      </c>
      <c r="E2733" t="s">
        <v>4084</v>
      </c>
      <c r="F2733" t="s">
        <v>4076</v>
      </c>
    </row>
    <row r="2734" spans="1:6" x14ac:dyDescent="0.25">
      <c r="A2734">
        <v>2980</v>
      </c>
      <c r="B2734" t="s">
        <v>4072</v>
      </c>
      <c r="C2734">
        <v>3</v>
      </c>
      <c r="D2734" t="s">
        <v>4085</v>
      </c>
      <c r="E2734" t="s">
        <v>4086</v>
      </c>
      <c r="F2734" t="s">
        <v>4075</v>
      </c>
    </row>
    <row r="2735" spans="1:6" x14ac:dyDescent="0.25">
      <c r="A2735">
        <v>2980</v>
      </c>
      <c r="B2735" t="s">
        <v>4072</v>
      </c>
      <c r="C2735">
        <v>15</v>
      </c>
      <c r="D2735" t="s">
        <v>4080</v>
      </c>
      <c r="E2735" t="s">
        <v>4081</v>
      </c>
      <c r="F2735" t="s">
        <v>4076</v>
      </c>
    </row>
    <row r="2736" spans="1:6" x14ac:dyDescent="0.25">
      <c r="A2736">
        <v>2981</v>
      </c>
      <c r="B2736" t="s">
        <v>4072</v>
      </c>
      <c r="C2736">
        <v>5</v>
      </c>
      <c r="D2736" t="s">
        <v>4087</v>
      </c>
      <c r="E2736" t="s">
        <v>4088</v>
      </c>
      <c r="F2736" t="s">
        <v>4075</v>
      </c>
    </row>
    <row r="2737" spans="1:6" x14ac:dyDescent="0.25">
      <c r="A2737">
        <v>2981</v>
      </c>
      <c r="B2737" t="s">
        <v>4072</v>
      </c>
      <c r="C2737">
        <v>15</v>
      </c>
      <c r="D2737" t="s">
        <v>4080</v>
      </c>
      <c r="E2737" t="s">
        <v>4081</v>
      </c>
      <c r="F2737" t="s">
        <v>4076</v>
      </c>
    </row>
    <row r="2738" spans="1:6" x14ac:dyDescent="0.25">
      <c r="A2738">
        <v>2983</v>
      </c>
      <c r="B2738" t="s">
        <v>4072</v>
      </c>
      <c r="C2738">
        <v>3</v>
      </c>
      <c r="D2738" t="s">
        <v>4085</v>
      </c>
      <c r="E2738" t="s">
        <v>4086</v>
      </c>
      <c r="F2738" t="s">
        <v>4075</v>
      </c>
    </row>
    <row r="2739" spans="1:6" x14ac:dyDescent="0.25">
      <c r="A2739">
        <v>2983</v>
      </c>
      <c r="B2739" t="s">
        <v>4072</v>
      </c>
      <c r="C2739">
        <v>15</v>
      </c>
      <c r="D2739" t="s">
        <v>4080</v>
      </c>
      <c r="E2739" t="s">
        <v>4081</v>
      </c>
      <c r="F2739" t="s">
        <v>4076</v>
      </c>
    </row>
    <row r="2740" spans="1:6" x14ac:dyDescent="0.25">
      <c r="A2740">
        <v>2983</v>
      </c>
      <c r="B2740" t="s">
        <v>4072</v>
      </c>
      <c r="C2740">
        <v>40</v>
      </c>
      <c r="D2740" t="s">
        <v>4080</v>
      </c>
      <c r="E2740" t="s">
        <v>4081</v>
      </c>
      <c r="F2740" t="s">
        <v>4079</v>
      </c>
    </row>
    <row r="2741" spans="1:6" x14ac:dyDescent="0.25">
      <c r="A2741">
        <v>2984</v>
      </c>
      <c r="B2741" t="s">
        <v>4072</v>
      </c>
      <c r="C2741">
        <v>4</v>
      </c>
      <c r="D2741" t="s">
        <v>4077</v>
      </c>
      <c r="E2741" t="s">
        <v>4078</v>
      </c>
      <c r="F2741" t="s">
        <v>4075</v>
      </c>
    </row>
    <row r="2742" spans="1:6" x14ac:dyDescent="0.25">
      <c r="A2742">
        <v>2984</v>
      </c>
      <c r="B2742" t="s">
        <v>4072</v>
      </c>
      <c r="C2742">
        <v>16</v>
      </c>
      <c r="D2742" t="s">
        <v>4077</v>
      </c>
      <c r="E2742" t="s">
        <v>4078</v>
      </c>
      <c r="F2742" t="s">
        <v>4076</v>
      </c>
    </row>
    <row r="2743" spans="1:6" x14ac:dyDescent="0.25">
      <c r="A2743">
        <v>2984</v>
      </c>
      <c r="B2743" t="s">
        <v>4072</v>
      </c>
      <c r="C2743">
        <v>44</v>
      </c>
      <c r="D2743" t="s">
        <v>4077</v>
      </c>
      <c r="E2743" t="s">
        <v>4078</v>
      </c>
      <c r="F2743" t="s">
        <v>4079</v>
      </c>
    </row>
    <row r="2744" spans="1:6" x14ac:dyDescent="0.25">
      <c r="A2744">
        <v>2985</v>
      </c>
      <c r="B2744" t="s">
        <v>4072</v>
      </c>
      <c r="C2744">
        <v>5</v>
      </c>
      <c r="D2744" t="s">
        <v>4087</v>
      </c>
      <c r="E2744" t="s">
        <v>4088</v>
      </c>
      <c r="F2744" t="s">
        <v>4075</v>
      </c>
    </row>
    <row r="2745" spans="1:6" x14ac:dyDescent="0.25">
      <c r="A2745">
        <v>2985</v>
      </c>
      <c r="B2745" t="s">
        <v>4072</v>
      </c>
      <c r="C2745">
        <v>15</v>
      </c>
      <c r="D2745" t="s">
        <v>4080</v>
      </c>
      <c r="E2745" t="s">
        <v>4081</v>
      </c>
      <c r="F2745" t="s">
        <v>4076</v>
      </c>
    </row>
    <row r="2746" spans="1:6" x14ac:dyDescent="0.25">
      <c r="A2746">
        <v>2985</v>
      </c>
      <c r="B2746" t="s">
        <v>4072</v>
      </c>
      <c r="C2746">
        <v>40</v>
      </c>
      <c r="D2746" t="s">
        <v>4080</v>
      </c>
      <c r="E2746" t="s">
        <v>4081</v>
      </c>
      <c r="F2746" t="s">
        <v>4079</v>
      </c>
    </row>
    <row r="2747" spans="1:6" x14ac:dyDescent="0.25">
      <c r="A2747">
        <v>2986</v>
      </c>
      <c r="B2747" t="s">
        <v>4072</v>
      </c>
      <c r="C2747">
        <v>5</v>
      </c>
      <c r="D2747" t="s">
        <v>4087</v>
      </c>
      <c r="E2747" t="s">
        <v>4088</v>
      </c>
      <c r="F2747" t="s">
        <v>4075</v>
      </c>
    </row>
    <row r="2748" spans="1:6" x14ac:dyDescent="0.25">
      <c r="A2748">
        <v>2986</v>
      </c>
      <c r="B2748" t="s">
        <v>4072</v>
      </c>
      <c r="C2748">
        <v>15</v>
      </c>
      <c r="D2748" t="s">
        <v>4080</v>
      </c>
      <c r="E2748" t="s">
        <v>4081</v>
      </c>
      <c r="F2748" t="s">
        <v>4076</v>
      </c>
    </row>
    <row r="2749" spans="1:6" x14ac:dyDescent="0.25">
      <c r="A2749">
        <v>2986</v>
      </c>
      <c r="B2749" t="s">
        <v>4072</v>
      </c>
      <c r="C2749">
        <v>40</v>
      </c>
      <c r="D2749" t="s">
        <v>4080</v>
      </c>
      <c r="E2749" t="s">
        <v>4081</v>
      </c>
      <c r="F2749" t="s">
        <v>4079</v>
      </c>
    </row>
    <row r="2750" spans="1:6" x14ac:dyDescent="0.25">
      <c r="A2750">
        <v>2987</v>
      </c>
      <c r="B2750" t="s">
        <v>4092</v>
      </c>
      <c r="C2750">
        <v>23</v>
      </c>
      <c r="D2750" t="s">
        <v>2757</v>
      </c>
      <c r="E2750" t="s">
        <v>4093</v>
      </c>
      <c r="F2750" t="s">
        <v>4075</v>
      </c>
    </row>
    <row r="2751" spans="1:6" x14ac:dyDescent="0.25">
      <c r="A2751">
        <v>2987</v>
      </c>
      <c r="B2751" t="s">
        <v>4092</v>
      </c>
      <c r="C2751">
        <v>28</v>
      </c>
      <c r="D2751" t="s">
        <v>2757</v>
      </c>
      <c r="E2751" t="s">
        <v>4093</v>
      </c>
      <c r="F2751" t="s">
        <v>4076</v>
      </c>
    </row>
    <row r="2752" spans="1:6" x14ac:dyDescent="0.25">
      <c r="A2752">
        <v>2987</v>
      </c>
      <c r="B2752" t="s">
        <v>4092</v>
      </c>
      <c r="C2752">
        <v>48</v>
      </c>
      <c r="D2752" t="s">
        <v>2757</v>
      </c>
      <c r="E2752" t="s">
        <v>4093</v>
      </c>
      <c r="F2752" t="s">
        <v>4079</v>
      </c>
    </row>
    <row r="2753" spans="1:6" x14ac:dyDescent="0.25">
      <c r="A2753">
        <v>2988</v>
      </c>
      <c r="B2753" t="s">
        <v>4092</v>
      </c>
      <c r="C2753">
        <v>32</v>
      </c>
      <c r="D2753" t="s">
        <v>4106</v>
      </c>
      <c r="E2753" t="s">
        <v>4107</v>
      </c>
      <c r="F2753" t="s">
        <v>4076</v>
      </c>
    </row>
    <row r="2754" spans="1:6" x14ac:dyDescent="0.25">
      <c r="A2754">
        <v>2988</v>
      </c>
      <c r="B2754" t="s">
        <v>4092</v>
      </c>
      <c r="C2754">
        <v>52</v>
      </c>
      <c r="D2754" t="s">
        <v>4106</v>
      </c>
      <c r="E2754" t="s">
        <v>4107</v>
      </c>
      <c r="F2754" t="s">
        <v>4079</v>
      </c>
    </row>
    <row r="2755" spans="1:6" x14ac:dyDescent="0.25">
      <c r="A2755">
        <v>2989</v>
      </c>
      <c r="B2755" t="s">
        <v>4072</v>
      </c>
      <c r="C2755">
        <v>3</v>
      </c>
      <c r="D2755" t="s">
        <v>4085</v>
      </c>
      <c r="E2755" t="s">
        <v>4086</v>
      </c>
      <c r="F2755" t="s">
        <v>4075</v>
      </c>
    </row>
    <row r="2756" spans="1:6" x14ac:dyDescent="0.25">
      <c r="A2756">
        <v>2989</v>
      </c>
      <c r="B2756" t="s">
        <v>4072</v>
      </c>
      <c r="C2756">
        <v>15</v>
      </c>
      <c r="D2756" t="s">
        <v>4080</v>
      </c>
      <c r="E2756" t="s">
        <v>4081</v>
      </c>
      <c r="F2756" t="s">
        <v>4076</v>
      </c>
    </row>
    <row r="2757" spans="1:6" x14ac:dyDescent="0.25">
      <c r="A2757">
        <v>2989</v>
      </c>
      <c r="B2757" t="s">
        <v>4072</v>
      </c>
      <c r="C2757">
        <v>40</v>
      </c>
      <c r="D2757" t="s">
        <v>4080</v>
      </c>
      <c r="E2757" t="s">
        <v>4081</v>
      </c>
      <c r="F2757" t="s">
        <v>4079</v>
      </c>
    </row>
    <row r="2758" spans="1:6" x14ac:dyDescent="0.25">
      <c r="A2758">
        <v>2990</v>
      </c>
      <c r="B2758" t="s">
        <v>4072</v>
      </c>
      <c r="C2758">
        <v>4</v>
      </c>
      <c r="D2758" t="s">
        <v>4077</v>
      </c>
      <c r="E2758" t="s">
        <v>4078</v>
      </c>
      <c r="F2758" t="s">
        <v>4075</v>
      </c>
    </row>
    <row r="2759" spans="1:6" x14ac:dyDescent="0.25">
      <c r="A2759">
        <v>2990</v>
      </c>
      <c r="B2759" t="s">
        <v>4072</v>
      </c>
      <c r="C2759">
        <v>16</v>
      </c>
      <c r="D2759" t="s">
        <v>4077</v>
      </c>
      <c r="E2759" t="s">
        <v>4078</v>
      </c>
      <c r="F2759" t="s">
        <v>4076</v>
      </c>
    </row>
    <row r="2760" spans="1:6" x14ac:dyDescent="0.25">
      <c r="A2760">
        <v>2990</v>
      </c>
      <c r="B2760" t="s">
        <v>4072</v>
      </c>
      <c r="C2760">
        <v>44</v>
      </c>
      <c r="D2760" t="s">
        <v>4077</v>
      </c>
      <c r="E2760" t="s">
        <v>4078</v>
      </c>
      <c r="F2760" t="s">
        <v>4079</v>
      </c>
    </row>
    <row r="2761" spans="1:6" x14ac:dyDescent="0.25">
      <c r="A2761">
        <v>2992</v>
      </c>
      <c r="B2761" t="s">
        <v>4072</v>
      </c>
      <c r="C2761">
        <v>1</v>
      </c>
      <c r="D2761" t="s">
        <v>2761</v>
      </c>
      <c r="E2761" t="s">
        <v>4089</v>
      </c>
      <c r="F2761" t="s">
        <v>4075</v>
      </c>
    </row>
    <row r="2762" spans="1:6" x14ac:dyDescent="0.25">
      <c r="A2762">
        <v>2992</v>
      </c>
      <c r="B2762" t="s">
        <v>4072</v>
      </c>
      <c r="C2762">
        <v>2</v>
      </c>
      <c r="D2762" t="s">
        <v>4082</v>
      </c>
      <c r="E2762" t="s">
        <v>4083</v>
      </c>
      <c r="F2762" t="s">
        <v>4075</v>
      </c>
    </row>
    <row r="2763" spans="1:6" x14ac:dyDescent="0.25">
      <c r="A2763">
        <v>2992</v>
      </c>
      <c r="B2763" t="s">
        <v>4072</v>
      </c>
      <c r="C2763">
        <v>17</v>
      </c>
      <c r="D2763" t="s">
        <v>4082</v>
      </c>
      <c r="E2763" t="s">
        <v>4084</v>
      </c>
      <c r="F2763" t="s">
        <v>4076</v>
      </c>
    </row>
    <row r="2764" spans="1:6" x14ac:dyDescent="0.25">
      <c r="A2764">
        <v>2992</v>
      </c>
      <c r="B2764" t="s">
        <v>4072</v>
      </c>
      <c r="C2764">
        <v>38</v>
      </c>
      <c r="D2764" t="s">
        <v>2761</v>
      </c>
      <c r="E2764" t="s">
        <v>4089</v>
      </c>
      <c r="F2764" t="s">
        <v>4076</v>
      </c>
    </row>
    <row r="2765" spans="1:6" x14ac:dyDescent="0.25">
      <c r="A2765">
        <v>2992</v>
      </c>
      <c r="B2765" t="s">
        <v>4072</v>
      </c>
      <c r="C2765">
        <v>42</v>
      </c>
      <c r="D2765" t="s">
        <v>4082</v>
      </c>
      <c r="E2765" t="s">
        <v>4083</v>
      </c>
      <c r="F2765" t="s">
        <v>4079</v>
      </c>
    </row>
    <row r="2766" spans="1:6" x14ac:dyDescent="0.25">
      <c r="A2766">
        <v>2992</v>
      </c>
      <c r="B2766" t="s">
        <v>4072</v>
      </c>
      <c r="C2766">
        <v>43</v>
      </c>
      <c r="D2766" t="s">
        <v>2761</v>
      </c>
      <c r="E2766" t="s">
        <v>4089</v>
      </c>
      <c r="F2766" t="s">
        <v>4079</v>
      </c>
    </row>
    <row r="2767" spans="1:6" x14ac:dyDescent="0.25">
      <c r="A2767">
        <v>2993</v>
      </c>
      <c r="B2767" t="s">
        <v>4072</v>
      </c>
      <c r="C2767">
        <v>5</v>
      </c>
      <c r="D2767" t="s">
        <v>4087</v>
      </c>
      <c r="E2767" t="s">
        <v>4088</v>
      </c>
      <c r="F2767" t="s">
        <v>4075</v>
      </c>
    </row>
    <row r="2768" spans="1:6" x14ac:dyDescent="0.25">
      <c r="A2768">
        <v>2993</v>
      </c>
      <c r="B2768" t="s">
        <v>4072</v>
      </c>
      <c r="C2768">
        <v>15</v>
      </c>
      <c r="D2768" t="s">
        <v>4080</v>
      </c>
      <c r="E2768" t="s">
        <v>4081</v>
      </c>
      <c r="F2768" t="s">
        <v>4076</v>
      </c>
    </row>
    <row r="2769" spans="1:6" x14ac:dyDescent="0.25">
      <c r="A2769">
        <v>2993</v>
      </c>
      <c r="B2769" t="s">
        <v>4072</v>
      </c>
      <c r="C2769">
        <v>40</v>
      </c>
      <c r="D2769" t="s">
        <v>4080</v>
      </c>
      <c r="E2769" t="s">
        <v>4081</v>
      </c>
      <c r="F2769" t="s">
        <v>4079</v>
      </c>
    </row>
    <row r="2770" spans="1:6" x14ac:dyDescent="0.25">
      <c r="A2770">
        <v>2994</v>
      </c>
      <c r="B2770" t="s">
        <v>4072</v>
      </c>
      <c r="C2770">
        <v>5</v>
      </c>
      <c r="D2770" t="s">
        <v>4087</v>
      </c>
      <c r="E2770" t="s">
        <v>4088</v>
      </c>
      <c r="F2770" t="s">
        <v>4075</v>
      </c>
    </row>
    <row r="2771" spans="1:6" x14ac:dyDescent="0.25">
      <c r="A2771">
        <v>2994</v>
      </c>
      <c r="B2771" t="s">
        <v>4072</v>
      </c>
      <c r="C2771">
        <v>15</v>
      </c>
      <c r="D2771" t="s">
        <v>4080</v>
      </c>
      <c r="E2771" t="s">
        <v>4081</v>
      </c>
      <c r="F2771" t="s">
        <v>4076</v>
      </c>
    </row>
    <row r="2772" spans="1:6" x14ac:dyDescent="0.25">
      <c r="A2772">
        <v>2994</v>
      </c>
      <c r="B2772" t="s">
        <v>4072</v>
      </c>
      <c r="C2772">
        <v>40</v>
      </c>
      <c r="D2772" t="s">
        <v>4080</v>
      </c>
      <c r="E2772" t="s">
        <v>4081</v>
      </c>
      <c r="F2772" t="s">
        <v>4079</v>
      </c>
    </row>
    <row r="2773" spans="1:6" x14ac:dyDescent="0.25">
      <c r="A2773">
        <v>2995</v>
      </c>
      <c r="B2773" t="s">
        <v>4092</v>
      </c>
      <c r="C2773">
        <v>23</v>
      </c>
      <c r="D2773" t="s">
        <v>2757</v>
      </c>
      <c r="E2773" t="s">
        <v>4093</v>
      </c>
      <c r="F2773" t="s">
        <v>4075</v>
      </c>
    </row>
    <row r="2774" spans="1:6" x14ac:dyDescent="0.25">
      <c r="A2774">
        <v>2995</v>
      </c>
      <c r="B2774" t="s">
        <v>4092</v>
      </c>
      <c r="C2774">
        <v>28</v>
      </c>
      <c r="D2774" t="s">
        <v>2757</v>
      </c>
      <c r="E2774" t="s">
        <v>4093</v>
      </c>
      <c r="F2774" t="s">
        <v>4076</v>
      </c>
    </row>
    <row r="2775" spans="1:6" x14ac:dyDescent="0.25">
      <c r="A2775">
        <v>2995</v>
      </c>
      <c r="B2775" t="s">
        <v>4092</v>
      </c>
      <c r="C2775">
        <v>48</v>
      </c>
      <c r="D2775" t="s">
        <v>2757</v>
      </c>
      <c r="E2775" t="s">
        <v>4093</v>
      </c>
      <c r="F2775" t="s">
        <v>4079</v>
      </c>
    </row>
    <row r="2776" spans="1:6" x14ac:dyDescent="0.25">
      <c r="A2776">
        <v>2996</v>
      </c>
      <c r="B2776" t="s">
        <v>4072</v>
      </c>
      <c r="C2776">
        <v>4</v>
      </c>
      <c r="D2776" t="s">
        <v>4077</v>
      </c>
      <c r="E2776" t="s">
        <v>4078</v>
      </c>
      <c r="F2776" t="s">
        <v>4075</v>
      </c>
    </row>
    <row r="2777" spans="1:6" x14ac:dyDescent="0.25">
      <c r="A2777">
        <v>2996</v>
      </c>
      <c r="B2777" t="s">
        <v>4072</v>
      </c>
      <c r="C2777">
        <v>16</v>
      </c>
      <c r="D2777" t="s">
        <v>4077</v>
      </c>
      <c r="E2777" t="s">
        <v>4078</v>
      </c>
      <c r="F2777" t="s">
        <v>4076</v>
      </c>
    </row>
    <row r="2778" spans="1:6" x14ac:dyDescent="0.25">
      <c r="A2778">
        <v>2997</v>
      </c>
      <c r="B2778" t="s">
        <v>4092</v>
      </c>
      <c r="C2778">
        <v>24</v>
      </c>
      <c r="D2778" t="s">
        <v>2760</v>
      </c>
      <c r="E2778" t="s">
        <v>4108</v>
      </c>
      <c r="F2778" t="s">
        <v>4075</v>
      </c>
    </row>
    <row r="2779" spans="1:6" x14ac:dyDescent="0.25">
      <c r="A2779">
        <v>2997</v>
      </c>
      <c r="B2779" t="s">
        <v>4092</v>
      </c>
      <c r="C2779">
        <v>29</v>
      </c>
      <c r="D2779" t="s">
        <v>2760</v>
      </c>
      <c r="E2779" t="s">
        <v>4108</v>
      </c>
      <c r="F2779" t="s">
        <v>4076</v>
      </c>
    </row>
    <row r="2780" spans="1:6" x14ac:dyDescent="0.25">
      <c r="A2780">
        <v>3000</v>
      </c>
      <c r="B2780" t="s">
        <v>4072</v>
      </c>
      <c r="C2780">
        <v>10</v>
      </c>
      <c r="D2780" t="s">
        <v>4095</v>
      </c>
      <c r="E2780" t="s">
        <v>4096</v>
      </c>
      <c r="F2780" t="s">
        <v>4075</v>
      </c>
    </row>
    <row r="2781" spans="1:6" x14ac:dyDescent="0.25">
      <c r="A2781">
        <v>3002</v>
      </c>
      <c r="B2781" t="s">
        <v>4092</v>
      </c>
      <c r="C2781">
        <v>23</v>
      </c>
      <c r="D2781" t="s">
        <v>2757</v>
      </c>
      <c r="E2781" t="s">
        <v>4093</v>
      </c>
      <c r="F2781" t="s">
        <v>4075</v>
      </c>
    </row>
    <row r="2782" spans="1:6" x14ac:dyDescent="0.25">
      <c r="A2782">
        <v>3002</v>
      </c>
      <c r="B2782" t="s">
        <v>4092</v>
      </c>
      <c r="C2782">
        <v>28</v>
      </c>
      <c r="D2782" t="s">
        <v>2757</v>
      </c>
      <c r="E2782" t="s">
        <v>4093</v>
      </c>
      <c r="F2782" t="s">
        <v>4076</v>
      </c>
    </row>
    <row r="2783" spans="1:6" x14ac:dyDescent="0.25">
      <c r="A2783">
        <v>3004</v>
      </c>
      <c r="B2783" t="s">
        <v>4072</v>
      </c>
      <c r="C2783">
        <v>6</v>
      </c>
      <c r="D2783" t="s">
        <v>4073</v>
      </c>
      <c r="E2783" t="s">
        <v>4074</v>
      </c>
      <c r="F2783" t="s">
        <v>4075</v>
      </c>
    </row>
    <row r="2784" spans="1:6" x14ac:dyDescent="0.25">
      <c r="A2784">
        <v>3004</v>
      </c>
      <c r="B2784" t="s">
        <v>4072</v>
      </c>
      <c r="C2784">
        <v>19</v>
      </c>
      <c r="D2784" t="s">
        <v>4073</v>
      </c>
      <c r="E2784" t="s">
        <v>4074</v>
      </c>
      <c r="F2784" t="s">
        <v>4076</v>
      </c>
    </row>
    <row r="2785" spans="1:6" x14ac:dyDescent="0.25">
      <c r="A2785">
        <v>3005</v>
      </c>
      <c r="B2785" t="s">
        <v>4072</v>
      </c>
      <c r="C2785">
        <v>3</v>
      </c>
      <c r="D2785" t="s">
        <v>4085</v>
      </c>
      <c r="E2785" t="s">
        <v>4086</v>
      </c>
      <c r="F2785" t="s">
        <v>4075</v>
      </c>
    </row>
    <row r="2786" spans="1:6" x14ac:dyDescent="0.25">
      <c r="A2786">
        <v>3005</v>
      </c>
      <c r="B2786" t="s">
        <v>4072</v>
      </c>
      <c r="C2786">
        <v>15</v>
      </c>
      <c r="D2786" t="s">
        <v>4080</v>
      </c>
      <c r="E2786" t="s">
        <v>4081</v>
      </c>
      <c r="F2786" t="s">
        <v>4076</v>
      </c>
    </row>
    <row r="2787" spans="1:6" x14ac:dyDescent="0.25">
      <c r="A2787">
        <v>3006</v>
      </c>
      <c r="B2787" t="s">
        <v>4072</v>
      </c>
      <c r="C2787">
        <v>4</v>
      </c>
      <c r="D2787" t="s">
        <v>4077</v>
      </c>
      <c r="E2787" t="s">
        <v>4078</v>
      </c>
      <c r="F2787" t="s">
        <v>4075</v>
      </c>
    </row>
    <row r="2788" spans="1:6" x14ac:dyDescent="0.25">
      <c r="A2788">
        <v>3006</v>
      </c>
      <c r="B2788" t="s">
        <v>4072</v>
      </c>
      <c r="C2788">
        <v>16</v>
      </c>
      <c r="D2788" t="s">
        <v>4077</v>
      </c>
      <c r="E2788" t="s">
        <v>4078</v>
      </c>
      <c r="F2788" t="s">
        <v>4076</v>
      </c>
    </row>
    <row r="2789" spans="1:6" x14ac:dyDescent="0.25">
      <c r="A2789">
        <v>3007</v>
      </c>
      <c r="B2789" t="s">
        <v>4072</v>
      </c>
      <c r="C2789">
        <v>4</v>
      </c>
      <c r="D2789" t="s">
        <v>4077</v>
      </c>
      <c r="E2789" t="s">
        <v>4078</v>
      </c>
      <c r="F2789" t="s">
        <v>4075</v>
      </c>
    </row>
    <row r="2790" spans="1:6" x14ac:dyDescent="0.25">
      <c r="A2790">
        <v>3007</v>
      </c>
      <c r="B2790" t="s">
        <v>4072</v>
      </c>
      <c r="C2790">
        <v>16</v>
      </c>
      <c r="D2790" t="s">
        <v>4077</v>
      </c>
      <c r="E2790" t="s">
        <v>4078</v>
      </c>
      <c r="F2790" t="s">
        <v>4076</v>
      </c>
    </row>
    <row r="2791" spans="1:6" x14ac:dyDescent="0.25">
      <c r="A2791">
        <v>3008</v>
      </c>
      <c r="B2791" t="s">
        <v>4072</v>
      </c>
      <c r="C2791">
        <v>3</v>
      </c>
      <c r="D2791" t="s">
        <v>4085</v>
      </c>
      <c r="E2791" t="s">
        <v>4086</v>
      </c>
      <c r="F2791" t="s">
        <v>4075</v>
      </c>
    </row>
    <row r="2792" spans="1:6" x14ac:dyDescent="0.25">
      <c r="A2792">
        <v>3008</v>
      </c>
      <c r="B2792" t="s">
        <v>4072</v>
      </c>
      <c r="C2792">
        <v>15</v>
      </c>
      <c r="D2792" t="s">
        <v>4080</v>
      </c>
      <c r="E2792" t="s">
        <v>4081</v>
      </c>
      <c r="F2792" t="s">
        <v>4076</v>
      </c>
    </row>
    <row r="2793" spans="1:6" x14ac:dyDescent="0.25">
      <c r="A2793">
        <v>3010</v>
      </c>
      <c r="B2793" t="s">
        <v>4072</v>
      </c>
      <c r="C2793">
        <v>6</v>
      </c>
      <c r="D2793" t="s">
        <v>4073</v>
      </c>
      <c r="E2793" t="s">
        <v>4074</v>
      </c>
      <c r="F2793" t="s">
        <v>4075</v>
      </c>
    </row>
    <row r="2794" spans="1:6" x14ac:dyDescent="0.25">
      <c r="A2794">
        <v>3010</v>
      </c>
      <c r="B2794" t="s">
        <v>4072</v>
      </c>
      <c r="C2794">
        <v>19</v>
      </c>
      <c r="D2794" t="s">
        <v>4073</v>
      </c>
      <c r="E2794" t="s">
        <v>4074</v>
      </c>
      <c r="F2794" t="s">
        <v>4076</v>
      </c>
    </row>
    <row r="2795" spans="1:6" x14ac:dyDescent="0.25">
      <c r="A2795">
        <v>3011</v>
      </c>
      <c r="B2795" t="s">
        <v>4072</v>
      </c>
      <c r="C2795">
        <v>2</v>
      </c>
      <c r="D2795" t="s">
        <v>4082</v>
      </c>
      <c r="E2795" t="s">
        <v>4083</v>
      </c>
      <c r="F2795" t="s">
        <v>4075</v>
      </c>
    </row>
    <row r="2796" spans="1:6" x14ac:dyDescent="0.25">
      <c r="A2796">
        <v>3011</v>
      </c>
      <c r="B2796" t="s">
        <v>4072</v>
      </c>
      <c r="C2796">
        <v>17</v>
      </c>
      <c r="D2796" t="s">
        <v>4082</v>
      </c>
      <c r="E2796" t="s">
        <v>4084</v>
      </c>
      <c r="F2796" t="s">
        <v>4076</v>
      </c>
    </row>
    <row r="2797" spans="1:6" x14ac:dyDescent="0.25">
      <c r="A2797">
        <v>3012</v>
      </c>
      <c r="B2797" t="s">
        <v>4072</v>
      </c>
      <c r="C2797">
        <v>2</v>
      </c>
      <c r="D2797" t="s">
        <v>4082</v>
      </c>
      <c r="E2797" t="s">
        <v>4083</v>
      </c>
      <c r="F2797" t="s">
        <v>4075</v>
      </c>
    </row>
    <row r="2798" spans="1:6" x14ac:dyDescent="0.25">
      <c r="A2798">
        <v>3012</v>
      </c>
      <c r="B2798" t="s">
        <v>4072</v>
      </c>
      <c r="C2798">
        <v>17</v>
      </c>
      <c r="D2798" t="s">
        <v>4082</v>
      </c>
      <c r="E2798" t="s">
        <v>4084</v>
      </c>
      <c r="F2798" t="s">
        <v>4076</v>
      </c>
    </row>
    <row r="2799" spans="1:6" x14ac:dyDescent="0.25">
      <c r="A2799">
        <v>3013</v>
      </c>
      <c r="B2799" t="s">
        <v>4072</v>
      </c>
      <c r="C2799">
        <v>5</v>
      </c>
      <c r="D2799" t="s">
        <v>4087</v>
      </c>
      <c r="E2799" t="s">
        <v>4088</v>
      </c>
      <c r="F2799" t="s">
        <v>4075</v>
      </c>
    </row>
    <row r="2800" spans="1:6" x14ac:dyDescent="0.25">
      <c r="A2800">
        <v>3013</v>
      </c>
      <c r="B2800" t="s">
        <v>4072</v>
      </c>
      <c r="C2800">
        <v>15</v>
      </c>
      <c r="D2800" t="s">
        <v>4080</v>
      </c>
      <c r="E2800" t="s">
        <v>4081</v>
      </c>
      <c r="F2800" t="s">
        <v>4076</v>
      </c>
    </row>
    <row r="2801" spans="1:6" x14ac:dyDescent="0.25">
      <c r="A2801">
        <v>3014</v>
      </c>
      <c r="B2801" t="s">
        <v>4072</v>
      </c>
      <c r="C2801">
        <v>5</v>
      </c>
      <c r="D2801" t="s">
        <v>4087</v>
      </c>
      <c r="E2801" t="s">
        <v>4088</v>
      </c>
      <c r="F2801" t="s">
        <v>4075</v>
      </c>
    </row>
    <row r="2802" spans="1:6" x14ac:dyDescent="0.25">
      <c r="A2802">
        <v>3014</v>
      </c>
      <c r="B2802" t="s">
        <v>4072</v>
      </c>
      <c r="C2802">
        <v>15</v>
      </c>
      <c r="D2802" t="s">
        <v>4080</v>
      </c>
      <c r="E2802" t="s">
        <v>4081</v>
      </c>
      <c r="F2802" t="s">
        <v>4076</v>
      </c>
    </row>
    <row r="2803" spans="1:6" x14ac:dyDescent="0.25">
      <c r="A2803">
        <v>3014</v>
      </c>
      <c r="B2803" t="s">
        <v>4072</v>
      </c>
      <c r="C2803">
        <v>40</v>
      </c>
      <c r="D2803" t="s">
        <v>4080</v>
      </c>
      <c r="E2803" t="s">
        <v>4081</v>
      </c>
      <c r="F2803" t="s">
        <v>4079</v>
      </c>
    </row>
    <row r="2804" spans="1:6" x14ac:dyDescent="0.25">
      <c r="A2804">
        <v>3016</v>
      </c>
      <c r="B2804" t="s">
        <v>4072</v>
      </c>
      <c r="C2804">
        <v>3</v>
      </c>
      <c r="D2804" t="s">
        <v>4085</v>
      </c>
      <c r="E2804" t="s">
        <v>4086</v>
      </c>
      <c r="F2804" t="s">
        <v>4075</v>
      </c>
    </row>
    <row r="2805" spans="1:6" x14ac:dyDescent="0.25">
      <c r="A2805">
        <v>3016</v>
      </c>
      <c r="B2805" t="s">
        <v>4072</v>
      </c>
      <c r="C2805">
        <v>15</v>
      </c>
      <c r="D2805" t="s">
        <v>4080</v>
      </c>
      <c r="E2805" t="s">
        <v>4081</v>
      </c>
      <c r="F2805" t="s">
        <v>4076</v>
      </c>
    </row>
    <row r="2806" spans="1:6" x14ac:dyDescent="0.25">
      <c r="A2806">
        <v>3017</v>
      </c>
      <c r="B2806" t="s">
        <v>4072</v>
      </c>
      <c r="C2806">
        <v>10</v>
      </c>
      <c r="D2806" t="s">
        <v>4095</v>
      </c>
      <c r="E2806" t="s">
        <v>4096</v>
      </c>
      <c r="F2806" t="s">
        <v>4075</v>
      </c>
    </row>
    <row r="2807" spans="1:6" x14ac:dyDescent="0.25">
      <c r="A2807">
        <v>3018</v>
      </c>
      <c r="B2807" t="s">
        <v>4092</v>
      </c>
      <c r="C2807">
        <v>33</v>
      </c>
      <c r="D2807" t="s">
        <v>4109</v>
      </c>
      <c r="E2807" t="s">
        <v>4110</v>
      </c>
      <c r="F2807" t="s">
        <v>4075</v>
      </c>
    </row>
    <row r="2808" spans="1:6" x14ac:dyDescent="0.25">
      <c r="A2808">
        <v>3018</v>
      </c>
      <c r="B2808" t="s">
        <v>4092</v>
      </c>
      <c r="C2808">
        <v>34</v>
      </c>
      <c r="D2808" t="s">
        <v>4109</v>
      </c>
      <c r="E2808" t="s">
        <v>4110</v>
      </c>
      <c r="F2808" t="s">
        <v>4076</v>
      </c>
    </row>
    <row r="2809" spans="1:6" x14ac:dyDescent="0.25">
      <c r="A2809">
        <v>3020</v>
      </c>
      <c r="B2809" t="s">
        <v>4092</v>
      </c>
      <c r="C2809">
        <v>24</v>
      </c>
      <c r="D2809" t="s">
        <v>2760</v>
      </c>
      <c r="E2809" t="s">
        <v>4108</v>
      </c>
      <c r="F2809" t="s">
        <v>4075</v>
      </c>
    </row>
    <row r="2810" spans="1:6" x14ac:dyDescent="0.25">
      <c r="A2810">
        <v>3020</v>
      </c>
      <c r="B2810" t="s">
        <v>4092</v>
      </c>
      <c r="C2810">
        <v>29</v>
      </c>
      <c r="D2810" t="s">
        <v>2760</v>
      </c>
      <c r="E2810" t="s">
        <v>4108</v>
      </c>
      <c r="F2810" t="s">
        <v>4076</v>
      </c>
    </row>
    <row r="2811" spans="1:6" x14ac:dyDescent="0.25">
      <c r="A2811">
        <v>3023</v>
      </c>
      <c r="B2811" t="s">
        <v>4072</v>
      </c>
      <c r="C2811">
        <v>6</v>
      </c>
      <c r="D2811" t="s">
        <v>4073</v>
      </c>
      <c r="E2811" t="s">
        <v>4074</v>
      </c>
      <c r="F2811" t="s">
        <v>4075</v>
      </c>
    </row>
    <row r="2812" spans="1:6" x14ac:dyDescent="0.25">
      <c r="A2812">
        <v>3023</v>
      </c>
      <c r="B2812" t="s">
        <v>4072</v>
      </c>
      <c r="C2812">
        <v>19</v>
      </c>
      <c r="D2812" t="s">
        <v>4073</v>
      </c>
      <c r="E2812" t="s">
        <v>4074</v>
      </c>
      <c r="F2812" t="s">
        <v>4076</v>
      </c>
    </row>
    <row r="2813" spans="1:6" x14ac:dyDescent="0.25">
      <c r="A2813">
        <v>3024</v>
      </c>
      <c r="B2813" t="s">
        <v>4072</v>
      </c>
      <c r="C2813">
        <v>2</v>
      </c>
      <c r="D2813" t="s">
        <v>4082</v>
      </c>
      <c r="E2813" t="s">
        <v>4083</v>
      </c>
      <c r="F2813" t="s">
        <v>4075</v>
      </c>
    </row>
    <row r="2814" spans="1:6" x14ac:dyDescent="0.25">
      <c r="A2814">
        <v>3024</v>
      </c>
      <c r="B2814" t="s">
        <v>4072</v>
      </c>
      <c r="C2814">
        <v>17</v>
      </c>
      <c r="D2814" t="s">
        <v>4082</v>
      </c>
      <c r="E2814" t="s">
        <v>4084</v>
      </c>
      <c r="F2814" t="s">
        <v>4076</v>
      </c>
    </row>
    <row r="2815" spans="1:6" x14ac:dyDescent="0.25">
      <c r="A2815">
        <v>3025</v>
      </c>
      <c r="B2815" t="s">
        <v>4072</v>
      </c>
      <c r="C2815">
        <v>1</v>
      </c>
      <c r="D2815" t="s">
        <v>2761</v>
      </c>
      <c r="E2815" t="s">
        <v>4089</v>
      </c>
      <c r="F2815" t="s">
        <v>4075</v>
      </c>
    </row>
    <row r="2816" spans="1:6" x14ac:dyDescent="0.25">
      <c r="A2816">
        <v>3025</v>
      </c>
      <c r="B2816" t="s">
        <v>4072</v>
      </c>
      <c r="C2816">
        <v>2</v>
      </c>
      <c r="D2816" t="s">
        <v>4082</v>
      </c>
      <c r="E2816" t="s">
        <v>4083</v>
      </c>
      <c r="F2816" t="s">
        <v>4075</v>
      </c>
    </row>
    <row r="2817" spans="1:6" x14ac:dyDescent="0.25">
      <c r="A2817">
        <v>3025</v>
      </c>
      <c r="B2817" t="s">
        <v>4072</v>
      </c>
      <c r="C2817">
        <v>17</v>
      </c>
      <c r="D2817" t="s">
        <v>4082</v>
      </c>
      <c r="E2817" t="s">
        <v>4084</v>
      </c>
      <c r="F2817" t="s">
        <v>4076</v>
      </c>
    </row>
    <row r="2818" spans="1:6" x14ac:dyDescent="0.25">
      <c r="A2818">
        <v>3025</v>
      </c>
      <c r="B2818" t="s">
        <v>4072</v>
      </c>
      <c r="C2818">
        <v>38</v>
      </c>
      <c r="D2818" t="s">
        <v>2761</v>
      </c>
      <c r="E2818" t="s">
        <v>4089</v>
      </c>
      <c r="F2818" t="s">
        <v>4076</v>
      </c>
    </row>
    <row r="2819" spans="1:6" x14ac:dyDescent="0.25">
      <c r="A2819">
        <v>3026</v>
      </c>
      <c r="B2819" t="s">
        <v>4072</v>
      </c>
      <c r="C2819">
        <v>3</v>
      </c>
      <c r="D2819" t="s">
        <v>4085</v>
      </c>
      <c r="E2819" t="s">
        <v>4086</v>
      </c>
      <c r="F2819" t="s">
        <v>4075</v>
      </c>
    </row>
    <row r="2820" spans="1:6" x14ac:dyDescent="0.25">
      <c r="A2820">
        <v>3026</v>
      </c>
      <c r="B2820" t="s">
        <v>4072</v>
      </c>
      <c r="C2820">
        <v>15</v>
      </c>
      <c r="D2820" t="s">
        <v>4080</v>
      </c>
      <c r="E2820" t="s">
        <v>4081</v>
      </c>
      <c r="F2820" t="s">
        <v>4076</v>
      </c>
    </row>
    <row r="2821" spans="1:6" x14ac:dyDescent="0.25">
      <c r="A2821">
        <v>3027</v>
      </c>
      <c r="B2821" t="s">
        <v>4072</v>
      </c>
      <c r="C2821">
        <v>4</v>
      </c>
      <c r="D2821" t="s">
        <v>4077</v>
      </c>
      <c r="E2821" t="s">
        <v>4078</v>
      </c>
      <c r="F2821" t="s">
        <v>4075</v>
      </c>
    </row>
    <row r="2822" spans="1:6" x14ac:dyDescent="0.25">
      <c r="A2822">
        <v>3027</v>
      </c>
      <c r="B2822" t="s">
        <v>4072</v>
      </c>
      <c r="C2822">
        <v>16</v>
      </c>
      <c r="D2822" t="s">
        <v>4077</v>
      </c>
      <c r="E2822" t="s">
        <v>4078</v>
      </c>
      <c r="F2822" t="s">
        <v>4076</v>
      </c>
    </row>
    <row r="2823" spans="1:6" x14ac:dyDescent="0.25">
      <c r="A2823">
        <v>3028</v>
      </c>
      <c r="B2823" t="s">
        <v>4072</v>
      </c>
      <c r="C2823">
        <v>5</v>
      </c>
      <c r="D2823" t="s">
        <v>4087</v>
      </c>
      <c r="E2823" t="s">
        <v>4088</v>
      </c>
      <c r="F2823" t="s">
        <v>4075</v>
      </c>
    </row>
    <row r="2824" spans="1:6" x14ac:dyDescent="0.25">
      <c r="A2824">
        <v>3028</v>
      </c>
      <c r="B2824" t="s">
        <v>4072</v>
      </c>
      <c r="C2824">
        <v>15</v>
      </c>
      <c r="D2824" t="s">
        <v>4080</v>
      </c>
      <c r="E2824" t="s">
        <v>4081</v>
      </c>
      <c r="F2824" t="s">
        <v>4076</v>
      </c>
    </row>
    <row r="2825" spans="1:6" x14ac:dyDescent="0.25">
      <c r="A2825">
        <v>3029</v>
      </c>
      <c r="B2825" t="s">
        <v>4072</v>
      </c>
      <c r="C2825">
        <v>5</v>
      </c>
      <c r="D2825" t="s">
        <v>4087</v>
      </c>
      <c r="E2825" t="s">
        <v>4088</v>
      </c>
      <c r="F2825" t="s">
        <v>4075</v>
      </c>
    </row>
    <row r="2826" spans="1:6" x14ac:dyDescent="0.25">
      <c r="A2826">
        <v>3029</v>
      </c>
      <c r="B2826" t="s">
        <v>4072</v>
      </c>
      <c r="C2826">
        <v>15</v>
      </c>
      <c r="D2826" t="s">
        <v>4080</v>
      </c>
      <c r="E2826" t="s">
        <v>4081</v>
      </c>
      <c r="F2826" t="s">
        <v>4076</v>
      </c>
    </row>
    <row r="2827" spans="1:6" x14ac:dyDescent="0.25">
      <c r="A2827">
        <v>3029</v>
      </c>
      <c r="B2827" t="s">
        <v>4072</v>
      </c>
      <c r="C2827">
        <v>40</v>
      </c>
      <c r="D2827" t="s">
        <v>4080</v>
      </c>
      <c r="E2827" t="s">
        <v>4081</v>
      </c>
      <c r="F2827" t="s">
        <v>4079</v>
      </c>
    </row>
    <row r="2828" spans="1:6" x14ac:dyDescent="0.25">
      <c r="A2828">
        <v>3030</v>
      </c>
      <c r="B2828" t="s">
        <v>4072</v>
      </c>
      <c r="C2828">
        <v>5</v>
      </c>
      <c r="D2828" t="s">
        <v>4087</v>
      </c>
      <c r="E2828" t="s">
        <v>4088</v>
      </c>
      <c r="F2828" t="s">
        <v>4075</v>
      </c>
    </row>
    <row r="2829" spans="1:6" x14ac:dyDescent="0.25">
      <c r="A2829">
        <v>3030</v>
      </c>
      <c r="B2829" t="s">
        <v>4072</v>
      </c>
      <c r="C2829">
        <v>15</v>
      </c>
      <c r="D2829" t="s">
        <v>4080</v>
      </c>
      <c r="E2829" t="s">
        <v>4081</v>
      </c>
      <c r="F2829" t="s">
        <v>4076</v>
      </c>
    </row>
    <row r="2830" spans="1:6" x14ac:dyDescent="0.25">
      <c r="A2830">
        <v>3031</v>
      </c>
      <c r="B2830" t="s">
        <v>4072</v>
      </c>
      <c r="C2830">
        <v>5</v>
      </c>
      <c r="D2830" t="s">
        <v>4087</v>
      </c>
      <c r="E2830" t="s">
        <v>4088</v>
      </c>
      <c r="F2830" t="s">
        <v>4075</v>
      </c>
    </row>
    <row r="2831" spans="1:6" x14ac:dyDescent="0.25">
      <c r="A2831">
        <v>3031</v>
      </c>
      <c r="B2831" t="s">
        <v>4072</v>
      </c>
      <c r="C2831">
        <v>15</v>
      </c>
      <c r="D2831" t="s">
        <v>4080</v>
      </c>
      <c r="E2831" t="s">
        <v>4081</v>
      </c>
      <c r="F2831" t="s">
        <v>4076</v>
      </c>
    </row>
    <row r="2832" spans="1:6" x14ac:dyDescent="0.25">
      <c r="A2832">
        <v>3031</v>
      </c>
      <c r="B2832" t="s">
        <v>4072</v>
      </c>
      <c r="C2832">
        <v>40</v>
      </c>
      <c r="D2832" t="s">
        <v>4080</v>
      </c>
      <c r="E2832" t="s">
        <v>4081</v>
      </c>
      <c r="F2832" t="s">
        <v>4079</v>
      </c>
    </row>
    <row r="2833" spans="1:6" x14ac:dyDescent="0.25">
      <c r="A2833">
        <v>3032</v>
      </c>
      <c r="B2833" t="s">
        <v>4072</v>
      </c>
      <c r="C2833">
        <v>5</v>
      </c>
      <c r="D2833" t="s">
        <v>4087</v>
      </c>
      <c r="E2833" t="s">
        <v>4088</v>
      </c>
      <c r="F2833" t="s">
        <v>4075</v>
      </c>
    </row>
    <row r="2834" spans="1:6" x14ac:dyDescent="0.25">
      <c r="A2834">
        <v>3032</v>
      </c>
      <c r="B2834" t="s">
        <v>4072</v>
      </c>
      <c r="C2834">
        <v>15</v>
      </c>
      <c r="D2834" t="s">
        <v>4080</v>
      </c>
      <c r="E2834" t="s">
        <v>4081</v>
      </c>
      <c r="F2834" t="s">
        <v>4076</v>
      </c>
    </row>
    <row r="2835" spans="1:6" x14ac:dyDescent="0.25">
      <c r="A2835">
        <v>3033</v>
      </c>
      <c r="B2835" t="s">
        <v>4092</v>
      </c>
      <c r="C2835">
        <v>23</v>
      </c>
      <c r="D2835" t="s">
        <v>2757</v>
      </c>
      <c r="E2835" t="s">
        <v>4093</v>
      </c>
      <c r="F2835" t="s">
        <v>4075</v>
      </c>
    </row>
    <row r="2836" spans="1:6" x14ac:dyDescent="0.25">
      <c r="A2836">
        <v>3033</v>
      </c>
      <c r="B2836" t="s">
        <v>4092</v>
      </c>
      <c r="C2836">
        <v>28</v>
      </c>
      <c r="D2836" t="s">
        <v>2757</v>
      </c>
      <c r="E2836" t="s">
        <v>4093</v>
      </c>
      <c r="F2836" t="s">
        <v>4076</v>
      </c>
    </row>
    <row r="2837" spans="1:6" x14ac:dyDescent="0.25">
      <c r="A2837">
        <v>3033</v>
      </c>
      <c r="B2837" t="s">
        <v>4092</v>
      </c>
      <c r="C2837">
        <v>48</v>
      </c>
      <c r="D2837" t="s">
        <v>2757</v>
      </c>
      <c r="E2837" t="s">
        <v>4093</v>
      </c>
      <c r="F2837" t="s">
        <v>4079</v>
      </c>
    </row>
    <row r="2838" spans="1:6" x14ac:dyDescent="0.25">
      <c r="A2838">
        <v>3034</v>
      </c>
      <c r="B2838" t="s">
        <v>4092</v>
      </c>
      <c r="C2838">
        <v>23</v>
      </c>
      <c r="D2838" t="s">
        <v>2757</v>
      </c>
      <c r="E2838" t="s">
        <v>4093</v>
      </c>
      <c r="F2838" t="s">
        <v>4075</v>
      </c>
    </row>
    <row r="2839" spans="1:6" x14ac:dyDescent="0.25">
      <c r="A2839">
        <v>3034</v>
      </c>
      <c r="B2839" t="s">
        <v>4092</v>
      </c>
      <c r="C2839">
        <v>28</v>
      </c>
      <c r="D2839" t="s">
        <v>2757</v>
      </c>
      <c r="E2839" t="s">
        <v>4093</v>
      </c>
      <c r="F2839" t="s">
        <v>4076</v>
      </c>
    </row>
    <row r="2840" spans="1:6" x14ac:dyDescent="0.25">
      <c r="A2840">
        <v>3035</v>
      </c>
      <c r="B2840" t="s">
        <v>4092</v>
      </c>
      <c r="C2840">
        <v>25</v>
      </c>
      <c r="D2840" t="s">
        <v>4102</v>
      </c>
      <c r="E2840" t="s">
        <v>4103</v>
      </c>
      <c r="F2840" t="s">
        <v>4075</v>
      </c>
    </row>
    <row r="2841" spans="1:6" x14ac:dyDescent="0.25">
      <c r="A2841">
        <v>3035</v>
      </c>
      <c r="B2841" t="s">
        <v>4092</v>
      </c>
      <c r="C2841">
        <v>30</v>
      </c>
      <c r="D2841" t="s">
        <v>4102</v>
      </c>
      <c r="E2841" t="s">
        <v>4103</v>
      </c>
      <c r="F2841" t="s">
        <v>4076</v>
      </c>
    </row>
    <row r="2842" spans="1:6" x14ac:dyDescent="0.25">
      <c r="A2842">
        <v>3036</v>
      </c>
      <c r="B2842" t="s">
        <v>4092</v>
      </c>
      <c r="C2842">
        <v>23</v>
      </c>
      <c r="D2842" t="s">
        <v>2757</v>
      </c>
      <c r="E2842" t="s">
        <v>4093</v>
      </c>
      <c r="F2842" t="s">
        <v>4075</v>
      </c>
    </row>
    <row r="2843" spans="1:6" x14ac:dyDescent="0.25">
      <c r="A2843">
        <v>3036</v>
      </c>
      <c r="B2843" t="s">
        <v>4092</v>
      </c>
      <c r="C2843">
        <v>28</v>
      </c>
      <c r="D2843" t="s">
        <v>2757</v>
      </c>
      <c r="E2843" t="s">
        <v>4093</v>
      </c>
      <c r="F2843" t="s">
        <v>4076</v>
      </c>
    </row>
    <row r="2844" spans="1:6" x14ac:dyDescent="0.25">
      <c r="A2844">
        <v>3037</v>
      </c>
      <c r="B2844" t="s">
        <v>4092</v>
      </c>
      <c r="C2844">
        <v>23</v>
      </c>
      <c r="D2844" t="s">
        <v>2757</v>
      </c>
      <c r="E2844" t="s">
        <v>4093</v>
      </c>
      <c r="F2844" t="s">
        <v>4075</v>
      </c>
    </row>
    <row r="2845" spans="1:6" x14ac:dyDescent="0.25">
      <c r="A2845">
        <v>3037</v>
      </c>
      <c r="B2845" t="s">
        <v>4092</v>
      </c>
      <c r="C2845">
        <v>28</v>
      </c>
      <c r="D2845" t="s">
        <v>2757</v>
      </c>
      <c r="E2845" t="s">
        <v>4093</v>
      </c>
      <c r="F2845" t="s">
        <v>4076</v>
      </c>
    </row>
    <row r="2846" spans="1:6" x14ac:dyDescent="0.25">
      <c r="A2846">
        <v>3038</v>
      </c>
      <c r="B2846" t="s">
        <v>4092</v>
      </c>
      <c r="C2846">
        <v>32</v>
      </c>
      <c r="D2846" t="s">
        <v>4106</v>
      </c>
      <c r="E2846" t="s">
        <v>4107</v>
      </c>
      <c r="F2846" t="s">
        <v>4076</v>
      </c>
    </row>
    <row r="2847" spans="1:6" x14ac:dyDescent="0.25">
      <c r="A2847">
        <v>3039</v>
      </c>
      <c r="B2847" t="s">
        <v>4072</v>
      </c>
      <c r="C2847">
        <v>10</v>
      </c>
      <c r="D2847" t="s">
        <v>4095</v>
      </c>
      <c r="E2847" t="s">
        <v>4096</v>
      </c>
      <c r="F2847" t="s">
        <v>4075</v>
      </c>
    </row>
    <row r="2848" spans="1:6" x14ac:dyDescent="0.25">
      <c r="A2848">
        <v>3040</v>
      </c>
      <c r="B2848" t="s">
        <v>4092</v>
      </c>
      <c r="C2848">
        <v>33</v>
      </c>
      <c r="D2848" t="s">
        <v>4109</v>
      </c>
      <c r="E2848" t="s">
        <v>4110</v>
      </c>
      <c r="F2848" t="s">
        <v>4075</v>
      </c>
    </row>
    <row r="2849" spans="1:6" x14ac:dyDescent="0.25">
      <c r="A2849">
        <v>3040</v>
      </c>
      <c r="B2849" t="s">
        <v>4092</v>
      </c>
      <c r="C2849">
        <v>34</v>
      </c>
      <c r="D2849" t="s">
        <v>4109</v>
      </c>
      <c r="E2849" t="s">
        <v>4110</v>
      </c>
      <c r="F2849" t="s">
        <v>4076</v>
      </c>
    </row>
    <row r="2850" spans="1:6" x14ac:dyDescent="0.25">
      <c r="A2850">
        <v>3041</v>
      </c>
      <c r="B2850" t="s">
        <v>4072</v>
      </c>
      <c r="C2850">
        <v>6</v>
      </c>
      <c r="D2850" t="s">
        <v>4073</v>
      </c>
      <c r="E2850" t="s">
        <v>4074</v>
      </c>
      <c r="F2850" t="s">
        <v>4075</v>
      </c>
    </row>
    <row r="2851" spans="1:6" x14ac:dyDescent="0.25">
      <c r="A2851">
        <v>3041</v>
      </c>
      <c r="B2851" t="s">
        <v>4072</v>
      </c>
      <c r="C2851">
        <v>19</v>
      </c>
      <c r="D2851" t="s">
        <v>4073</v>
      </c>
      <c r="E2851" t="s">
        <v>4074</v>
      </c>
      <c r="F2851" t="s">
        <v>4076</v>
      </c>
    </row>
    <row r="2852" spans="1:6" x14ac:dyDescent="0.25">
      <c r="A2852">
        <v>3042</v>
      </c>
      <c r="B2852" t="s">
        <v>4072</v>
      </c>
      <c r="C2852">
        <v>5</v>
      </c>
      <c r="D2852" t="s">
        <v>4087</v>
      </c>
      <c r="E2852" t="s">
        <v>4088</v>
      </c>
      <c r="F2852" t="s">
        <v>4075</v>
      </c>
    </row>
    <row r="2853" spans="1:6" x14ac:dyDescent="0.25">
      <c r="A2853">
        <v>3042</v>
      </c>
      <c r="B2853" t="s">
        <v>4072</v>
      </c>
      <c r="C2853">
        <v>15</v>
      </c>
      <c r="D2853" t="s">
        <v>4080</v>
      </c>
      <c r="E2853" t="s">
        <v>4081</v>
      </c>
      <c r="F2853" t="s">
        <v>4076</v>
      </c>
    </row>
    <row r="2854" spans="1:6" x14ac:dyDescent="0.25">
      <c r="A2854">
        <v>3043</v>
      </c>
      <c r="B2854" t="s">
        <v>4072</v>
      </c>
      <c r="C2854">
        <v>5</v>
      </c>
      <c r="D2854" t="s">
        <v>4087</v>
      </c>
      <c r="E2854" t="s">
        <v>4088</v>
      </c>
      <c r="F2854" t="s">
        <v>4075</v>
      </c>
    </row>
    <row r="2855" spans="1:6" x14ac:dyDescent="0.25">
      <c r="A2855">
        <v>3043</v>
      </c>
      <c r="B2855" t="s">
        <v>4072</v>
      </c>
      <c r="C2855">
        <v>15</v>
      </c>
      <c r="D2855" t="s">
        <v>4080</v>
      </c>
      <c r="E2855" t="s">
        <v>4081</v>
      </c>
      <c r="F2855" t="s">
        <v>4076</v>
      </c>
    </row>
    <row r="2856" spans="1:6" x14ac:dyDescent="0.25">
      <c r="A2856">
        <v>3044</v>
      </c>
      <c r="B2856" t="s">
        <v>4072</v>
      </c>
      <c r="C2856">
        <v>4</v>
      </c>
      <c r="D2856" t="s">
        <v>4077</v>
      </c>
      <c r="E2856" t="s">
        <v>4078</v>
      </c>
      <c r="F2856" t="s">
        <v>4075</v>
      </c>
    </row>
    <row r="2857" spans="1:6" x14ac:dyDescent="0.25">
      <c r="A2857">
        <v>3044</v>
      </c>
      <c r="B2857" t="s">
        <v>4072</v>
      </c>
      <c r="C2857">
        <v>16</v>
      </c>
      <c r="D2857" t="s">
        <v>4077</v>
      </c>
      <c r="E2857" t="s">
        <v>4078</v>
      </c>
      <c r="F2857" t="s">
        <v>4076</v>
      </c>
    </row>
    <row r="2858" spans="1:6" x14ac:dyDescent="0.25">
      <c r="A2858">
        <v>3045</v>
      </c>
      <c r="B2858" t="s">
        <v>4072</v>
      </c>
      <c r="C2858">
        <v>1</v>
      </c>
      <c r="D2858" t="s">
        <v>2761</v>
      </c>
      <c r="E2858" t="s">
        <v>4089</v>
      </c>
      <c r="F2858" t="s">
        <v>4075</v>
      </c>
    </row>
    <row r="2859" spans="1:6" x14ac:dyDescent="0.25">
      <c r="A2859">
        <v>3045</v>
      </c>
      <c r="B2859" t="s">
        <v>4072</v>
      </c>
      <c r="C2859">
        <v>2</v>
      </c>
      <c r="D2859" t="s">
        <v>4082</v>
      </c>
      <c r="E2859" t="s">
        <v>4083</v>
      </c>
      <c r="F2859" t="s">
        <v>4075</v>
      </c>
    </row>
    <row r="2860" spans="1:6" x14ac:dyDescent="0.25">
      <c r="A2860">
        <v>3045</v>
      </c>
      <c r="B2860" t="s">
        <v>4072</v>
      </c>
      <c r="C2860">
        <v>17</v>
      </c>
      <c r="D2860" t="s">
        <v>4082</v>
      </c>
      <c r="E2860" t="s">
        <v>4084</v>
      </c>
      <c r="F2860" t="s">
        <v>4076</v>
      </c>
    </row>
    <row r="2861" spans="1:6" x14ac:dyDescent="0.25">
      <c r="A2861">
        <v>3045</v>
      </c>
      <c r="B2861" t="s">
        <v>4072</v>
      </c>
      <c r="C2861">
        <v>38</v>
      </c>
      <c r="D2861" t="s">
        <v>2761</v>
      </c>
      <c r="E2861" t="s">
        <v>4089</v>
      </c>
      <c r="F2861" t="s">
        <v>4076</v>
      </c>
    </row>
    <row r="2862" spans="1:6" x14ac:dyDescent="0.25">
      <c r="A2862">
        <v>3046</v>
      </c>
      <c r="B2862" t="s">
        <v>4072</v>
      </c>
      <c r="C2862">
        <v>10</v>
      </c>
      <c r="D2862" t="s">
        <v>4095</v>
      </c>
      <c r="E2862" t="s">
        <v>4096</v>
      </c>
      <c r="F2862" t="s">
        <v>4075</v>
      </c>
    </row>
    <row r="2863" spans="1:6" x14ac:dyDescent="0.25">
      <c r="A2863">
        <v>3048</v>
      </c>
      <c r="B2863" t="s">
        <v>4072</v>
      </c>
      <c r="C2863">
        <v>4</v>
      </c>
      <c r="D2863" t="s">
        <v>4077</v>
      </c>
      <c r="E2863" t="s">
        <v>4078</v>
      </c>
      <c r="F2863" t="s">
        <v>4075</v>
      </c>
    </row>
    <row r="2864" spans="1:6" x14ac:dyDescent="0.25">
      <c r="A2864">
        <v>3048</v>
      </c>
      <c r="B2864" t="s">
        <v>4072</v>
      </c>
      <c r="C2864">
        <v>16</v>
      </c>
      <c r="D2864" t="s">
        <v>4077</v>
      </c>
      <c r="E2864" t="s">
        <v>4078</v>
      </c>
      <c r="F2864" t="s">
        <v>4076</v>
      </c>
    </row>
    <row r="2865" spans="1:6" x14ac:dyDescent="0.25">
      <c r="A2865">
        <v>3048</v>
      </c>
      <c r="B2865" t="s">
        <v>4072</v>
      </c>
      <c r="C2865">
        <v>44</v>
      </c>
      <c r="D2865" t="s">
        <v>4077</v>
      </c>
      <c r="E2865" t="s">
        <v>4078</v>
      </c>
      <c r="F2865" t="s">
        <v>4079</v>
      </c>
    </row>
    <row r="2866" spans="1:6" x14ac:dyDescent="0.25">
      <c r="A2866">
        <v>3049</v>
      </c>
      <c r="B2866" t="s">
        <v>4072</v>
      </c>
      <c r="C2866">
        <v>4</v>
      </c>
      <c r="D2866" t="s">
        <v>4077</v>
      </c>
      <c r="E2866" t="s">
        <v>4078</v>
      </c>
      <c r="F2866" t="s">
        <v>4075</v>
      </c>
    </row>
    <row r="2867" spans="1:6" x14ac:dyDescent="0.25">
      <c r="A2867">
        <v>3049</v>
      </c>
      <c r="B2867" t="s">
        <v>4072</v>
      </c>
      <c r="C2867">
        <v>16</v>
      </c>
      <c r="D2867" t="s">
        <v>4077</v>
      </c>
      <c r="E2867" t="s">
        <v>4078</v>
      </c>
      <c r="F2867" t="s">
        <v>4076</v>
      </c>
    </row>
    <row r="2868" spans="1:6" x14ac:dyDescent="0.25">
      <c r="A2868">
        <v>3049</v>
      </c>
      <c r="B2868" t="s">
        <v>4072</v>
      </c>
      <c r="C2868">
        <v>44</v>
      </c>
      <c r="D2868" t="s">
        <v>4077</v>
      </c>
      <c r="E2868" t="s">
        <v>4078</v>
      </c>
      <c r="F2868" t="s">
        <v>4079</v>
      </c>
    </row>
    <row r="2869" spans="1:6" x14ac:dyDescent="0.25">
      <c r="A2869">
        <v>3050</v>
      </c>
      <c r="B2869" t="s">
        <v>4092</v>
      </c>
      <c r="C2869">
        <v>25</v>
      </c>
      <c r="D2869" t="s">
        <v>4102</v>
      </c>
      <c r="E2869" t="s">
        <v>4103</v>
      </c>
      <c r="F2869" t="s">
        <v>4075</v>
      </c>
    </row>
    <row r="2870" spans="1:6" x14ac:dyDescent="0.25">
      <c r="A2870">
        <v>3050</v>
      </c>
      <c r="B2870" t="s">
        <v>4092</v>
      </c>
      <c r="C2870">
        <v>30</v>
      </c>
      <c r="D2870" t="s">
        <v>4102</v>
      </c>
      <c r="E2870" t="s">
        <v>4103</v>
      </c>
      <c r="F2870" t="s">
        <v>4076</v>
      </c>
    </row>
    <row r="2871" spans="1:6" x14ac:dyDescent="0.25">
      <c r="A2871">
        <v>3050</v>
      </c>
      <c r="B2871" t="s">
        <v>4092</v>
      </c>
      <c r="C2871">
        <v>50</v>
      </c>
      <c r="D2871" t="s">
        <v>4102</v>
      </c>
      <c r="E2871" t="s">
        <v>4103</v>
      </c>
      <c r="F2871" t="s">
        <v>4079</v>
      </c>
    </row>
    <row r="2872" spans="1:6" x14ac:dyDescent="0.25">
      <c r="A2872">
        <v>3051</v>
      </c>
      <c r="B2872" t="s">
        <v>4092</v>
      </c>
      <c r="C2872">
        <v>23</v>
      </c>
      <c r="D2872" t="s">
        <v>2757</v>
      </c>
      <c r="E2872" t="s">
        <v>4093</v>
      </c>
      <c r="F2872" t="s">
        <v>4075</v>
      </c>
    </row>
    <row r="2873" spans="1:6" x14ac:dyDescent="0.25">
      <c r="A2873">
        <v>3051</v>
      </c>
      <c r="B2873" t="s">
        <v>4092</v>
      </c>
      <c r="C2873">
        <v>28</v>
      </c>
      <c r="D2873" t="s">
        <v>2757</v>
      </c>
      <c r="E2873" t="s">
        <v>4093</v>
      </c>
      <c r="F2873" t="s">
        <v>4076</v>
      </c>
    </row>
    <row r="2874" spans="1:6" x14ac:dyDescent="0.25">
      <c r="A2874">
        <v>3051</v>
      </c>
      <c r="B2874" t="s">
        <v>4092</v>
      </c>
      <c r="C2874">
        <v>48</v>
      </c>
      <c r="D2874" t="s">
        <v>2757</v>
      </c>
      <c r="E2874" t="s">
        <v>4093</v>
      </c>
      <c r="F2874" t="s">
        <v>4079</v>
      </c>
    </row>
    <row r="2875" spans="1:6" x14ac:dyDescent="0.25">
      <c r="A2875">
        <v>3052</v>
      </c>
      <c r="B2875" t="s">
        <v>4092</v>
      </c>
      <c r="C2875">
        <v>33</v>
      </c>
      <c r="D2875" t="s">
        <v>4109</v>
      </c>
      <c r="E2875" t="s">
        <v>4110</v>
      </c>
      <c r="F2875" t="s">
        <v>4075</v>
      </c>
    </row>
    <row r="2876" spans="1:6" x14ac:dyDescent="0.25">
      <c r="A2876">
        <v>3052</v>
      </c>
      <c r="B2876" t="s">
        <v>4092</v>
      </c>
      <c r="C2876">
        <v>34</v>
      </c>
      <c r="D2876" t="s">
        <v>4109</v>
      </c>
      <c r="E2876" t="s">
        <v>4110</v>
      </c>
      <c r="F2876" t="s">
        <v>4076</v>
      </c>
    </row>
    <row r="2877" spans="1:6" x14ac:dyDescent="0.25">
      <c r="A2877">
        <v>3053</v>
      </c>
      <c r="B2877" t="s">
        <v>4072</v>
      </c>
      <c r="C2877">
        <v>10</v>
      </c>
      <c r="D2877" t="s">
        <v>4095</v>
      </c>
      <c r="E2877" t="s">
        <v>4096</v>
      </c>
      <c r="F2877" t="s">
        <v>4075</v>
      </c>
    </row>
    <row r="2878" spans="1:6" x14ac:dyDescent="0.25">
      <c r="A2878">
        <v>3054</v>
      </c>
      <c r="B2878" t="s">
        <v>4072</v>
      </c>
      <c r="C2878">
        <v>5</v>
      </c>
      <c r="D2878" t="s">
        <v>4087</v>
      </c>
      <c r="E2878" t="s">
        <v>4088</v>
      </c>
      <c r="F2878" t="s">
        <v>4075</v>
      </c>
    </row>
    <row r="2879" spans="1:6" x14ac:dyDescent="0.25">
      <c r="A2879">
        <v>3054</v>
      </c>
      <c r="B2879" t="s">
        <v>4072</v>
      </c>
      <c r="C2879">
        <v>15</v>
      </c>
      <c r="D2879" t="s">
        <v>4080</v>
      </c>
      <c r="E2879" t="s">
        <v>4081</v>
      </c>
      <c r="F2879" t="s">
        <v>4076</v>
      </c>
    </row>
    <row r="2880" spans="1:6" x14ac:dyDescent="0.25">
      <c r="A2880">
        <v>3054</v>
      </c>
      <c r="B2880" t="s">
        <v>4072</v>
      </c>
      <c r="C2880">
        <v>40</v>
      </c>
      <c r="D2880" t="s">
        <v>4080</v>
      </c>
      <c r="E2880" t="s">
        <v>4081</v>
      </c>
      <c r="F2880" t="s">
        <v>4079</v>
      </c>
    </row>
    <row r="2881" spans="1:6" x14ac:dyDescent="0.25">
      <c r="A2881">
        <v>3055</v>
      </c>
      <c r="B2881" t="s">
        <v>4072</v>
      </c>
      <c r="C2881">
        <v>10</v>
      </c>
      <c r="D2881" t="s">
        <v>4095</v>
      </c>
      <c r="E2881" t="s">
        <v>4096</v>
      </c>
      <c r="F2881" t="s">
        <v>4075</v>
      </c>
    </row>
    <row r="2882" spans="1:6" x14ac:dyDescent="0.25">
      <c r="A2882">
        <v>3056</v>
      </c>
      <c r="B2882" t="s">
        <v>4072</v>
      </c>
      <c r="C2882">
        <v>6</v>
      </c>
      <c r="D2882" t="s">
        <v>4073</v>
      </c>
      <c r="E2882" t="s">
        <v>4074</v>
      </c>
      <c r="F2882" t="s">
        <v>4075</v>
      </c>
    </row>
    <row r="2883" spans="1:6" x14ac:dyDescent="0.25">
      <c r="A2883">
        <v>3056</v>
      </c>
      <c r="B2883" t="s">
        <v>4072</v>
      </c>
      <c r="C2883">
        <v>19</v>
      </c>
      <c r="D2883" t="s">
        <v>4073</v>
      </c>
      <c r="E2883" t="s">
        <v>4074</v>
      </c>
      <c r="F2883" t="s">
        <v>4076</v>
      </c>
    </row>
    <row r="2884" spans="1:6" x14ac:dyDescent="0.25">
      <c r="A2884">
        <v>3056</v>
      </c>
      <c r="B2884" t="s">
        <v>4072</v>
      </c>
      <c r="C2884">
        <v>39</v>
      </c>
      <c r="D2884" t="s">
        <v>4073</v>
      </c>
      <c r="E2884" t="s">
        <v>4074</v>
      </c>
      <c r="F2884" t="s">
        <v>4079</v>
      </c>
    </row>
    <row r="2885" spans="1:6" x14ac:dyDescent="0.25">
      <c r="A2885">
        <v>3057</v>
      </c>
      <c r="B2885" t="s">
        <v>4072</v>
      </c>
      <c r="C2885">
        <v>4</v>
      </c>
      <c r="D2885" t="s">
        <v>4077</v>
      </c>
      <c r="E2885" t="s">
        <v>4078</v>
      </c>
      <c r="F2885" t="s">
        <v>4075</v>
      </c>
    </row>
    <row r="2886" spans="1:6" x14ac:dyDescent="0.25">
      <c r="A2886">
        <v>3057</v>
      </c>
      <c r="B2886" t="s">
        <v>4072</v>
      </c>
      <c r="C2886">
        <v>16</v>
      </c>
      <c r="D2886" t="s">
        <v>4077</v>
      </c>
      <c r="E2886" t="s">
        <v>4078</v>
      </c>
      <c r="F2886" t="s">
        <v>4076</v>
      </c>
    </row>
    <row r="2887" spans="1:6" x14ac:dyDescent="0.25">
      <c r="A2887">
        <v>3057</v>
      </c>
      <c r="B2887" t="s">
        <v>4072</v>
      </c>
      <c r="C2887">
        <v>44</v>
      </c>
      <c r="D2887" t="s">
        <v>4077</v>
      </c>
      <c r="E2887" t="s">
        <v>4078</v>
      </c>
      <c r="F2887" t="s">
        <v>4079</v>
      </c>
    </row>
    <row r="2888" spans="1:6" x14ac:dyDescent="0.25">
      <c r="A2888">
        <v>3058</v>
      </c>
      <c r="B2888" t="s">
        <v>4072</v>
      </c>
      <c r="C2888">
        <v>3</v>
      </c>
      <c r="D2888" t="s">
        <v>4085</v>
      </c>
      <c r="E2888" t="s">
        <v>4086</v>
      </c>
      <c r="F2888" t="s">
        <v>4075</v>
      </c>
    </row>
    <row r="2889" spans="1:6" x14ac:dyDescent="0.25">
      <c r="A2889">
        <v>3058</v>
      </c>
      <c r="B2889" t="s">
        <v>4072</v>
      </c>
      <c r="C2889">
        <v>15</v>
      </c>
      <c r="D2889" t="s">
        <v>4080</v>
      </c>
      <c r="E2889" t="s">
        <v>4081</v>
      </c>
      <c r="F2889" t="s">
        <v>4076</v>
      </c>
    </row>
    <row r="2890" spans="1:6" x14ac:dyDescent="0.25">
      <c r="A2890">
        <v>3058</v>
      </c>
      <c r="B2890" t="s">
        <v>4072</v>
      </c>
      <c r="C2890">
        <v>40</v>
      </c>
      <c r="D2890" t="s">
        <v>4080</v>
      </c>
      <c r="E2890" t="s">
        <v>4081</v>
      </c>
      <c r="F2890" t="s">
        <v>4079</v>
      </c>
    </row>
    <row r="2891" spans="1:6" x14ac:dyDescent="0.25">
      <c r="A2891">
        <v>3059</v>
      </c>
      <c r="B2891" t="s">
        <v>4072</v>
      </c>
      <c r="C2891">
        <v>10</v>
      </c>
      <c r="D2891" t="s">
        <v>4095</v>
      </c>
      <c r="E2891" t="s">
        <v>4096</v>
      </c>
      <c r="F2891" t="s">
        <v>4075</v>
      </c>
    </row>
    <row r="2892" spans="1:6" x14ac:dyDescent="0.25">
      <c r="A2892">
        <v>3060</v>
      </c>
      <c r="B2892" t="s">
        <v>4072</v>
      </c>
      <c r="C2892">
        <v>5</v>
      </c>
      <c r="D2892" t="s">
        <v>4087</v>
      </c>
      <c r="E2892" t="s">
        <v>4088</v>
      </c>
      <c r="F2892" t="s">
        <v>4075</v>
      </c>
    </row>
    <row r="2893" spans="1:6" x14ac:dyDescent="0.25">
      <c r="A2893">
        <v>3060</v>
      </c>
      <c r="B2893" t="s">
        <v>4072</v>
      </c>
      <c r="C2893">
        <v>15</v>
      </c>
      <c r="D2893" t="s">
        <v>4080</v>
      </c>
      <c r="E2893" t="s">
        <v>4081</v>
      </c>
      <c r="F2893" t="s">
        <v>4076</v>
      </c>
    </row>
    <row r="2894" spans="1:6" x14ac:dyDescent="0.25">
      <c r="A2894">
        <v>3060</v>
      </c>
      <c r="B2894" t="s">
        <v>4072</v>
      </c>
      <c r="C2894">
        <v>40</v>
      </c>
      <c r="D2894" t="s">
        <v>4080</v>
      </c>
      <c r="E2894" t="s">
        <v>4081</v>
      </c>
      <c r="F2894" t="s">
        <v>4079</v>
      </c>
    </row>
    <row r="2895" spans="1:6" x14ac:dyDescent="0.25">
      <c r="A2895">
        <v>3061</v>
      </c>
      <c r="B2895" t="s">
        <v>4072</v>
      </c>
      <c r="C2895">
        <v>10</v>
      </c>
      <c r="D2895" t="s">
        <v>4095</v>
      </c>
      <c r="E2895" t="s">
        <v>4096</v>
      </c>
      <c r="F2895" t="s">
        <v>4075</v>
      </c>
    </row>
    <row r="2896" spans="1:6" x14ac:dyDescent="0.25">
      <c r="A2896">
        <v>3062</v>
      </c>
      <c r="B2896" t="s">
        <v>4092</v>
      </c>
      <c r="C2896">
        <v>23</v>
      </c>
      <c r="D2896" t="s">
        <v>2757</v>
      </c>
      <c r="E2896" t="s">
        <v>4093</v>
      </c>
      <c r="F2896" t="s">
        <v>4075</v>
      </c>
    </row>
    <row r="2897" spans="1:6" x14ac:dyDescent="0.25">
      <c r="A2897">
        <v>3062</v>
      </c>
      <c r="B2897" t="s">
        <v>4092</v>
      </c>
      <c r="C2897">
        <v>28</v>
      </c>
      <c r="D2897" t="s">
        <v>2757</v>
      </c>
      <c r="E2897" t="s">
        <v>4093</v>
      </c>
      <c r="F2897" t="s">
        <v>4076</v>
      </c>
    </row>
    <row r="2898" spans="1:6" x14ac:dyDescent="0.25">
      <c r="A2898">
        <v>3062</v>
      </c>
      <c r="B2898" t="s">
        <v>4092</v>
      </c>
      <c r="C2898">
        <v>48</v>
      </c>
      <c r="D2898" t="s">
        <v>2757</v>
      </c>
      <c r="E2898" t="s">
        <v>4093</v>
      </c>
      <c r="F2898" t="s">
        <v>4079</v>
      </c>
    </row>
    <row r="2899" spans="1:6" x14ac:dyDescent="0.25">
      <c r="A2899">
        <v>3063</v>
      </c>
      <c r="B2899" t="s">
        <v>4092</v>
      </c>
      <c r="C2899">
        <v>25</v>
      </c>
      <c r="D2899" t="s">
        <v>4102</v>
      </c>
      <c r="E2899" t="s">
        <v>4103</v>
      </c>
      <c r="F2899" t="s">
        <v>4075</v>
      </c>
    </row>
    <row r="2900" spans="1:6" x14ac:dyDescent="0.25">
      <c r="A2900">
        <v>3063</v>
      </c>
      <c r="B2900" t="s">
        <v>4092</v>
      </c>
      <c r="C2900">
        <v>30</v>
      </c>
      <c r="D2900" t="s">
        <v>4102</v>
      </c>
      <c r="E2900" t="s">
        <v>4103</v>
      </c>
      <c r="F2900" t="s">
        <v>4076</v>
      </c>
    </row>
    <row r="2901" spans="1:6" x14ac:dyDescent="0.25">
      <c r="A2901">
        <v>3063</v>
      </c>
      <c r="B2901" t="s">
        <v>4092</v>
      </c>
      <c r="C2901">
        <v>50</v>
      </c>
      <c r="D2901" t="s">
        <v>4102</v>
      </c>
      <c r="E2901" t="s">
        <v>4103</v>
      </c>
      <c r="F2901" t="s">
        <v>4079</v>
      </c>
    </row>
    <row r="2902" spans="1:6" x14ac:dyDescent="0.25">
      <c r="A2902">
        <v>3064</v>
      </c>
      <c r="B2902" t="s">
        <v>4092</v>
      </c>
      <c r="C2902">
        <v>33</v>
      </c>
      <c r="D2902" t="s">
        <v>4109</v>
      </c>
      <c r="E2902" t="s">
        <v>4110</v>
      </c>
      <c r="F2902" t="s">
        <v>4075</v>
      </c>
    </row>
    <row r="2903" spans="1:6" x14ac:dyDescent="0.25">
      <c r="A2903">
        <v>3064</v>
      </c>
      <c r="B2903" t="s">
        <v>4092</v>
      </c>
      <c r="C2903">
        <v>34</v>
      </c>
      <c r="D2903" t="s">
        <v>4109</v>
      </c>
      <c r="E2903" t="s">
        <v>4110</v>
      </c>
      <c r="F2903" t="s">
        <v>4076</v>
      </c>
    </row>
    <row r="2904" spans="1:6" x14ac:dyDescent="0.25">
      <c r="A2904">
        <v>3064</v>
      </c>
      <c r="B2904" t="s">
        <v>4092</v>
      </c>
      <c r="C2904">
        <v>51</v>
      </c>
      <c r="D2904" t="s">
        <v>4109</v>
      </c>
      <c r="E2904" t="s">
        <v>4111</v>
      </c>
      <c r="F2904" t="s">
        <v>4079</v>
      </c>
    </row>
    <row r="2905" spans="1:6" x14ac:dyDescent="0.25">
      <c r="A2905">
        <v>3065</v>
      </c>
      <c r="B2905" t="s">
        <v>4092</v>
      </c>
      <c r="C2905">
        <v>33</v>
      </c>
      <c r="D2905" t="s">
        <v>4109</v>
      </c>
      <c r="E2905" t="s">
        <v>4110</v>
      </c>
      <c r="F2905" t="s">
        <v>4075</v>
      </c>
    </row>
    <row r="2906" spans="1:6" x14ac:dyDescent="0.25">
      <c r="A2906">
        <v>3065</v>
      </c>
      <c r="B2906" t="s">
        <v>4092</v>
      </c>
      <c r="C2906">
        <v>34</v>
      </c>
      <c r="D2906" t="s">
        <v>4109</v>
      </c>
      <c r="E2906" t="s">
        <v>4110</v>
      </c>
      <c r="F2906" t="s">
        <v>4076</v>
      </c>
    </row>
    <row r="2907" spans="1:6" x14ac:dyDescent="0.25">
      <c r="A2907">
        <v>3065</v>
      </c>
      <c r="B2907" t="s">
        <v>4092</v>
      </c>
      <c r="C2907">
        <v>51</v>
      </c>
      <c r="D2907" t="s">
        <v>4109</v>
      </c>
      <c r="E2907" t="s">
        <v>4111</v>
      </c>
      <c r="F2907" t="s">
        <v>4079</v>
      </c>
    </row>
    <row r="2908" spans="1:6" x14ac:dyDescent="0.25">
      <c r="A2908">
        <v>3066</v>
      </c>
      <c r="B2908" t="s">
        <v>4092</v>
      </c>
      <c r="C2908">
        <v>24</v>
      </c>
      <c r="D2908" t="s">
        <v>2760</v>
      </c>
      <c r="E2908" t="s">
        <v>4108</v>
      </c>
      <c r="F2908" t="s">
        <v>4075</v>
      </c>
    </row>
    <row r="2909" spans="1:6" x14ac:dyDescent="0.25">
      <c r="A2909">
        <v>3066</v>
      </c>
      <c r="B2909" t="s">
        <v>4092</v>
      </c>
      <c r="C2909">
        <v>29</v>
      </c>
      <c r="D2909" t="s">
        <v>2760</v>
      </c>
      <c r="E2909" t="s">
        <v>4108</v>
      </c>
      <c r="F2909" t="s">
        <v>4076</v>
      </c>
    </row>
    <row r="2910" spans="1:6" x14ac:dyDescent="0.25">
      <c r="A2910">
        <v>3066</v>
      </c>
      <c r="B2910" t="s">
        <v>4092</v>
      </c>
      <c r="C2910">
        <v>49</v>
      </c>
      <c r="D2910" t="s">
        <v>2760</v>
      </c>
      <c r="E2910" t="s">
        <v>4108</v>
      </c>
      <c r="F2910" t="s">
        <v>4079</v>
      </c>
    </row>
    <row r="2911" spans="1:6" x14ac:dyDescent="0.25">
      <c r="A2911">
        <v>3067</v>
      </c>
      <c r="B2911" t="s">
        <v>4072</v>
      </c>
      <c r="C2911">
        <v>6</v>
      </c>
      <c r="D2911" t="s">
        <v>4073</v>
      </c>
      <c r="E2911" t="s">
        <v>4074</v>
      </c>
      <c r="F2911" t="s">
        <v>4075</v>
      </c>
    </row>
    <row r="2912" spans="1:6" x14ac:dyDescent="0.25">
      <c r="A2912">
        <v>3067</v>
      </c>
      <c r="B2912" t="s">
        <v>4072</v>
      </c>
      <c r="C2912">
        <v>19</v>
      </c>
      <c r="D2912" t="s">
        <v>4073</v>
      </c>
      <c r="E2912" t="s">
        <v>4074</v>
      </c>
      <c r="F2912" t="s">
        <v>4076</v>
      </c>
    </row>
    <row r="2913" spans="1:6" x14ac:dyDescent="0.25">
      <c r="A2913">
        <v>3067</v>
      </c>
      <c r="B2913" t="s">
        <v>4072</v>
      </c>
      <c r="C2913">
        <v>39</v>
      </c>
      <c r="D2913" t="s">
        <v>4073</v>
      </c>
      <c r="E2913" t="s">
        <v>4074</v>
      </c>
      <c r="F2913" t="s">
        <v>4079</v>
      </c>
    </row>
    <row r="2914" spans="1:6" x14ac:dyDescent="0.25">
      <c r="A2914">
        <v>3068</v>
      </c>
      <c r="B2914" t="s">
        <v>4072</v>
      </c>
      <c r="C2914">
        <v>4</v>
      </c>
      <c r="D2914" t="s">
        <v>4077</v>
      </c>
      <c r="E2914" t="s">
        <v>4078</v>
      </c>
      <c r="F2914" t="s">
        <v>4075</v>
      </c>
    </row>
    <row r="2915" spans="1:6" x14ac:dyDescent="0.25">
      <c r="A2915">
        <v>3068</v>
      </c>
      <c r="B2915" t="s">
        <v>4072</v>
      </c>
      <c r="C2915">
        <v>16</v>
      </c>
      <c r="D2915" t="s">
        <v>4077</v>
      </c>
      <c r="E2915" t="s">
        <v>4078</v>
      </c>
      <c r="F2915" t="s">
        <v>4076</v>
      </c>
    </row>
    <row r="2916" spans="1:6" x14ac:dyDescent="0.25">
      <c r="A2916">
        <v>3068</v>
      </c>
      <c r="B2916" t="s">
        <v>4072</v>
      </c>
      <c r="C2916">
        <v>44</v>
      </c>
      <c r="D2916" t="s">
        <v>4077</v>
      </c>
      <c r="E2916" t="s">
        <v>4078</v>
      </c>
      <c r="F2916" t="s">
        <v>4079</v>
      </c>
    </row>
    <row r="2917" spans="1:6" x14ac:dyDescent="0.25">
      <c r="A2917">
        <v>3069</v>
      </c>
      <c r="B2917" t="s">
        <v>4072</v>
      </c>
      <c r="C2917">
        <v>10</v>
      </c>
      <c r="D2917" t="s">
        <v>4095</v>
      </c>
      <c r="E2917" t="s">
        <v>4096</v>
      </c>
      <c r="F2917" t="s">
        <v>4075</v>
      </c>
    </row>
    <row r="2918" spans="1:6" x14ac:dyDescent="0.25">
      <c r="A2918">
        <v>3072</v>
      </c>
      <c r="B2918" t="s">
        <v>4072</v>
      </c>
      <c r="C2918">
        <v>3</v>
      </c>
      <c r="D2918" t="s">
        <v>4085</v>
      </c>
      <c r="E2918" t="s">
        <v>4086</v>
      </c>
      <c r="F2918" t="s">
        <v>4075</v>
      </c>
    </row>
    <row r="2919" spans="1:6" x14ac:dyDescent="0.25">
      <c r="A2919">
        <v>3072</v>
      </c>
      <c r="B2919" t="s">
        <v>4072</v>
      </c>
      <c r="C2919">
        <v>15</v>
      </c>
      <c r="D2919" t="s">
        <v>4080</v>
      </c>
      <c r="E2919" t="s">
        <v>4081</v>
      </c>
      <c r="F2919" t="s">
        <v>4076</v>
      </c>
    </row>
    <row r="2920" spans="1:6" x14ac:dyDescent="0.25">
      <c r="A2920">
        <v>3072</v>
      </c>
      <c r="B2920" t="s">
        <v>4072</v>
      </c>
      <c r="C2920">
        <v>40</v>
      </c>
      <c r="D2920" t="s">
        <v>4080</v>
      </c>
      <c r="E2920" t="s">
        <v>4081</v>
      </c>
      <c r="F2920" t="s">
        <v>4079</v>
      </c>
    </row>
    <row r="2921" spans="1:6" x14ac:dyDescent="0.25">
      <c r="A2921">
        <v>3073</v>
      </c>
      <c r="B2921" t="s">
        <v>4072</v>
      </c>
      <c r="C2921">
        <v>4</v>
      </c>
      <c r="D2921" t="s">
        <v>4077</v>
      </c>
      <c r="E2921" t="s">
        <v>4078</v>
      </c>
      <c r="F2921" t="s">
        <v>4075</v>
      </c>
    </row>
    <row r="2922" spans="1:6" x14ac:dyDescent="0.25">
      <c r="A2922">
        <v>3073</v>
      </c>
      <c r="B2922" t="s">
        <v>4072</v>
      </c>
      <c r="C2922">
        <v>16</v>
      </c>
      <c r="D2922" t="s">
        <v>4077</v>
      </c>
      <c r="E2922" t="s">
        <v>4078</v>
      </c>
      <c r="F2922" t="s">
        <v>4076</v>
      </c>
    </row>
    <row r="2923" spans="1:6" x14ac:dyDescent="0.25">
      <c r="A2923">
        <v>3073</v>
      </c>
      <c r="B2923" t="s">
        <v>4072</v>
      </c>
      <c r="C2923">
        <v>44</v>
      </c>
      <c r="D2923" t="s">
        <v>4077</v>
      </c>
      <c r="E2923" t="s">
        <v>4078</v>
      </c>
      <c r="F2923" t="s">
        <v>4079</v>
      </c>
    </row>
    <row r="2924" spans="1:6" x14ac:dyDescent="0.25">
      <c r="A2924">
        <v>3074</v>
      </c>
      <c r="B2924" t="s">
        <v>4072</v>
      </c>
      <c r="C2924">
        <v>5</v>
      </c>
      <c r="D2924" t="s">
        <v>4087</v>
      </c>
      <c r="E2924" t="s">
        <v>4088</v>
      </c>
      <c r="F2924" t="s">
        <v>4075</v>
      </c>
    </row>
    <row r="2925" spans="1:6" x14ac:dyDescent="0.25">
      <c r="A2925">
        <v>3074</v>
      </c>
      <c r="B2925" t="s">
        <v>4072</v>
      </c>
      <c r="C2925">
        <v>15</v>
      </c>
      <c r="D2925" t="s">
        <v>4080</v>
      </c>
      <c r="E2925" t="s">
        <v>4081</v>
      </c>
      <c r="F2925" t="s">
        <v>4076</v>
      </c>
    </row>
    <row r="2926" spans="1:6" x14ac:dyDescent="0.25">
      <c r="A2926">
        <v>3074</v>
      </c>
      <c r="B2926" t="s">
        <v>4072</v>
      </c>
      <c r="C2926">
        <v>40</v>
      </c>
      <c r="D2926" t="s">
        <v>4080</v>
      </c>
      <c r="E2926" t="s">
        <v>4081</v>
      </c>
      <c r="F2926" t="s">
        <v>4079</v>
      </c>
    </row>
    <row r="2927" spans="1:6" x14ac:dyDescent="0.25">
      <c r="A2927">
        <v>3075</v>
      </c>
      <c r="B2927" t="s">
        <v>4072</v>
      </c>
      <c r="C2927">
        <v>5</v>
      </c>
      <c r="D2927" t="s">
        <v>4087</v>
      </c>
      <c r="E2927" t="s">
        <v>4088</v>
      </c>
      <c r="F2927" t="s">
        <v>4075</v>
      </c>
    </row>
    <row r="2928" spans="1:6" x14ac:dyDescent="0.25">
      <c r="A2928">
        <v>3075</v>
      </c>
      <c r="B2928" t="s">
        <v>4072</v>
      </c>
      <c r="C2928">
        <v>15</v>
      </c>
      <c r="D2928" t="s">
        <v>4080</v>
      </c>
      <c r="E2928" t="s">
        <v>4081</v>
      </c>
      <c r="F2928" t="s">
        <v>4076</v>
      </c>
    </row>
    <row r="2929" spans="1:6" x14ac:dyDescent="0.25">
      <c r="A2929">
        <v>3075</v>
      </c>
      <c r="B2929" t="s">
        <v>4072</v>
      </c>
      <c r="C2929">
        <v>40</v>
      </c>
      <c r="D2929" t="s">
        <v>4080</v>
      </c>
      <c r="E2929" t="s">
        <v>4081</v>
      </c>
      <c r="F2929" t="s">
        <v>4079</v>
      </c>
    </row>
    <row r="2930" spans="1:6" x14ac:dyDescent="0.25">
      <c r="A2930">
        <v>3076</v>
      </c>
      <c r="B2930" t="s">
        <v>4072</v>
      </c>
      <c r="C2930">
        <v>1</v>
      </c>
      <c r="D2930" t="s">
        <v>2761</v>
      </c>
      <c r="E2930" t="s">
        <v>4089</v>
      </c>
      <c r="F2930" t="s">
        <v>4075</v>
      </c>
    </row>
    <row r="2931" spans="1:6" x14ac:dyDescent="0.25">
      <c r="A2931">
        <v>3076</v>
      </c>
      <c r="B2931" t="s">
        <v>4072</v>
      </c>
      <c r="C2931">
        <v>2</v>
      </c>
      <c r="D2931" t="s">
        <v>4082</v>
      </c>
      <c r="E2931" t="s">
        <v>4083</v>
      </c>
      <c r="F2931" t="s">
        <v>4075</v>
      </c>
    </row>
    <row r="2932" spans="1:6" x14ac:dyDescent="0.25">
      <c r="A2932">
        <v>3076</v>
      </c>
      <c r="B2932" t="s">
        <v>4072</v>
      </c>
      <c r="C2932">
        <v>17</v>
      </c>
      <c r="D2932" t="s">
        <v>4082</v>
      </c>
      <c r="E2932" t="s">
        <v>4084</v>
      </c>
      <c r="F2932" t="s">
        <v>4076</v>
      </c>
    </row>
    <row r="2933" spans="1:6" x14ac:dyDescent="0.25">
      <c r="A2933">
        <v>3076</v>
      </c>
      <c r="B2933" t="s">
        <v>4072</v>
      </c>
      <c r="C2933">
        <v>38</v>
      </c>
      <c r="D2933" t="s">
        <v>2761</v>
      </c>
      <c r="E2933" t="s">
        <v>4089</v>
      </c>
      <c r="F2933" t="s">
        <v>4076</v>
      </c>
    </row>
    <row r="2934" spans="1:6" x14ac:dyDescent="0.25">
      <c r="A2934">
        <v>3076</v>
      </c>
      <c r="B2934" t="s">
        <v>4072</v>
      </c>
      <c r="C2934">
        <v>42</v>
      </c>
      <c r="D2934" t="s">
        <v>4082</v>
      </c>
      <c r="E2934" t="s">
        <v>4083</v>
      </c>
      <c r="F2934" t="s">
        <v>4079</v>
      </c>
    </row>
    <row r="2935" spans="1:6" x14ac:dyDescent="0.25">
      <c r="A2935">
        <v>3076</v>
      </c>
      <c r="B2935" t="s">
        <v>4072</v>
      </c>
      <c r="C2935">
        <v>43</v>
      </c>
      <c r="D2935" t="s">
        <v>2761</v>
      </c>
      <c r="E2935" t="s">
        <v>4089</v>
      </c>
      <c r="F2935" t="s">
        <v>4079</v>
      </c>
    </row>
    <row r="2936" spans="1:6" x14ac:dyDescent="0.25">
      <c r="A2936">
        <v>3078</v>
      </c>
      <c r="B2936" t="s">
        <v>4072</v>
      </c>
      <c r="C2936">
        <v>19</v>
      </c>
      <c r="D2936" t="s">
        <v>4073</v>
      </c>
      <c r="E2936" t="s">
        <v>4074</v>
      </c>
      <c r="F2936" t="s">
        <v>4076</v>
      </c>
    </row>
    <row r="2937" spans="1:6" x14ac:dyDescent="0.25">
      <c r="A2937">
        <v>3078</v>
      </c>
      <c r="B2937" t="s">
        <v>4072</v>
      </c>
      <c r="C2937">
        <v>39</v>
      </c>
      <c r="D2937" t="s">
        <v>4073</v>
      </c>
      <c r="E2937" t="s">
        <v>4074</v>
      </c>
      <c r="F2937" t="s">
        <v>4079</v>
      </c>
    </row>
    <row r="2938" spans="1:6" x14ac:dyDescent="0.25">
      <c r="A2938">
        <v>3079</v>
      </c>
      <c r="B2938" t="s">
        <v>4072</v>
      </c>
      <c r="C2938">
        <v>15</v>
      </c>
      <c r="D2938" t="s">
        <v>4080</v>
      </c>
      <c r="E2938" t="s">
        <v>4081</v>
      </c>
      <c r="F2938" t="s">
        <v>4076</v>
      </c>
    </row>
    <row r="2939" spans="1:6" x14ac:dyDescent="0.25">
      <c r="A2939">
        <v>3079</v>
      </c>
      <c r="B2939" t="s">
        <v>4072</v>
      </c>
      <c r="C2939">
        <v>40</v>
      </c>
      <c r="D2939" t="s">
        <v>4080</v>
      </c>
      <c r="E2939" t="s">
        <v>4081</v>
      </c>
      <c r="F2939" t="s">
        <v>4079</v>
      </c>
    </row>
    <row r="2940" spans="1:6" x14ac:dyDescent="0.25">
      <c r="A2940">
        <v>3082</v>
      </c>
      <c r="B2940" t="s">
        <v>4072</v>
      </c>
      <c r="C2940">
        <v>10</v>
      </c>
      <c r="D2940" t="s">
        <v>4095</v>
      </c>
      <c r="E2940" t="s">
        <v>4096</v>
      </c>
      <c r="F2940" t="s">
        <v>4075</v>
      </c>
    </row>
    <row r="2941" spans="1:6" x14ac:dyDescent="0.25">
      <c r="A2941">
        <v>3083</v>
      </c>
      <c r="B2941" t="s">
        <v>4072</v>
      </c>
      <c r="C2941">
        <v>10</v>
      </c>
      <c r="D2941" t="s">
        <v>4095</v>
      </c>
      <c r="E2941" t="s">
        <v>4096</v>
      </c>
      <c r="F2941" t="s">
        <v>4075</v>
      </c>
    </row>
    <row r="2942" spans="1:6" x14ac:dyDescent="0.25">
      <c r="A2942">
        <v>3084</v>
      </c>
      <c r="B2942" t="s">
        <v>4072</v>
      </c>
      <c r="C2942">
        <v>19</v>
      </c>
      <c r="D2942" t="s">
        <v>4073</v>
      </c>
      <c r="E2942" t="s">
        <v>4074</v>
      </c>
      <c r="F2942" t="s">
        <v>4076</v>
      </c>
    </row>
    <row r="2943" spans="1:6" x14ac:dyDescent="0.25">
      <c r="A2943">
        <v>3084</v>
      </c>
      <c r="B2943" t="s">
        <v>4072</v>
      </c>
      <c r="C2943">
        <v>39</v>
      </c>
      <c r="D2943" t="s">
        <v>4073</v>
      </c>
      <c r="E2943" t="s">
        <v>4074</v>
      </c>
      <c r="F2943" t="s">
        <v>4079</v>
      </c>
    </row>
    <row r="2944" spans="1:6" x14ac:dyDescent="0.25">
      <c r="A2944">
        <v>3085</v>
      </c>
      <c r="B2944" t="s">
        <v>4092</v>
      </c>
      <c r="C2944">
        <v>32</v>
      </c>
      <c r="D2944" t="s">
        <v>4106</v>
      </c>
      <c r="E2944" t="s">
        <v>4107</v>
      </c>
      <c r="F2944" t="s">
        <v>4076</v>
      </c>
    </row>
    <row r="2945" spans="1:6" x14ac:dyDescent="0.25">
      <c r="A2945">
        <v>3086</v>
      </c>
      <c r="B2945" t="s">
        <v>4072</v>
      </c>
      <c r="C2945">
        <v>19</v>
      </c>
      <c r="D2945" t="s">
        <v>4073</v>
      </c>
      <c r="E2945" t="s">
        <v>4074</v>
      </c>
      <c r="F2945" t="s">
        <v>4076</v>
      </c>
    </row>
    <row r="2946" spans="1:6" x14ac:dyDescent="0.25">
      <c r="A2946">
        <v>3088</v>
      </c>
      <c r="B2946" t="s">
        <v>4072</v>
      </c>
      <c r="C2946">
        <v>6</v>
      </c>
      <c r="D2946" t="s">
        <v>4073</v>
      </c>
      <c r="E2946" t="s">
        <v>4074</v>
      </c>
      <c r="F2946" t="s">
        <v>4075</v>
      </c>
    </row>
    <row r="2947" spans="1:6" x14ac:dyDescent="0.25">
      <c r="A2947">
        <v>3088</v>
      </c>
      <c r="B2947" t="s">
        <v>4072</v>
      </c>
      <c r="C2947">
        <v>19</v>
      </c>
      <c r="D2947" t="s">
        <v>4073</v>
      </c>
      <c r="E2947" t="s">
        <v>4074</v>
      </c>
      <c r="F2947" t="s">
        <v>4076</v>
      </c>
    </row>
    <row r="2948" spans="1:6" x14ac:dyDescent="0.25">
      <c r="A2948">
        <v>3089</v>
      </c>
      <c r="B2948" t="s">
        <v>4072</v>
      </c>
      <c r="C2948">
        <v>2</v>
      </c>
      <c r="D2948" t="s">
        <v>4082</v>
      </c>
      <c r="E2948" t="s">
        <v>4083</v>
      </c>
      <c r="F2948" t="s">
        <v>4075</v>
      </c>
    </row>
    <row r="2949" spans="1:6" x14ac:dyDescent="0.25">
      <c r="A2949">
        <v>3089</v>
      </c>
      <c r="B2949" t="s">
        <v>4072</v>
      </c>
      <c r="C2949">
        <v>17</v>
      </c>
      <c r="D2949" t="s">
        <v>4082</v>
      </c>
      <c r="E2949" t="s">
        <v>4084</v>
      </c>
      <c r="F2949" t="s">
        <v>4076</v>
      </c>
    </row>
    <row r="2950" spans="1:6" x14ac:dyDescent="0.25">
      <c r="A2950">
        <v>3090</v>
      </c>
      <c r="B2950" t="s">
        <v>4072</v>
      </c>
      <c r="C2950">
        <v>4</v>
      </c>
      <c r="D2950" t="s">
        <v>4077</v>
      </c>
      <c r="E2950" t="s">
        <v>4078</v>
      </c>
      <c r="F2950" t="s">
        <v>4075</v>
      </c>
    </row>
    <row r="2951" spans="1:6" x14ac:dyDescent="0.25">
      <c r="A2951">
        <v>3090</v>
      </c>
      <c r="B2951" t="s">
        <v>4072</v>
      </c>
      <c r="C2951">
        <v>16</v>
      </c>
      <c r="D2951" t="s">
        <v>4077</v>
      </c>
      <c r="E2951" t="s">
        <v>4078</v>
      </c>
      <c r="F2951" t="s">
        <v>4076</v>
      </c>
    </row>
    <row r="2952" spans="1:6" x14ac:dyDescent="0.25">
      <c r="A2952">
        <v>3091</v>
      </c>
      <c r="B2952" t="s">
        <v>4072</v>
      </c>
      <c r="C2952">
        <v>3</v>
      </c>
      <c r="D2952" t="s">
        <v>4085</v>
      </c>
      <c r="E2952" t="s">
        <v>4086</v>
      </c>
      <c r="F2952" t="s">
        <v>4075</v>
      </c>
    </row>
    <row r="2953" spans="1:6" x14ac:dyDescent="0.25">
      <c r="A2953">
        <v>3091</v>
      </c>
      <c r="B2953" t="s">
        <v>4072</v>
      </c>
      <c r="C2953">
        <v>15</v>
      </c>
      <c r="D2953" t="s">
        <v>4080</v>
      </c>
      <c r="E2953" t="s">
        <v>4081</v>
      </c>
      <c r="F2953" t="s">
        <v>4076</v>
      </c>
    </row>
    <row r="2954" spans="1:6" x14ac:dyDescent="0.25">
      <c r="A2954">
        <v>3093</v>
      </c>
      <c r="B2954" t="s">
        <v>4072</v>
      </c>
      <c r="C2954">
        <v>5</v>
      </c>
      <c r="D2954" t="s">
        <v>4087</v>
      </c>
      <c r="E2954" t="s">
        <v>4088</v>
      </c>
      <c r="F2954" t="s">
        <v>4075</v>
      </c>
    </row>
    <row r="2955" spans="1:6" x14ac:dyDescent="0.25">
      <c r="A2955">
        <v>3093</v>
      </c>
      <c r="B2955" t="s">
        <v>4072</v>
      </c>
      <c r="C2955">
        <v>15</v>
      </c>
      <c r="D2955" t="s">
        <v>4080</v>
      </c>
      <c r="E2955" t="s">
        <v>4081</v>
      </c>
      <c r="F2955" t="s">
        <v>4076</v>
      </c>
    </row>
    <row r="2956" spans="1:6" x14ac:dyDescent="0.25">
      <c r="A2956">
        <v>3094</v>
      </c>
      <c r="B2956" t="s">
        <v>4072</v>
      </c>
      <c r="C2956">
        <v>10</v>
      </c>
      <c r="D2956" t="s">
        <v>4095</v>
      </c>
      <c r="E2956" t="s">
        <v>4096</v>
      </c>
      <c r="F2956" t="s">
        <v>4075</v>
      </c>
    </row>
    <row r="2957" spans="1:6" x14ac:dyDescent="0.25">
      <c r="A2957">
        <v>3094</v>
      </c>
      <c r="B2957" t="s">
        <v>4072</v>
      </c>
      <c r="C2957">
        <v>13</v>
      </c>
      <c r="D2957" t="s">
        <v>4097</v>
      </c>
      <c r="E2957" t="s">
        <v>4098</v>
      </c>
      <c r="F2957" t="s">
        <v>4076</v>
      </c>
    </row>
    <row r="2958" spans="1:6" x14ac:dyDescent="0.25">
      <c r="A2958">
        <v>3097</v>
      </c>
      <c r="B2958" t="s">
        <v>4092</v>
      </c>
      <c r="C2958">
        <v>23</v>
      </c>
      <c r="D2958" t="s">
        <v>2757</v>
      </c>
      <c r="E2958" t="s">
        <v>4093</v>
      </c>
      <c r="F2958" t="s">
        <v>4075</v>
      </c>
    </row>
    <row r="2959" spans="1:6" x14ac:dyDescent="0.25">
      <c r="A2959">
        <v>3097</v>
      </c>
      <c r="B2959" t="s">
        <v>4092</v>
      </c>
      <c r="C2959">
        <v>28</v>
      </c>
      <c r="D2959" t="s">
        <v>2757</v>
      </c>
      <c r="E2959" t="s">
        <v>4093</v>
      </c>
      <c r="F2959" t="s">
        <v>4076</v>
      </c>
    </row>
    <row r="2960" spans="1:6" x14ac:dyDescent="0.25">
      <c r="A2960">
        <v>3098</v>
      </c>
      <c r="B2960" t="s">
        <v>4092</v>
      </c>
      <c r="C2960">
        <v>25</v>
      </c>
      <c r="D2960" t="s">
        <v>4102</v>
      </c>
      <c r="E2960" t="s">
        <v>4103</v>
      </c>
      <c r="F2960" t="s">
        <v>4075</v>
      </c>
    </row>
    <row r="2961" spans="1:6" x14ac:dyDescent="0.25">
      <c r="A2961">
        <v>3098</v>
      </c>
      <c r="B2961" t="s">
        <v>4092</v>
      </c>
      <c r="C2961">
        <v>30</v>
      </c>
      <c r="D2961" t="s">
        <v>4102</v>
      </c>
      <c r="E2961" t="s">
        <v>4103</v>
      </c>
      <c r="F2961" t="s">
        <v>4076</v>
      </c>
    </row>
    <row r="2962" spans="1:6" x14ac:dyDescent="0.25">
      <c r="A2962">
        <v>3099</v>
      </c>
      <c r="B2962" t="s">
        <v>4092</v>
      </c>
      <c r="C2962">
        <v>33</v>
      </c>
      <c r="D2962" t="s">
        <v>4109</v>
      </c>
      <c r="E2962" t="s">
        <v>4110</v>
      </c>
      <c r="F2962" t="s">
        <v>4075</v>
      </c>
    </row>
    <row r="2963" spans="1:6" x14ac:dyDescent="0.25">
      <c r="A2963">
        <v>3099</v>
      </c>
      <c r="B2963" t="s">
        <v>4092</v>
      </c>
      <c r="C2963">
        <v>34</v>
      </c>
      <c r="D2963" t="s">
        <v>4109</v>
      </c>
      <c r="E2963" t="s">
        <v>4110</v>
      </c>
      <c r="F2963" t="s">
        <v>4076</v>
      </c>
    </row>
    <row r="2964" spans="1:6" x14ac:dyDescent="0.25">
      <c r="A2964">
        <v>3100</v>
      </c>
      <c r="B2964" t="s">
        <v>4092</v>
      </c>
      <c r="C2964">
        <v>33</v>
      </c>
      <c r="D2964" t="s">
        <v>4109</v>
      </c>
      <c r="E2964" t="s">
        <v>4110</v>
      </c>
      <c r="F2964" t="s">
        <v>4075</v>
      </c>
    </row>
    <row r="2965" spans="1:6" x14ac:dyDescent="0.25">
      <c r="A2965">
        <v>3100</v>
      </c>
      <c r="B2965" t="s">
        <v>4092</v>
      </c>
      <c r="C2965">
        <v>34</v>
      </c>
      <c r="D2965" t="s">
        <v>4109</v>
      </c>
      <c r="E2965" t="s">
        <v>4110</v>
      </c>
      <c r="F2965" t="s">
        <v>4076</v>
      </c>
    </row>
    <row r="2966" spans="1:6" x14ac:dyDescent="0.25">
      <c r="A2966">
        <v>3101</v>
      </c>
      <c r="B2966" t="s">
        <v>4092</v>
      </c>
      <c r="C2966">
        <v>32</v>
      </c>
      <c r="D2966" t="s">
        <v>4106</v>
      </c>
      <c r="E2966" t="s">
        <v>4107</v>
      </c>
      <c r="F2966" t="s">
        <v>4076</v>
      </c>
    </row>
    <row r="2967" spans="1:6" x14ac:dyDescent="0.25">
      <c r="A2967">
        <v>3102</v>
      </c>
      <c r="B2967" t="s">
        <v>4092</v>
      </c>
      <c r="C2967">
        <v>23</v>
      </c>
      <c r="D2967" t="s">
        <v>2757</v>
      </c>
      <c r="E2967" t="s">
        <v>4093</v>
      </c>
      <c r="F2967" t="s">
        <v>4075</v>
      </c>
    </row>
    <row r="2968" spans="1:6" x14ac:dyDescent="0.25">
      <c r="A2968">
        <v>3102</v>
      </c>
      <c r="B2968" t="s">
        <v>4092</v>
      </c>
      <c r="C2968">
        <v>28</v>
      </c>
      <c r="D2968" t="s">
        <v>2757</v>
      </c>
      <c r="E2968" t="s">
        <v>4093</v>
      </c>
      <c r="F2968" t="s">
        <v>4076</v>
      </c>
    </row>
    <row r="2969" spans="1:6" x14ac:dyDescent="0.25">
      <c r="A2969">
        <v>3106</v>
      </c>
      <c r="B2969" t="s">
        <v>4072</v>
      </c>
      <c r="C2969">
        <v>3</v>
      </c>
      <c r="D2969" t="s">
        <v>4085</v>
      </c>
      <c r="E2969" t="s">
        <v>4086</v>
      </c>
      <c r="F2969" t="s">
        <v>4075</v>
      </c>
    </row>
    <row r="2970" spans="1:6" x14ac:dyDescent="0.25">
      <c r="A2970">
        <v>3106</v>
      </c>
      <c r="B2970" t="s">
        <v>4072</v>
      </c>
      <c r="C2970">
        <v>15</v>
      </c>
      <c r="D2970" t="s">
        <v>4080</v>
      </c>
      <c r="E2970" t="s">
        <v>4081</v>
      </c>
      <c r="F2970" t="s">
        <v>4076</v>
      </c>
    </row>
    <row r="2971" spans="1:6" x14ac:dyDescent="0.25">
      <c r="A2971">
        <v>3106</v>
      </c>
      <c r="B2971" t="s">
        <v>4072</v>
      </c>
      <c r="C2971">
        <v>40</v>
      </c>
      <c r="D2971" t="s">
        <v>4080</v>
      </c>
      <c r="E2971" t="s">
        <v>4081</v>
      </c>
      <c r="F2971" t="s">
        <v>4079</v>
      </c>
    </row>
    <row r="2972" spans="1:6" x14ac:dyDescent="0.25">
      <c r="A2972">
        <v>3107</v>
      </c>
      <c r="B2972" t="s">
        <v>4072</v>
      </c>
      <c r="C2972">
        <v>6</v>
      </c>
      <c r="D2972" t="s">
        <v>4073</v>
      </c>
      <c r="E2972" t="s">
        <v>4074</v>
      </c>
      <c r="F2972" t="s">
        <v>4075</v>
      </c>
    </row>
    <row r="2973" spans="1:6" x14ac:dyDescent="0.25">
      <c r="A2973">
        <v>3107</v>
      </c>
      <c r="B2973" t="s">
        <v>4072</v>
      </c>
      <c r="C2973">
        <v>19</v>
      </c>
      <c r="D2973" t="s">
        <v>4073</v>
      </c>
      <c r="E2973" t="s">
        <v>4074</v>
      </c>
      <c r="F2973" t="s">
        <v>4076</v>
      </c>
    </row>
    <row r="2974" spans="1:6" x14ac:dyDescent="0.25">
      <c r="A2974">
        <v>3107</v>
      </c>
      <c r="B2974" t="s">
        <v>4072</v>
      </c>
      <c r="C2974">
        <v>39</v>
      </c>
      <c r="D2974" t="s">
        <v>4073</v>
      </c>
      <c r="E2974" t="s">
        <v>4074</v>
      </c>
      <c r="F2974" t="s">
        <v>4079</v>
      </c>
    </row>
    <row r="2975" spans="1:6" x14ac:dyDescent="0.25">
      <c r="A2975">
        <v>3108</v>
      </c>
      <c r="B2975" t="s">
        <v>4072</v>
      </c>
      <c r="C2975">
        <v>3</v>
      </c>
      <c r="D2975" t="s">
        <v>4085</v>
      </c>
      <c r="E2975" t="s">
        <v>4086</v>
      </c>
      <c r="F2975" t="s">
        <v>4075</v>
      </c>
    </row>
    <row r="2976" spans="1:6" x14ac:dyDescent="0.25">
      <c r="A2976">
        <v>3108</v>
      </c>
      <c r="B2976" t="s">
        <v>4072</v>
      </c>
      <c r="C2976">
        <v>15</v>
      </c>
      <c r="D2976" t="s">
        <v>4080</v>
      </c>
      <c r="E2976" t="s">
        <v>4081</v>
      </c>
      <c r="F2976" t="s">
        <v>4076</v>
      </c>
    </row>
    <row r="2977" spans="1:6" x14ac:dyDescent="0.25">
      <c r="A2977">
        <v>3110</v>
      </c>
      <c r="B2977" t="s">
        <v>4092</v>
      </c>
      <c r="C2977">
        <v>23</v>
      </c>
      <c r="D2977" t="s">
        <v>2757</v>
      </c>
      <c r="E2977" t="s">
        <v>4093</v>
      </c>
      <c r="F2977" t="s">
        <v>4075</v>
      </c>
    </row>
    <row r="2978" spans="1:6" x14ac:dyDescent="0.25">
      <c r="A2978">
        <v>3110</v>
      </c>
      <c r="B2978" t="s">
        <v>4092</v>
      </c>
      <c r="C2978">
        <v>28</v>
      </c>
      <c r="D2978" t="s">
        <v>2757</v>
      </c>
      <c r="E2978" t="s">
        <v>4093</v>
      </c>
      <c r="F2978" t="s">
        <v>4076</v>
      </c>
    </row>
    <row r="2979" spans="1:6" x14ac:dyDescent="0.25">
      <c r="A2979">
        <v>3110</v>
      </c>
      <c r="B2979" t="s">
        <v>4092</v>
      </c>
      <c r="C2979">
        <v>48</v>
      </c>
      <c r="D2979" t="s">
        <v>2757</v>
      </c>
      <c r="E2979" t="s">
        <v>4093</v>
      </c>
      <c r="F2979" t="s">
        <v>4079</v>
      </c>
    </row>
    <row r="2980" spans="1:6" x14ac:dyDescent="0.25">
      <c r="A2980">
        <v>3111</v>
      </c>
      <c r="B2980" t="s">
        <v>4072</v>
      </c>
      <c r="C2980">
        <v>6</v>
      </c>
      <c r="D2980" t="s">
        <v>4073</v>
      </c>
      <c r="E2980" t="s">
        <v>4074</v>
      </c>
      <c r="F2980" t="s">
        <v>4075</v>
      </c>
    </row>
    <row r="2981" spans="1:6" x14ac:dyDescent="0.25">
      <c r="A2981">
        <v>3111</v>
      </c>
      <c r="B2981" t="s">
        <v>4072</v>
      </c>
      <c r="C2981">
        <v>19</v>
      </c>
      <c r="D2981" t="s">
        <v>4073</v>
      </c>
      <c r="E2981" t="s">
        <v>4074</v>
      </c>
      <c r="F2981" t="s">
        <v>4076</v>
      </c>
    </row>
    <row r="2982" spans="1:6" x14ac:dyDescent="0.25">
      <c r="A2982">
        <v>3111</v>
      </c>
      <c r="B2982" t="s">
        <v>4072</v>
      </c>
      <c r="C2982">
        <v>39</v>
      </c>
      <c r="D2982" t="s">
        <v>4073</v>
      </c>
      <c r="E2982" t="s">
        <v>4074</v>
      </c>
      <c r="F2982" t="s">
        <v>4079</v>
      </c>
    </row>
    <row r="2983" spans="1:6" x14ac:dyDescent="0.25">
      <c r="A2983">
        <v>3112</v>
      </c>
      <c r="B2983" t="s">
        <v>4072</v>
      </c>
      <c r="C2983">
        <v>2</v>
      </c>
      <c r="D2983" t="s">
        <v>4082</v>
      </c>
      <c r="E2983" t="s">
        <v>4083</v>
      </c>
      <c r="F2983" t="s">
        <v>4075</v>
      </c>
    </row>
    <row r="2984" spans="1:6" x14ac:dyDescent="0.25">
      <c r="A2984">
        <v>3112</v>
      </c>
      <c r="B2984" t="s">
        <v>4072</v>
      </c>
      <c r="C2984">
        <v>17</v>
      </c>
      <c r="D2984" t="s">
        <v>4082</v>
      </c>
      <c r="E2984" t="s">
        <v>4084</v>
      </c>
      <c r="F2984" t="s">
        <v>4076</v>
      </c>
    </row>
    <row r="2985" spans="1:6" x14ac:dyDescent="0.25">
      <c r="A2985">
        <v>3112</v>
      </c>
      <c r="B2985" t="s">
        <v>4072</v>
      </c>
      <c r="C2985">
        <v>42</v>
      </c>
      <c r="D2985" t="s">
        <v>4082</v>
      </c>
      <c r="E2985" t="s">
        <v>4083</v>
      </c>
      <c r="F2985" t="s">
        <v>4079</v>
      </c>
    </row>
    <row r="2986" spans="1:6" x14ac:dyDescent="0.25">
      <c r="A2986">
        <v>3113</v>
      </c>
      <c r="B2986" t="s">
        <v>4072</v>
      </c>
      <c r="C2986">
        <v>5</v>
      </c>
      <c r="D2986" t="s">
        <v>4087</v>
      </c>
      <c r="E2986" t="s">
        <v>4088</v>
      </c>
      <c r="F2986" t="s">
        <v>4075</v>
      </c>
    </row>
    <row r="2987" spans="1:6" x14ac:dyDescent="0.25">
      <c r="A2987">
        <v>3113</v>
      </c>
      <c r="B2987" t="s">
        <v>4072</v>
      </c>
      <c r="C2987">
        <v>15</v>
      </c>
      <c r="D2987" t="s">
        <v>4080</v>
      </c>
      <c r="E2987" t="s">
        <v>4081</v>
      </c>
      <c r="F2987" t="s">
        <v>4076</v>
      </c>
    </row>
    <row r="2988" spans="1:6" x14ac:dyDescent="0.25">
      <c r="A2988">
        <v>3113</v>
      </c>
      <c r="B2988" t="s">
        <v>4072</v>
      </c>
      <c r="C2988">
        <v>40</v>
      </c>
      <c r="D2988" t="s">
        <v>4080</v>
      </c>
      <c r="E2988" t="s">
        <v>4081</v>
      </c>
      <c r="F2988" t="s">
        <v>4079</v>
      </c>
    </row>
    <row r="2989" spans="1:6" x14ac:dyDescent="0.25">
      <c r="A2989">
        <v>3114</v>
      </c>
      <c r="B2989" t="s">
        <v>4072</v>
      </c>
      <c r="C2989">
        <v>5</v>
      </c>
      <c r="D2989" t="s">
        <v>4087</v>
      </c>
      <c r="E2989" t="s">
        <v>4088</v>
      </c>
      <c r="F2989" t="s">
        <v>4075</v>
      </c>
    </row>
    <row r="2990" spans="1:6" x14ac:dyDescent="0.25">
      <c r="A2990">
        <v>3114</v>
      </c>
      <c r="B2990" t="s">
        <v>4072</v>
      </c>
      <c r="C2990">
        <v>15</v>
      </c>
      <c r="D2990" t="s">
        <v>4080</v>
      </c>
      <c r="E2990" t="s">
        <v>4081</v>
      </c>
      <c r="F2990" t="s">
        <v>4076</v>
      </c>
    </row>
    <row r="2991" spans="1:6" x14ac:dyDescent="0.25">
      <c r="A2991">
        <v>3114</v>
      </c>
      <c r="B2991" t="s">
        <v>4072</v>
      </c>
      <c r="C2991">
        <v>40</v>
      </c>
      <c r="D2991" t="s">
        <v>4080</v>
      </c>
      <c r="E2991" t="s">
        <v>4081</v>
      </c>
      <c r="F2991" t="s">
        <v>4079</v>
      </c>
    </row>
    <row r="2992" spans="1:6" x14ac:dyDescent="0.25">
      <c r="A2992">
        <v>3115</v>
      </c>
      <c r="B2992" t="s">
        <v>4072</v>
      </c>
      <c r="C2992">
        <v>3</v>
      </c>
      <c r="D2992" t="s">
        <v>4085</v>
      </c>
      <c r="E2992" t="s">
        <v>4086</v>
      </c>
      <c r="F2992" t="s">
        <v>4075</v>
      </c>
    </row>
    <row r="2993" spans="1:6" x14ac:dyDescent="0.25">
      <c r="A2993">
        <v>3115</v>
      </c>
      <c r="B2993" t="s">
        <v>4072</v>
      </c>
      <c r="C2993">
        <v>15</v>
      </c>
      <c r="D2993" t="s">
        <v>4080</v>
      </c>
      <c r="E2993" t="s">
        <v>4081</v>
      </c>
      <c r="F2993" t="s">
        <v>4076</v>
      </c>
    </row>
    <row r="2994" spans="1:6" x14ac:dyDescent="0.25">
      <c r="A2994">
        <v>3115</v>
      </c>
      <c r="B2994" t="s">
        <v>4072</v>
      </c>
      <c r="C2994">
        <v>40</v>
      </c>
      <c r="D2994" t="s">
        <v>4080</v>
      </c>
      <c r="E2994" t="s">
        <v>4081</v>
      </c>
      <c r="F2994" t="s">
        <v>4079</v>
      </c>
    </row>
    <row r="2995" spans="1:6" x14ac:dyDescent="0.25">
      <c r="A2995">
        <v>3116</v>
      </c>
      <c r="B2995" t="s">
        <v>4072</v>
      </c>
      <c r="C2995">
        <v>4</v>
      </c>
      <c r="D2995" t="s">
        <v>4077</v>
      </c>
      <c r="E2995" t="s">
        <v>4078</v>
      </c>
      <c r="F2995" t="s">
        <v>4075</v>
      </c>
    </row>
    <row r="2996" spans="1:6" x14ac:dyDescent="0.25">
      <c r="A2996">
        <v>3116</v>
      </c>
      <c r="B2996" t="s">
        <v>4072</v>
      </c>
      <c r="C2996">
        <v>16</v>
      </c>
      <c r="D2996" t="s">
        <v>4077</v>
      </c>
      <c r="E2996" t="s">
        <v>4078</v>
      </c>
      <c r="F2996" t="s">
        <v>4076</v>
      </c>
    </row>
    <row r="2997" spans="1:6" x14ac:dyDescent="0.25">
      <c r="A2997">
        <v>3116</v>
      </c>
      <c r="B2997" t="s">
        <v>4072</v>
      </c>
      <c r="C2997">
        <v>44</v>
      </c>
      <c r="D2997" t="s">
        <v>4077</v>
      </c>
      <c r="E2997" t="s">
        <v>4078</v>
      </c>
      <c r="F2997" t="s">
        <v>4079</v>
      </c>
    </row>
    <row r="2998" spans="1:6" x14ac:dyDescent="0.25">
      <c r="A2998">
        <v>3117</v>
      </c>
      <c r="B2998" t="s">
        <v>4072</v>
      </c>
      <c r="C2998">
        <v>4</v>
      </c>
      <c r="D2998" t="s">
        <v>4077</v>
      </c>
      <c r="E2998" t="s">
        <v>4078</v>
      </c>
      <c r="F2998" t="s">
        <v>4075</v>
      </c>
    </row>
    <row r="2999" spans="1:6" x14ac:dyDescent="0.25">
      <c r="A2999">
        <v>3117</v>
      </c>
      <c r="B2999" t="s">
        <v>4072</v>
      </c>
      <c r="C2999">
        <v>16</v>
      </c>
      <c r="D2999" t="s">
        <v>4077</v>
      </c>
      <c r="E2999" t="s">
        <v>4078</v>
      </c>
      <c r="F2999" t="s">
        <v>4076</v>
      </c>
    </row>
    <row r="3000" spans="1:6" x14ac:dyDescent="0.25">
      <c r="A3000">
        <v>3118</v>
      </c>
      <c r="B3000" t="s">
        <v>4072</v>
      </c>
      <c r="C3000">
        <v>3</v>
      </c>
      <c r="D3000" t="s">
        <v>4085</v>
      </c>
      <c r="E3000" t="s">
        <v>4086</v>
      </c>
      <c r="F3000" t="s">
        <v>4075</v>
      </c>
    </row>
    <row r="3001" spans="1:6" x14ac:dyDescent="0.25">
      <c r="A3001">
        <v>3118</v>
      </c>
      <c r="B3001" t="s">
        <v>4072</v>
      </c>
      <c r="C3001">
        <v>15</v>
      </c>
      <c r="D3001" t="s">
        <v>4080</v>
      </c>
      <c r="E3001" t="s">
        <v>4081</v>
      </c>
      <c r="F3001" t="s">
        <v>4076</v>
      </c>
    </row>
    <row r="3002" spans="1:6" x14ac:dyDescent="0.25">
      <c r="A3002">
        <v>3119</v>
      </c>
      <c r="B3002" t="s">
        <v>4072</v>
      </c>
      <c r="C3002">
        <v>5</v>
      </c>
      <c r="D3002" t="s">
        <v>4087</v>
      </c>
      <c r="E3002" t="s">
        <v>4088</v>
      </c>
      <c r="F3002" t="s">
        <v>4075</v>
      </c>
    </row>
    <row r="3003" spans="1:6" x14ac:dyDescent="0.25">
      <c r="A3003">
        <v>3119</v>
      </c>
      <c r="B3003" t="s">
        <v>4072</v>
      </c>
      <c r="C3003">
        <v>15</v>
      </c>
      <c r="D3003" t="s">
        <v>4080</v>
      </c>
      <c r="E3003" t="s">
        <v>4081</v>
      </c>
      <c r="F3003" t="s">
        <v>4076</v>
      </c>
    </row>
    <row r="3004" spans="1:6" x14ac:dyDescent="0.25">
      <c r="A3004">
        <v>3120</v>
      </c>
      <c r="B3004" t="s">
        <v>4072</v>
      </c>
      <c r="C3004">
        <v>5</v>
      </c>
      <c r="D3004" t="s">
        <v>4087</v>
      </c>
      <c r="E3004" t="s">
        <v>4088</v>
      </c>
      <c r="F3004" t="s">
        <v>4075</v>
      </c>
    </row>
    <row r="3005" spans="1:6" x14ac:dyDescent="0.25">
      <c r="A3005">
        <v>3120</v>
      </c>
      <c r="B3005" t="s">
        <v>4072</v>
      </c>
      <c r="C3005">
        <v>15</v>
      </c>
      <c r="D3005" t="s">
        <v>4080</v>
      </c>
      <c r="E3005" t="s">
        <v>4081</v>
      </c>
      <c r="F3005" t="s">
        <v>4076</v>
      </c>
    </row>
    <row r="3006" spans="1:6" x14ac:dyDescent="0.25">
      <c r="A3006">
        <v>3121</v>
      </c>
      <c r="B3006" t="s">
        <v>4072</v>
      </c>
      <c r="C3006">
        <v>10</v>
      </c>
      <c r="D3006" t="s">
        <v>4095</v>
      </c>
      <c r="E3006" t="s">
        <v>4096</v>
      </c>
      <c r="F3006" t="s">
        <v>4075</v>
      </c>
    </row>
    <row r="3007" spans="1:6" x14ac:dyDescent="0.25">
      <c r="A3007">
        <v>3122</v>
      </c>
      <c r="B3007" t="s">
        <v>4092</v>
      </c>
      <c r="C3007">
        <v>33</v>
      </c>
      <c r="D3007" t="s">
        <v>4109</v>
      </c>
      <c r="E3007" t="s">
        <v>4110</v>
      </c>
      <c r="F3007" t="s">
        <v>4075</v>
      </c>
    </row>
    <row r="3008" spans="1:6" x14ac:dyDescent="0.25">
      <c r="A3008">
        <v>3123</v>
      </c>
      <c r="B3008" t="s">
        <v>4092</v>
      </c>
      <c r="C3008">
        <v>23</v>
      </c>
      <c r="D3008" t="s">
        <v>2757</v>
      </c>
      <c r="E3008" t="s">
        <v>4093</v>
      </c>
      <c r="F3008" t="s">
        <v>4075</v>
      </c>
    </row>
    <row r="3009" spans="1:6" x14ac:dyDescent="0.25">
      <c r="A3009">
        <v>3123</v>
      </c>
      <c r="B3009" t="s">
        <v>4092</v>
      </c>
      <c r="C3009">
        <v>28</v>
      </c>
      <c r="D3009" t="s">
        <v>2757</v>
      </c>
      <c r="E3009" t="s">
        <v>4093</v>
      </c>
      <c r="F3009" t="s">
        <v>4076</v>
      </c>
    </row>
    <row r="3010" spans="1:6" x14ac:dyDescent="0.25">
      <c r="A3010">
        <v>3124</v>
      </c>
      <c r="B3010" t="s">
        <v>4072</v>
      </c>
      <c r="C3010">
        <v>2</v>
      </c>
      <c r="D3010" t="s">
        <v>4082</v>
      </c>
      <c r="E3010" t="s">
        <v>4083</v>
      </c>
      <c r="F3010" t="s">
        <v>4075</v>
      </c>
    </row>
    <row r="3011" spans="1:6" x14ac:dyDescent="0.25">
      <c r="A3011">
        <v>3124</v>
      </c>
      <c r="B3011" t="s">
        <v>4072</v>
      </c>
      <c r="C3011">
        <v>17</v>
      </c>
      <c r="D3011" t="s">
        <v>4082</v>
      </c>
      <c r="E3011" t="s">
        <v>4084</v>
      </c>
      <c r="F3011" t="s">
        <v>4076</v>
      </c>
    </row>
    <row r="3012" spans="1:6" x14ac:dyDescent="0.25">
      <c r="A3012">
        <v>3125</v>
      </c>
      <c r="B3012" t="s">
        <v>4072</v>
      </c>
      <c r="C3012">
        <v>2</v>
      </c>
      <c r="D3012" t="s">
        <v>4082</v>
      </c>
      <c r="E3012" t="s">
        <v>4083</v>
      </c>
      <c r="F3012" t="s">
        <v>4075</v>
      </c>
    </row>
    <row r="3013" spans="1:6" x14ac:dyDescent="0.25">
      <c r="A3013">
        <v>3125</v>
      </c>
      <c r="B3013" t="s">
        <v>4072</v>
      </c>
      <c r="C3013">
        <v>17</v>
      </c>
      <c r="D3013" t="s">
        <v>4082</v>
      </c>
      <c r="E3013" t="s">
        <v>4084</v>
      </c>
      <c r="F3013" t="s">
        <v>4076</v>
      </c>
    </row>
    <row r="3014" spans="1:6" x14ac:dyDescent="0.25">
      <c r="A3014">
        <v>3126</v>
      </c>
      <c r="B3014" t="s">
        <v>4072</v>
      </c>
      <c r="C3014">
        <v>2</v>
      </c>
      <c r="D3014" t="s">
        <v>4082</v>
      </c>
      <c r="E3014" t="s">
        <v>4083</v>
      </c>
      <c r="F3014" t="s">
        <v>4075</v>
      </c>
    </row>
    <row r="3015" spans="1:6" x14ac:dyDescent="0.25">
      <c r="A3015">
        <v>3126</v>
      </c>
      <c r="B3015" t="s">
        <v>4072</v>
      </c>
      <c r="C3015">
        <v>17</v>
      </c>
      <c r="D3015" t="s">
        <v>4082</v>
      </c>
      <c r="E3015" t="s">
        <v>4084</v>
      </c>
      <c r="F3015" t="s">
        <v>4076</v>
      </c>
    </row>
    <row r="3016" spans="1:6" x14ac:dyDescent="0.25">
      <c r="A3016">
        <v>3127</v>
      </c>
      <c r="B3016" t="s">
        <v>4072</v>
      </c>
      <c r="C3016">
        <v>5</v>
      </c>
      <c r="D3016" t="s">
        <v>4087</v>
      </c>
      <c r="E3016" t="s">
        <v>4088</v>
      </c>
      <c r="F3016" t="s">
        <v>4075</v>
      </c>
    </row>
    <row r="3017" spans="1:6" x14ac:dyDescent="0.25">
      <c r="A3017">
        <v>3127</v>
      </c>
      <c r="B3017" t="s">
        <v>4072</v>
      </c>
      <c r="C3017">
        <v>15</v>
      </c>
      <c r="D3017" t="s">
        <v>4080</v>
      </c>
      <c r="E3017" t="s">
        <v>4081</v>
      </c>
      <c r="F3017" t="s">
        <v>4076</v>
      </c>
    </row>
    <row r="3018" spans="1:6" x14ac:dyDescent="0.25">
      <c r="A3018">
        <v>3128</v>
      </c>
      <c r="B3018" t="s">
        <v>4072</v>
      </c>
      <c r="C3018">
        <v>5</v>
      </c>
      <c r="D3018" t="s">
        <v>4087</v>
      </c>
      <c r="E3018" t="s">
        <v>4088</v>
      </c>
      <c r="F3018" t="s">
        <v>4075</v>
      </c>
    </row>
    <row r="3019" spans="1:6" x14ac:dyDescent="0.25">
      <c r="A3019">
        <v>3128</v>
      </c>
      <c r="B3019" t="s">
        <v>4072</v>
      </c>
      <c r="C3019">
        <v>15</v>
      </c>
      <c r="D3019" t="s">
        <v>4080</v>
      </c>
      <c r="E3019" t="s">
        <v>4081</v>
      </c>
      <c r="F3019" t="s">
        <v>4076</v>
      </c>
    </row>
    <row r="3020" spans="1:6" x14ac:dyDescent="0.25">
      <c r="A3020">
        <v>3129</v>
      </c>
      <c r="B3020" t="s">
        <v>4072</v>
      </c>
      <c r="C3020">
        <v>3</v>
      </c>
      <c r="D3020" t="s">
        <v>4085</v>
      </c>
      <c r="E3020" t="s">
        <v>4086</v>
      </c>
      <c r="F3020" t="s">
        <v>4075</v>
      </c>
    </row>
    <row r="3021" spans="1:6" x14ac:dyDescent="0.25">
      <c r="A3021">
        <v>3129</v>
      </c>
      <c r="B3021" t="s">
        <v>4072</v>
      </c>
      <c r="C3021">
        <v>15</v>
      </c>
      <c r="D3021" t="s">
        <v>4080</v>
      </c>
      <c r="E3021" t="s">
        <v>4081</v>
      </c>
      <c r="F3021" t="s">
        <v>4076</v>
      </c>
    </row>
    <row r="3022" spans="1:6" x14ac:dyDescent="0.25">
      <c r="A3022">
        <v>3130</v>
      </c>
      <c r="B3022" t="s">
        <v>4072</v>
      </c>
      <c r="C3022">
        <v>4</v>
      </c>
      <c r="D3022" t="s">
        <v>4077</v>
      </c>
      <c r="E3022" t="s">
        <v>4078</v>
      </c>
      <c r="F3022" t="s">
        <v>4075</v>
      </c>
    </row>
    <row r="3023" spans="1:6" x14ac:dyDescent="0.25">
      <c r="A3023">
        <v>3130</v>
      </c>
      <c r="B3023" t="s">
        <v>4072</v>
      </c>
      <c r="C3023">
        <v>16</v>
      </c>
      <c r="D3023" t="s">
        <v>4077</v>
      </c>
      <c r="E3023" t="s">
        <v>4078</v>
      </c>
      <c r="F3023" t="s">
        <v>4076</v>
      </c>
    </row>
    <row r="3024" spans="1:6" x14ac:dyDescent="0.25">
      <c r="A3024">
        <v>3131</v>
      </c>
      <c r="B3024" t="s">
        <v>4072</v>
      </c>
      <c r="C3024">
        <v>2</v>
      </c>
      <c r="D3024" t="s">
        <v>4082</v>
      </c>
      <c r="E3024" t="s">
        <v>4083</v>
      </c>
      <c r="F3024" t="s">
        <v>4075</v>
      </c>
    </row>
    <row r="3025" spans="1:6" x14ac:dyDescent="0.25">
      <c r="A3025">
        <v>3131</v>
      </c>
      <c r="B3025" t="s">
        <v>4072</v>
      </c>
      <c r="C3025">
        <v>17</v>
      </c>
      <c r="D3025" t="s">
        <v>4082</v>
      </c>
      <c r="E3025" t="s">
        <v>4084</v>
      </c>
      <c r="F3025" t="s">
        <v>4076</v>
      </c>
    </row>
    <row r="3026" spans="1:6" x14ac:dyDescent="0.25">
      <c r="A3026">
        <v>3132</v>
      </c>
      <c r="B3026" t="s">
        <v>4072</v>
      </c>
      <c r="C3026">
        <v>1</v>
      </c>
      <c r="D3026" t="s">
        <v>2761</v>
      </c>
      <c r="E3026" t="s">
        <v>4089</v>
      </c>
      <c r="F3026" t="s">
        <v>4075</v>
      </c>
    </row>
    <row r="3027" spans="1:6" x14ac:dyDescent="0.25">
      <c r="A3027">
        <v>3132</v>
      </c>
      <c r="B3027" t="s">
        <v>4072</v>
      </c>
      <c r="C3027">
        <v>2</v>
      </c>
      <c r="D3027" t="s">
        <v>4082</v>
      </c>
      <c r="E3027" t="s">
        <v>4083</v>
      </c>
      <c r="F3027" t="s">
        <v>4075</v>
      </c>
    </row>
    <row r="3028" spans="1:6" x14ac:dyDescent="0.25">
      <c r="A3028">
        <v>3132</v>
      </c>
      <c r="B3028" t="s">
        <v>4072</v>
      </c>
      <c r="C3028">
        <v>17</v>
      </c>
      <c r="D3028" t="s">
        <v>4082</v>
      </c>
      <c r="E3028" t="s">
        <v>4084</v>
      </c>
      <c r="F3028" t="s">
        <v>4076</v>
      </c>
    </row>
    <row r="3029" spans="1:6" x14ac:dyDescent="0.25">
      <c r="A3029">
        <v>3132</v>
      </c>
      <c r="B3029" t="s">
        <v>4072</v>
      </c>
      <c r="C3029">
        <v>38</v>
      </c>
      <c r="D3029" t="s">
        <v>2761</v>
      </c>
      <c r="E3029" t="s">
        <v>4089</v>
      </c>
      <c r="F3029" t="s">
        <v>4076</v>
      </c>
    </row>
    <row r="3030" spans="1:6" x14ac:dyDescent="0.25">
      <c r="A3030">
        <v>3133</v>
      </c>
      <c r="B3030" t="s">
        <v>4092</v>
      </c>
      <c r="C3030">
        <v>23</v>
      </c>
      <c r="D3030" t="s">
        <v>2757</v>
      </c>
      <c r="E3030" t="s">
        <v>4093</v>
      </c>
      <c r="F3030" t="s">
        <v>4075</v>
      </c>
    </row>
    <row r="3031" spans="1:6" x14ac:dyDescent="0.25">
      <c r="A3031">
        <v>3133</v>
      </c>
      <c r="B3031" t="s">
        <v>4092</v>
      </c>
      <c r="C3031">
        <v>28</v>
      </c>
      <c r="D3031" t="s">
        <v>2757</v>
      </c>
      <c r="E3031" t="s">
        <v>4093</v>
      </c>
      <c r="F3031" t="s">
        <v>4076</v>
      </c>
    </row>
    <row r="3032" spans="1:6" x14ac:dyDescent="0.25">
      <c r="A3032">
        <v>3134</v>
      </c>
      <c r="B3032" t="s">
        <v>4072</v>
      </c>
      <c r="C3032">
        <v>2</v>
      </c>
      <c r="D3032" t="s">
        <v>4082</v>
      </c>
      <c r="E3032" t="s">
        <v>4083</v>
      </c>
      <c r="F3032" t="s">
        <v>4075</v>
      </c>
    </row>
    <row r="3033" spans="1:6" x14ac:dyDescent="0.25">
      <c r="A3033">
        <v>3134</v>
      </c>
      <c r="B3033" t="s">
        <v>4072</v>
      </c>
      <c r="C3033">
        <v>17</v>
      </c>
      <c r="D3033" t="s">
        <v>4082</v>
      </c>
      <c r="E3033" t="s">
        <v>4084</v>
      </c>
      <c r="F3033" t="s">
        <v>4076</v>
      </c>
    </row>
    <row r="3034" spans="1:6" x14ac:dyDescent="0.25">
      <c r="A3034">
        <v>3135</v>
      </c>
      <c r="B3034" t="s">
        <v>4072</v>
      </c>
      <c r="C3034">
        <v>5</v>
      </c>
      <c r="D3034" t="s">
        <v>4087</v>
      </c>
      <c r="E3034" t="s">
        <v>4088</v>
      </c>
      <c r="F3034" t="s">
        <v>4075</v>
      </c>
    </row>
    <row r="3035" spans="1:6" x14ac:dyDescent="0.25">
      <c r="A3035">
        <v>3135</v>
      </c>
      <c r="B3035" t="s">
        <v>4072</v>
      </c>
      <c r="C3035">
        <v>15</v>
      </c>
      <c r="D3035" t="s">
        <v>4080</v>
      </c>
      <c r="E3035" t="s">
        <v>4081</v>
      </c>
      <c r="F3035" t="s">
        <v>4076</v>
      </c>
    </row>
    <row r="3036" spans="1:6" x14ac:dyDescent="0.25">
      <c r="A3036">
        <v>3136</v>
      </c>
      <c r="B3036" t="s">
        <v>4072</v>
      </c>
      <c r="C3036">
        <v>5</v>
      </c>
      <c r="D3036" t="s">
        <v>4087</v>
      </c>
      <c r="E3036" t="s">
        <v>4088</v>
      </c>
      <c r="F3036" t="s">
        <v>4075</v>
      </c>
    </row>
    <row r="3037" spans="1:6" x14ac:dyDescent="0.25">
      <c r="A3037">
        <v>3136</v>
      </c>
      <c r="B3037" t="s">
        <v>4072</v>
      </c>
      <c r="C3037">
        <v>15</v>
      </c>
      <c r="D3037" t="s">
        <v>4080</v>
      </c>
      <c r="E3037" t="s">
        <v>4081</v>
      </c>
      <c r="F3037" t="s">
        <v>4076</v>
      </c>
    </row>
    <row r="3038" spans="1:6" x14ac:dyDescent="0.25">
      <c r="A3038">
        <v>3137</v>
      </c>
      <c r="B3038" t="s">
        <v>4072</v>
      </c>
      <c r="C3038">
        <v>4</v>
      </c>
      <c r="D3038" t="s">
        <v>4077</v>
      </c>
      <c r="E3038" t="s">
        <v>4078</v>
      </c>
      <c r="F3038" t="s">
        <v>4075</v>
      </c>
    </row>
    <row r="3039" spans="1:6" x14ac:dyDescent="0.25">
      <c r="A3039">
        <v>3137</v>
      </c>
      <c r="B3039" t="s">
        <v>4072</v>
      </c>
      <c r="C3039">
        <v>16</v>
      </c>
      <c r="D3039" t="s">
        <v>4077</v>
      </c>
      <c r="E3039" t="s">
        <v>4078</v>
      </c>
      <c r="F3039" t="s">
        <v>4076</v>
      </c>
    </row>
    <row r="3040" spans="1:6" x14ac:dyDescent="0.25">
      <c r="A3040">
        <v>3138</v>
      </c>
      <c r="B3040" t="s">
        <v>4072</v>
      </c>
      <c r="C3040">
        <v>3</v>
      </c>
      <c r="D3040" t="s">
        <v>4085</v>
      </c>
      <c r="E3040" t="s">
        <v>4086</v>
      </c>
      <c r="F3040" t="s">
        <v>4075</v>
      </c>
    </row>
    <row r="3041" spans="1:6" x14ac:dyDescent="0.25">
      <c r="A3041">
        <v>3138</v>
      </c>
      <c r="B3041" t="s">
        <v>4072</v>
      </c>
      <c r="C3041">
        <v>15</v>
      </c>
      <c r="D3041" t="s">
        <v>4080</v>
      </c>
      <c r="E3041" t="s">
        <v>4081</v>
      </c>
      <c r="F3041" t="s">
        <v>4076</v>
      </c>
    </row>
    <row r="3042" spans="1:6" x14ac:dyDescent="0.25">
      <c r="A3042">
        <v>3139</v>
      </c>
      <c r="B3042" t="s">
        <v>4072</v>
      </c>
      <c r="C3042">
        <v>10</v>
      </c>
      <c r="D3042" t="s">
        <v>4095</v>
      </c>
      <c r="E3042" t="s">
        <v>4096</v>
      </c>
      <c r="F3042" t="s">
        <v>4075</v>
      </c>
    </row>
    <row r="3043" spans="1:6" x14ac:dyDescent="0.25">
      <c r="A3043">
        <v>3139</v>
      </c>
      <c r="B3043" t="s">
        <v>4072</v>
      </c>
      <c r="C3043">
        <v>12</v>
      </c>
      <c r="D3043" t="s">
        <v>2159</v>
      </c>
      <c r="E3043" t="s">
        <v>4094</v>
      </c>
      <c r="F3043" t="s">
        <v>4076</v>
      </c>
    </row>
    <row r="3044" spans="1:6" x14ac:dyDescent="0.25">
      <c r="A3044">
        <v>3140</v>
      </c>
      <c r="B3044" t="s">
        <v>4092</v>
      </c>
      <c r="C3044">
        <v>23</v>
      </c>
      <c r="D3044" t="s">
        <v>2757</v>
      </c>
      <c r="E3044" t="s">
        <v>4093</v>
      </c>
      <c r="F3044" t="s">
        <v>4075</v>
      </c>
    </row>
    <row r="3045" spans="1:6" x14ac:dyDescent="0.25">
      <c r="A3045">
        <v>3140</v>
      </c>
      <c r="B3045" t="s">
        <v>4092</v>
      </c>
      <c r="C3045">
        <v>28</v>
      </c>
      <c r="D3045" t="s">
        <v>2757</v>
      </c>
      <c r="E3045" t="s">
        <v>4093</v>
      </c>
      <c r="F3045" t="s">
        <v>4076</v>
      </c>
    </row>
    <row r="3046" spans="1:6" x14ac:dyDescent="0.25">
      <c r="A3046">
        <v>3141</v>
      </c>
      <c r="B3046" t="s">
        <v>4072</v>
      </c>
      <c r="C3046">
        <v>4</v>
      </c>
      <c r="D3046" t="s">
        <v>4077</v>
      </c>
      <c r="E3046" t="s">
        <v>4078</v>
      </c>
      <c r="F3046" t="s">
        <v>4075</v>
      </c>
    </row>
    <row r="3047" spans="1:6" x14ac:dyDescent="0.25">
      <c r="A3047">
        <v>3141</v>
      </c>
      <c r="B3047" t="s">
        <v>4072</v>
      </c>
      <c r="C3047">
        <v>16</v>
      </c>
      <c r="D3047" t="s">
        <v>4077</v>
      </c>
      <c r="E3047" t="s">
        <v>4078</v>
      </c>
      <c r="F3047" t="s">
        <v>4076</v>
      </c>
    </row>
    <row r="3048" spans="1:6" x14ac:dyDescent="0.25">
      <c r="A3048">
        <v>3142</v>
      </c>
      <c r="B3048" t="s">
        <v>4072</v>
      </c>
      <c r="C3048">
        <v>6</v>
      </c>
      <c r="D3048" t="s">
        <v>4073</v>
      </c>
      <c r="E3048" t="s">
        <v>4074</v>
      </c>
      <c r="F3048" t="s">
        <v>4075</v>
      </c>
    </row>
    <row r="3049" spans="1:6" x14ac:dyDescent="0.25">
      <c r="A3049">
        <v>3142</v>
      </c>
      <c r="B3049" t="s">
        <v>4072</v>
      </c>
      <c r="C3049">
        <v>19</v>
      </c>
      <c r="D3049" t="s">
        <v>4073</v>
      </c>
      <c r="E3049" t="s">
        <v>4074</v>
      </c>
      <c r="F3049" t="s">
        <v>4076</v>
      </c>
    </row>
    <row r="3050" spans="1:6" x14ac:dyDescent="0.25">
      <c r="A3050">
        <v>3142</v>
      </c>
      <c r="B3050" t="s">
        <v>4072</v>
      </c>
      <c r="C3050">
        <v>39</v>
      </c>
      <c r="D3050" t="s">
        <v>4073</v>
      </c>
      <c r="E3050" t="s">
        <v>4074</v>
      </c>
      <c r="F3050" t="s">
        <v>4079</v>
      </c>
    </row>
    <row r="3051" spans="1:6" x14ac:dyDescent="0.25">
      <c r="A3051">
        <v>3143</v>
      </c>
      <c r="B3051" t="s">
        <v>4072</v>
      </c>
      <c r="C3051">
        <v>5</v>
      </c>
      <c r="D3051" t="s">
        <v>4087</v>
      </c>
      <c r="E3051" t="s">
        <v>4088</v>
      </c>
      <c r="F3051" t="s">
        <v>4075</v>
      </c>
    </row>
    <row r="3052" spans="1:6" x14ac:dyDescent="0.25">
      <c r="A3052">
        <v>3143</v>
      </c>
      <c r="B3052" t="s">
        <v>4072</v>
      </c>
      <c r="C3052">
        <v>15</v>
      </c>
      <c r="D3052" t="s">
        <v>4080</v>
      </c>
      <c r="E3052" t="s">
        <v>4081</v>
      </c>
      <c r="F3052" t="s">
        <v>4076</v>
      </c>
    </row>
    <row r="3053" spans="1:6" x14ac:dyDescent="0.25">
      <c r="A3053">
        <v>3144</v>
      </c>
      <c r="B3053" t="s">
        <v>4072</v>
      </c>
      <c r="C3053">
        <v>3</v>
      </c>
      <c r="D3053" t="s">
        <v>4085</v>
      </c>
      <c r="E3053" t="s">
        <v>4086</v>
      </c>
      <c r="F3053" t="s">
        <v>4075</v>
      </c>
    </row>
    <row r="3054" spans="1:6" x14ac:dyDescent="0.25">
      <c r="A3054">
        <v>3144</v>
      </c>
      <c r="B3054" t="s">
        <v>4072</v>
      </c>
      <c r="C3054">
        <v>15</v>
      </c>
      <c r="D3054" t="s">
        <v>4080</v>
      </c>
      <c r="E3054" t="s">
        <v>4081</v>
      </c>
      <c r="F3054" t="s">
        <v>4076</v>
      </c>
    </row>
    <row r="3055" spans="1:6" x14ac:dyDescent="0.25">
      <c r="A3055">
        <v>3145</v>
      </c>
      <c r="B3055" t="s">
        <v>4072</v>
      </c>
      <c r="C3055">
        <v>2</v>
      </c>
      <c r="D3055" t="s">
        <v>4082</v>
      </c>
      <c r="E3055" t="s">
        <v>4083</v>
      </c>
      <c r="F3055" t="s">
        <v>4075</v>
      </c>
    </row>
    <row r="3056" spans="1:6" x14ac:dyDescent="0.25">
      <c r="A3056">
        <v>3145</v>
      </c>
      <c r="B3056" t="s">
        <v>4072</v>
      </c>
      <c r="C3056">
        <v>17</v>
      </c>
      <c r="D3056" t="s">
        <v>4082</v>
      </c>
      <c r="E3056" t="s">
        <v>4084</v>
      </c>
      <c r="F3056" t="s">
        <v>4076</v>
      </c>
    </row>
    <row r="3057" spans="1:6" x14ac:dyDescent="0.25">
      <c r="A3057">
        <v>3146</v>
      </c>
      <c r="B3057" t="s">
        <v>4072</v>
      </c>
      <c r="C3057">
        <v>1</v>
      </c>
      <c r="D3057" t="s">
        <v>2761</v>
      </c>
      <c r="E3057" t="s">
        <v>4089</v>
      </c>
      <c r="F3057" t="s">
        <v>4075</v>
      </c>
    </row>
    <row r="3058" spans="1:6" x14ac:dyDescent="0.25">
      <c r="A3058">
        <v>3146</v>
      </c>
      <c r="B3058" t="s">
        <v>4072</v>
      </c>
      <c r="C3058">
        <v>38</v>
      </c>
      <c r="D3058" t="s">
        <v>2761</v>
      </c>
      <c r="E3058" t="s">
        <v>4089</v>
      </c>
      <c r="F3058" t="s">
        <v>4076</v>
      </c>
    </row>
    <row r="3059" spans="1:6" x14ac:dyDescent="0.25">
      <c r="A3059">
        <v>3147</v>
      </c>
      <c r="B3059" t="s">
        <v>4072</v>
      </c>
      <c r="C3059">
        <v>3</v>
      </c>
      <c r="D3059" t="s">
        <v>4085</v>
      </c>
      <c r="E3059" t="s">
        <v>4086</v>
      </c>
      <c r="F3059" t="s">
        <v>4075</v>
      </c>
    </row>
    <row r="3060" spans="1:6" x14ac:dyDescent="0.25">
      <c r="A3060">
        <v>3147</v>
      </c>
      <c r="B3060" t="s">
        <v>4072</v>
      </c>
      <c r="C3060">
        <v>15</v>
      </c>
      <c r="D3060" t="s">
        <v>4080</v>
      </c>
      <c r="E3060" t="s">
        <v>4081</v>
      </c>
      <c r="F3060" t="s">
        <v>4076</v>
      </c>
    </row>
    <row r="3061" spans="1:6" x14ac:dyDescent="0.25">
      <c r="A3061">
        <v>3147</v>
      </c>
      <c r="B3061" t="s">
        <v>4072</v>
      </c>
      <c r="C3061">
        <v>40</v>
      </c>
      <c r="D3061" t="s">
        <v>4080</v>
      </c>
      <c r="E3061" t="s">
        <v>4081</v>
      </c>
      <c r="F3061" t="s">
        <v>4079</v>
      </c>
    </row>
    <row r="3062" spans="1:6" x14ac:dyDescent="0.25">
      <c r="A3062">
        <v>3148</v>
      </c>
      <c r="B3062" t="s">
        <v>4072</v>
      </c>
      <c r="C3062">
        <v>4</v>
      </c>
      <c r="D3062" t="s">
        <v>4077</v>
      </c>
      <c r="E3062" t="s">
        <v>4078</v>
      </c>
      <c r="F3062" t="s">
        <v>4075</v>
      </c>
    </row>
    <row r="3063" spans="1:6" x14ac:dyDescent="0.25">
      <c r="A3063">
        <v>3148</v>
      </c>
      <c r="B3063" t="s">
        <v>4072</v>
      </c>
      <c r="C3063">
        <v>16</v>
      </c>
      <c r="D3063" t="s">
        <v>4077</v>
      </c>
      <c r="E3063" t="s">
        <v>4078</v>
      </c>
      <c r="F3063" t="s">
        <v>4076</v>
      </c>
    </row>
    <row r="3064" spans="1:6" x14ac:dyDescent="0.25">
      <c r="A3064">
        <v>3148</v>
      </c>
      <c r="B3064" t="s">
        <v>4072</v>
      </c>
      <c r="C3064">
        <v>44</v>
      </c>
      <c r="D3064" t="s">
        <v>4077</v>
      </c>
      <c r="E3064" t="s">
        <v>4078</v>
      </c>
      <c r="F3064" t="s">
        <v>4079</v>
      </c>
    </row>
    <row r="3065" spans="1:6" x14ac:dyDescent="0.25">
      <c r="A3065">
        <v>3149</v>
      </c>
      <c r="B3065" t="s">
        <v>4072</v>
      </c>
      <c r="C3065">
        <v>13</v>
      </c>
      <c r="D3065" t="s">
        <v>4097</v>
      </c>
      <c r="E3065" t="s">
        <v>4098</v>
      </c>
      <c r="F3065" t="s">
        <v>4076</v>
      </c>
    </row>
    <row r="3066" spans="1:6" x14ac:dyDescent="0.25">
      <c r="A3066">
        <v>3149</v>
      </c>
      <c r="B3066" t="s">
        <v>4072</v>
      </c>
      <c r="C3066">
        <v>19</v>
      </c>
      <c r="D3066" t="s">
        <v>4073</v>
      </c>
      <c r="E3066" t="s">
        <v>4074</v>
      </c>
      <c r="F3066" t="s">
        <v>4076</v>
      </c>
    </row>
    <row r="3067" spans="1:6" x14ac:dyDescent="0.25">
      <c r="A3067">
        <v>3149</v>
      </c>
      <c r="B3067" t="s">
        <v>4072</v>
      </c>
      <c r="C3067">
        <v>39</v>
      </c>
      <c r="D3067" t="s">
        <v>4073</v>
      </c>
      <c r="E3067" t="s">
        <v>4074</v>
      </c>
      <c r="F3067" t="s">
        <v>4079</v>
      </c>
    </row>
    <row r="3068" spans="1:6" x14ac:dyDescent="0.25">
      <c r="A3068">
        <v>3149</v>
      </c>
      <c r="B3068" t="s">
        <v>4072</v>
      </c>
      <c r="C3068">
        <v>46</v>
      </c>
      <c r="D3068" t="s">
        <v>4099</v>
      </c>
      <c r="E3068" t="s">
        <v>4100</v>
      </c>
      <c r="F3068" t="s">
        <v>4079</v>
      </c>
    </row>
    <row r="3069" spans="1:6" x14ac:dyDescent="0.25">
      <c r="A3069">
        <v>3150</v>
      </c>
      <c r="B3069" t="s">
        <v>4072</v>
      </c>
      <c r="C3069">
        <v>4</v>
      </c>
      <c r="D3069" t="s">
        <v>4077</v>
      </c>
      <c r="E3069" t="s">
        <v>4078</v>
      </c>
      <c r="F3069" t="s">
        <v>4075</v>
      </c>
    </row>
    <row r="3070" spans="1:6" x14ac:dyDescent="0.25">
      <c r="A3070">
        <v>3150</v>
      </c>
      <c r="B3070" t="s">
        <v>4072</v>
      </c>
      <c r="C3070">
        <v>16</v>
      </c>
      <c r="D3070" t="s">
        <v>4077</v>
      </c>
      <c r="E3070" t="s">
        <v>4078</v>
      </c>
      <c r="F3070" t="s">
        <v>4076</v>
      </c>
    </row>
    <row r="3071" spans="1:6" x14ac:dyDescent="0.25">
      <c r="A3071">
        <v>3151</v>
      </c>
      <c r="B3071" t="s">
        <v>4072</v>
      </c>
      <c r="C3071">
        <v>5</v>
      </c>
      <c r="D3071" t="s">
        <v>4087</v>
      </c>
      <c r="E3071" t="s">
        <v>4088</v>
      </c>
      <c r="F3071" t="s">
        <v>4075</v>
      </c>
    </row>
    <row r="3072" spans="1:6" x14ac:dyDescent="0.25">
      <c r="A3072">
        <v>3151</v>
      </c>
      <c r="B3072" t="s">
        <v>4072</v>
      </c>
      <c r="C3072">
        <v>15</v>
      </c>
      <c r="D3072" t="s">
        <v>4080</v>
      </c>
      <c r="E3072" t="s">
        <v>4081</v>
      </c>
      <c r="F3072" t="s">
        <v>4076</v>
      </c>
    </row>
    <row r="3073" spans="1:6" x14ac:dyDescent="0.25">
      <c r="A3073">
        <v>3152</v>
      </c>
      <c r="B3073" t="s">
        <v>4072</v>
      </c>
      <c r="C3073">
        <v>10</v>
      </c>
      <c r="D3073" t="s">
        <v>4095</v>
      </c>
      <c r="E3073" t="s">
        <v>4096</v>
      </c>
      <c r="F3073" t="s">
        <v>4075</v>
      </c>
    </row>
    <row r="3074" spans="1:6" x14ac:dyDescent="0.25">
      <c r="A3074">
        <v>3152</v>
      </c>
      <c r="B3074" t="s">
        <v>4072</v>
      </c>
      <c r="C3074">
        <v>13</v>
      </c>
      <c r="D3074" t="s">
        <v>4097</v>
      </c>
      <c r="E3074" t="s">
        <v>4098</v>
      </c>
      <c r="F3074" t="s">
        <v>4076</v>
      </c>
    </row>
    <row r="3075" spans="1:6" x14ac:dyDescent="0.25">
      <c r="A3075">
        <v>3153</v>
      </c>
      <c r="B3075" t="s">
        <v>4072</v>
      </c>
      <c r="C3075">
        <v>12</v>
      </c>
      <c r="D3075" t="s">
        <v>2159</v>
      </c>
      <c r="E3075" t="s">
        <v>4094</v>
      </c>
      <c r="F3075" t="s">
        <v>4076</v>
      </c>
    </row>
    <row r="3076" spans="1:6" x14ac:dyDescent="0.25">
      <c r="A3076">
        <v>3154</v>
      </c>
      <c r="B3076" t="s">
        <v>4072</v>
      </c>
      <c r="C3076">
        <v>10</v>
      </c>
      <c r="D3076" t="s">
        <v>4095</v>
      </c>
      <c r="E3076" t="s">
        <v>4096</v>
      </c>
      <c r="F3076" t="s">
        <v>4075</v>
      </c>
    </row>
    <row r="3077" spans="1:6" x14ac:dyDescent="0.25">
      <c r="A3077">
        <v>3156</v>
      </c>
      <c r="B3077" t="s">
        <v>4092</v>
      </c>
      <c r="C3077">
        <v>33</v>
      </c>
      <c r="D3077" t="s">
        <v>4109</v>
      </c>
      <c r="E3077" t="s">
        <v>4110</v>
      </c>
      <c r="F3077" t="s">
        <v>4075</v>
      </c>
    </row>
    <row r="3078" spans="1:6" x14ac:dyDescent="0.25">
      <c r="A3078">
        <v>3157</v>
      </c>
      <c r="B3078" t="s">
        <v>4092</v>
      </c>
      <c r="C3078">
        <v>33</v>
      </c>
      <c r="D3078" t="s">
        <v>4109</v>
      </c>
      <c r="E3078" t="s">
        <v>4110</v>
      </c>
      <c r="F3078" t="s">
        <v>4075</v>
      </c>
    </row>
    <row r="3079" spans="1:6" x14ac:dyDescent="0.25">
      <c r="A3079">
        <v>3157</v>
      </c>
      <c r="B3079" t="s">
        <v>4092</v>
      </c>
      <c r="C3079">
        <v>34</v>
      </c>
      <c r="D3079" t="s">
        <v>4109</v>
      </c>
      <c r="E3079" t="s">
        <v>4110</v>
      </c>
      <c r="F3079" t="s">
        <v>4076</v>
      </c>
    </row>
    <row r="3080" spans="1:6" x14ac:dyDescent="0.25">
      <c r="A3080">
        <v>3159</v>
      </c>
      <c r="B3080" t="s">
        <v>4092</v>
      </c>
      <c r="C3080">
        <v>33</v>
      </c>
      <c r="D3080" t="s">
        <v>4109</v>
      </c>
      <c r="E3080" t="s">
        <v>4110</v>
      </c>
      <c r="F3080" t="s">
        <v>4075</v>
      </c>
    </row>
    <row r="3081" spans="1:6" x14ac:dyDescent="0.25">
      <c r="A3081">
        <v>3159</v>
      </c>
      <c r="B3081" t="s">
        <v>4092</v>
      </c>
      <c r="C3081">
        <v>34</v>
      </c>
      <c r="D3081" t="s">
        <v>4109</v>
      </c>
      <c r="E3081" t="s">
        <v>4110</v>
      </c>
      <c r="F3081" t="s">
        <v>4076</v>
      </c>
    </row>
    <row r="3082" spans="1:6" x14ac:dyDescent="0.25">
      <c r="A3082">
        <v>3160</v>
      </c>
      <c r="B3082" t="s">
        <v>4092</v>
      </c>
      <c r="C3082">
        <v>23</v>
      </c>
      <c r="D3082" t="s">
        <v>2757</v>
      </c>
      <c r="E3082" t="s">
        <v>4093</v>
      </c>
      <c r="F3082" t="s">
        <v>4075</v>
      </c>
    </row>
    <row r="3083" spans="1:6" x14ac:dyDescent="0.25">
      <c r="A3083">
        <v>3161</v>
      </c>
      <c r="B3083" t="s">
        <v>4092</v>
      </c>
      <c r="C3083">
        <v>23</v>
      </c>
      <c r="D3083" t="s">
        <v>2757</v>
      </c>
      <c r="E3083" t="s">
        <v>4093</v>
      </c>
      <c r="F3083" t="s">
        <v>4075</v>
      </c>
    </row>
    <row r="3084" spans="1:6" x14ac:dyDescent="0.25">
      <c r="A3084">
        <v>3162</v>
      </c>
      <c r="B3084" t="s">
        <v>4092</v>
      </c>
      <c r="C3084">
        <v>23</v>
      </c>
      <c r="D3084" t="s">
        <v>2757</v>
      </c>
      <c r="E3084" t="s">
        <v>4093</v>
      </c>
      <c r="F3084" t="s">
        <v>4075</v>
      </c>
    </row>
    <row r="3085" spans="1:6" x14ac:dyDescent="0.25">
      <c r="A3085">
        <v>3162</v>
      </c>
      <c r="B3085" t="s">
        <v>4092</v>
      </c>
      <c r="C3085">
        <v>28</v>
      </c>
      <c r="D3085" t="s">
        <v>2757</v>
      </c>
      <c r="E3085" t="s">
        <v>4093</v>
      </c>
      <c r="F3085" t="s">
        <v>4076</v>
      </c>
    </row>
    <row r="3086" spans="1:6" x14ac:dyDescent="0.25">
      <c r="A3086">
        <v>3163</v>
      </c>
      <c r="B3086" t="s">
        <v>4072</v>
      </c>
      <c r="C3086">
        <v>3</v>
      </c>
      <c r="D3086" t="s">
        <v>4085</v>
      </c>
      <c r="E3086" t="s">
        <v>4086</v>
      </c>
      <c r="F3086" t="s">
        <v>4075</v>
      </c>
    </row>
    <row r="3087" spans="1:6" x14ac:dyDescent="0.25">
      <c r="A3087">
        <v>3163</v>
      </c>
      <c r="B3087" t="s">
        <v>4072</v>
      </c>
      <c r="C3087">
        <v>15</v>
      </c>
      <c r="D3087" t="s">
        <v>4080</v>
      </c>
      <c r="E3087" t="s">
        <v>4081</v>
      </c>
      <c r="F3087" t="s">
        <v>4076</v>
      </c>
    </row>
    <row r="3088" spans="1:6" x14ac:dyDescent="0.25">
      <c r="A3088">
        <v>3163</v>
      </c>
      <c r="B3088" t="s">
        <v>4072</v>
      </c>
      <c r="C3088">
        <v>40</v>
      </c>
      <c r="D3088" t="s">
        <v>4080</v>
      </c>
      <c r="E3088" t="s">
        <v>4081</v>
      </c>
      <c r="F3088" t="s">
        <v>4079</v>
      </c>
    </row>
    <row r="3089" spans="1:6" x14ac:dyDescent="0.25">
      <c r="A3089">
        <v>3164</v>
      </c>
      <c r="B3089" t="s">
        <v>4072</v>
      </c>
      <c r="C3089">
        <v>4</v>
      </c>
      <c r="D3089" t="s">
        <v>4077</v>
      </c>
      <c r="E3089" t="s">
        <v>4078</v>
      </c>
      <c r="F3089" t="s">
        <v>4075</v>
      </c>
    </row>
    <row r="3090" spans="1:6" x14ac:dyDescent="0.25">
      <c r="A3090">
        <v>3164</v>
      </c>
      <c r="B3090" t="s">
        <v>4072</v>
      </c>
      <c r="C3090">
        <v>16</v>
      </c>
      <c r="D3090" t="s">
        <v>4077</v>
      </c>
      <c r="E3090" t="s">
        <v>4078</v>
      </c>
      <c r="F3090" t="s">
        <v>4076</v>
      </c>
    </row>
    <row r="3091" spans="1:6" x14ac:dyDescent="0.25">
      <c r="A3091">
        <v>3164</v>
      </c>
      <c r="B3091" t="s">
        <v>4072</v>
      </c>
      <c r="C3091">
        <v>44</v>
      </c>
      <c r="D3091" t="s">
        <v>4077</v>
      </c>
      <c r="E3091" t="s">
        <v>4078</v>
      </c>
      <c r="F3091" t="s">
        <v>4079</v>
      </c>
    </row>
    <row r="3092" spans="1:6" x14ac:dyDescent="0.25">
      <c r="A3092">
        <v>3165</v>
      </c>
      <c r="B3092" t="s">
        <v>4072</v>
      </c>
      <c r="C3092">
        <v>4</v>
      </c>
      <c r="D3092" t="s">
        <v>4077</v>
      </c>
      <c r="E3092" t="s">
        <v>4078</v>
      </c>
      <c r="F3092" t="s">
        <v>4075</v>
      </c>
    </row>
    <row r="3093" spans="1:6" x14ac:dyDescent="0.25">
      <c r="A3093">
        <v>3165</v>
      </c>
      <c r="B3093" t="s">
        <v>4072</v>
      </c>
      <c r="C3093">
        <v>16</v>
      </c>
      <c r="D3093" t="s">
        <v>4077</v>
      </c>
      <c r="E3093" t="s">
        <v>4078</v>
      </c>
      <c r="F3093" t="s">
        <v>4076</v>
      </c>
    </row>
    <row r="3094" spans="1:6" x14ac:dyDescent="0.25">
      <c r="A3094">
        <v>3165</v>
      </c>
      <c r="B3094" t="s">
        <v>4072</v>
      </c>
      <c r="C3094">
        <v>44</v>
      </c>
      <c r="D3094" t="s">
        <v>4077</v>
      </c>
      <c r="E3094" t="s">
        <v>4078</v>
      </c>
      <c r="F3094" t="s">
        <v>4079</v>
      </c>
    </row>
    <row r="3095" spans="1:6" x14ac:dyDescent="0.25">
      <c r="A3095">
        <v>3166</v>
      </c>
      <c r="B3095" t="s">
        <v>4072</v>
      </c>
      <c r="C3095">
        <v>5</v>
      </c>
      <c r="D3095" t="s">
        <v>4087</v>
      </c>
      <c r="E3095" t="s">
        <v>4088</v>
      </c>
      <c r="F3095" t="s">
        <v>4075</v>
      </c>
    </row>
    <row r="3096" spans="1:6" x14ac:dyDescent="0.25">
      <c r="A3096">
        <v>3166</v>
      </c>
      <c r="B3096" t="s">
        <v>4072</v>
      </c>
      <c r="C3096">
        <v>15</v>
      </c>
      <c r="D3096" t="s">
        <v>4080</v>
      </c>
      <c r="E3096" t="s">
        <v>4081</v>
      </c>
      <c r="F3096" t="s">
        <v>4076</v>
      </c>
    </row>
    <row r="3097" spans="1:6" x14ac:dyDescent="0.25">
      <c r="A3097">
        <v>3166</v>
      </c>
      <c r="B3097" t="s">
        <v>4072</v>
      </c>
      <c r="C3097">
        <v>40</v>
      </c>
      <c r="D3097" t="s">
        <v>4080</v>
      </c>
      <c r="E3097" t="s">
        <v>4081</v>
      </c>
      <c r="F3097" t="s">
        <v>4079</v>
      </c>
    </row>
    <row r="3098" spans="1:6" x14ac:dyDescent="0.25">
      <c r="A3098">
        <v>3167</v>
      </c>
      <c r="B3098" t="s">
        <v>4072</v>
      </c>
      <c r="C3098">
        <v>5</v>
      </c>
      <c r="D3098" t="s">
        <v>4087</v>
      </c>
      <c r="E3098" t="s">
        <v>4088</v>
      </c>
      <c r="F3098" t="s">
        <v>4075</v>
      </c>
    </row>
    <row r="3099" spans="1:6" x14ac:dyDescent="0.25">
      <c r="A3099">
        <v>3167</v>
      </c>
      <c r="B3099" t="s">
        <v>4072</v>
      </c>
      <c r="C3099">
        <v>15</v>
      </c>
      <c r="D3099" t="s">
        <v>4080</v>
      </c>
      <c r="E3099" t="s">
        <v>4081</v>
      </c>
      <c r="F3099" t="s">
        <v>4076</v>
      </c>
    </row>
    <row r="3100" spans="1:6" x14ac:dyDescent="0.25">
      <c r="A3100">
        <v>3167</v>
      </c>
      <c r="B3100" t="s">
        <v>4072</v>
      </c>
      <c r="C3100">
        <v>40</v>
      </c>
      <c r="D3100" t="s">
        <v>4080</v>
      </c>
      <c r="E3100" t="s">
        <v>4081</v>
      </c>
      <c r="F3100" t="s">
        <v>4079</v>
      </c>
    </row>
    <row r="3101" spans="1:6" x14ac:dyDescent="0.25">
      <c r="A3101">
        <v>3168</v>
      </c>
      <c r="B3101" t="s">
        <v>4072</v>
      </c>
      <c r="C3101">
        <v>2</v>
      </c>
      <c r="D3101" t="s">
        <v>4082</v>
      </c>
      <c r="E3101" t="s">
        <v>4083</v>
      </c>
      <c r="F3101" t="s">
        <v>4075</v>
      </c>
    </row>
    <row r="3102" spans="1:6" x14ac:dyDescent="0.25">
      <c r="A3102">
        <v>3168</v>
      </c>
      <c r="B3102" t="s">
        <v>4072</v>
      </c>
      <c r="C3102">
        <v>17</v>
      </c>
      <c r="D3102" t="s">
        <v>4082</v>
      </c>
      <c r="E3102" t="s">
        <v>4084</v>
      </c>
      <c r="F3102" t="s">
        <v>4076</v>
      </c>
    </row>
    <row r="3103" spans="1:6" x14ac:dyDescent="0.25">
      <c r="A3103">
        <v>3168</v>
      </c>
      <c r="B3103" t="s">
        <v>4072</v>
      </c>
      <c r="C3103">
        <v>42</v>
      </c>
      <c r="D3103" t="s">
        <v>4082</v>
      </c>
      <c r="E3103" t="s">
        <v>4083</v>
      </c>
      <c r="F3103" t="s">
        <v>4079</v>
      </c>
    </row>
    <row r="3104" spans="1:6" x14ac:dyDescent="0.25">
      <c r="A3104">
        <v>3169</v>
      </c>
      <c r="B3104" t="s">
        <v>4072</v>
      </c>
      <c r="C3104">
        <v>2</v>
      </c>
      <c r="D3104" t="s">
        <v>4082</v>
      </c>
      <c r="E3104" t="s">
        <v>4083</v>
      </c>
      <c r="F3104" t="s">
        <v>4075</v>
      </c>
    </row>
    <row r="3105" spans="1:6" x14ac:dyDescent="0.25">
      <c r="A3105">
        <v>3169</v>
      </c>
      <c r="B3105" t="s">
        <v>4072</v>
      </c>
      <c r="C3105">
        <v>17</v>
      </c>
      <c r="D3105" t="s">
        <v>4082</v>
      </c>
      <c r="E3105" t="s">
        <v>4084</v>
      </c>
      <c r="F3105" t="s">
        <v>4076</v>
      </c>
    </row>
    <row r="3106" spans="1:6" x14ac:dyDescent="0.25">
      <c r="A3106">
        <v>3169</v>
      </c>
      <c r="B3106" t="s">
        <v>4072</v>
      </c>
      <c r="C3106">
        <v>42</v>
      </c>
      <c r="D3106" t="s">
        <v>4082</v>
      </c>
      <c r="E3106" t="s">
        <v>4083</v>
      </c>
      <c r="F3106" t="s">
        <v>4079</v>
      </c>
    </row>
    <row r="3107" spans="1:6" x14ac:dyDescent="0.25">
      <c r="A3107">
        <v>3170</v>
      </c>
      <c r="B3107" t="s">
        <v>4092</v>
      </c>
      <c r="C3107">
        <v>33</v>
      </c>
      <c r="D3107" t="s">
        <v>4109</v>
      </c>
      <c r="E3107" t="s">
        <v>4110</v>
      </c>
      <c r="F3107" t="s">
        <v>4075</v>
      </c>
    </row>
    <row r="3108" spans="1:6" x14ac:dyDescent="0.25">
      <c r="A3108">
        <v>3171</v>
      </c>
      <c r="B3108" t="s">
        <v>4092</v>
      </c>
      <c r="C3108">
        <v>23</v>
      </c>
      <c r="D3108" t="s">
        <v>2757</v>
      </c>
      <c r="E3108" t="s">
        <v>4093</v>
      </c>
      <c r="F3108" t="s">
        <v>4075</v>
      </c>
    </row>
    <row r="3109" spans="1:6" x14ac:dyDescent="0.25">
      <c r="A3109">
        <v>3171</v>
      </c>
      <c r="B3109" t="s">
        <v>4092</v>
      </c>
      <c r="C3109">
        <v>28</v>
      </c>
      <c r="D3109" t="s">
        <v>2757</v>
      </c>
      <c r="E3109" t="s">
        <v>4093</v>
      </c>
      <c r="F3109" t="s">
        <v>4076</v>
      </c>
    </row>
    <row r="3110" spans="1:6" x14ac:dyDescent="0.25">
      <c r="A3110">
        <v>3171</v>
      </c>
      <c r="B3110" t="s">
        <v>4092</v>
      </c>
      <c r="C3110">
        <v>48</v>
      </c>
      <c r="D3110" t="s">
        <v>2757</v>
      </c>
      <c r="E3110" t="s">
        <v>4093</v>
      </c>
      <c r="F3110" t="s">
        <v>4079</v>
      </c>
    </row>
    <row r="3111" spans="1:6" x14ac:dyDescent="0.25">
      <c r="A3111">
        <v>3172</v>
      </c>
      <c r="B3111" t="s">
        <v>4092</v>
      </c>
      <c r="C3111">
        <v>33</v>
      </c>
      <c r="D3111" t="s">
        <v>4109</v>
      </c>
      <c r="E3111" t="s">
        <v>4110</v>
      </c>
      <c r="F3111" t="s">
        <v>4075</v>
      </c>
    </row>
    <row r="3112" spans="1:6" x14ac:dyDescent="0.25">
      <c r="A3112">
        <v>3172</v>
      </c>
      <c r="B3112" t="s">
        <v>4092</v>
      </c>
      <c r="C3112">
        <v>34</v>
      </c>
      <c r="D3112" t="s">
        <v>4109</v>
      </c>
      <c r="E3112" t="s">
        <v>4110</v>
      </c>
      <c r="F3112" t="s">
        <v>4076</v>
      </c>
    </row>
    <row r="3113" spans="1:6" x14ac:dyDescent="0.25">
      <c r="A3113">
        <v>3172</v>
      </c>
      <c r="B3113" t="s">
        <v>4092</v>
      </c>
      <c r="C3113">
        <v>51</v>
      </c>
      <c r="D3113" t="s">
        <v>4109</v>
      </c>
      <c r="E3113" t="s">
        <v>4111</v>
      </c>
      <c r="F3113" t="s">
        <v>4079</v>
      </c>
    </row>
    <row r="3114" spans="1:6" x14ac:dyDescent="0.25">
      <c r="A3114">
        <v>3173</v>
      </c>
      <c r="B3114" t="s">
        <v>4092</v>
      </c>
      <c r="C3114">
        <v>33</v>
      </c>
      <c r="D3114" t="s">
        <v>4109</v>
      </c>
      <c r="E3114" t="s">
        <v>4110</v>
      </c>
      <c r="F3114" t="s">
        <v>4075</v>
      </c>
    </row>
    <row r="3115" spans="1:6" x14ac:dyDescent="0.25">
      <c r="A3115">
        <v>3173</v>
      </c>
      <c r="B3115" t="s">
        <v>4092</v>
      </c>
      <c r="C3115">
        <v>34</v>
      </c>
      <c r="D3115" t="s">
        <v>4109</v>
      </c>
      <c r="E3115" t="s">
        <v>4110</v>
      </c>
      <c r="F3115" t="s">
        <v>4076</v>
      </c>
    </row>
    <row r="3116" spans="1:6" x14ac:dyDescent="0.25">
      <c r="A3116">
        <v>3173</v>
      </c>
      <c r="B3116" t="s">
        <v>4092</v>
      </c>
      <c r="C3116">
        <v>51</v>
      </c>
      <c r="D3116" t="s">
        <v>4109</v>
      </c>
      <c r="E3116" t="s">
        <v>4111</v>
      </c>
      <c r="F3116" t="s">
        <v>4079</v>
      </c>
    </row>
    <row r="3117" spans="1:6" x14ac:dyDescent="0.25">
      <c r="A3117">
        <v>3174</v>
      </c>
      <c r="B3117" t="s">
        <v>4092</v>
      </c>
      <c r="C3117">
        <v>33</v>
      </c>
      <c r="D3117" t="s">
        <v>4109</v>
      </c>
      <c r="E3117" t="s">
        <v>4110</v>
      </c>
      <c r="F3117" t="s">
        <v>4075</v>
      </c>
    </row>
    <row r="3118" spans="1:6" x14ac:dyDescent="0.25">
      <c r="A3118">
        <v>3174</v>
      </c>
      <c r="B3118" t="s">
        <v>4092</v>
      </c>
      <c r="C3118">
        <v>34</v>
      </c>
      <c r="D3118" t="s">
        <v>4109</v>
      </c>
      <c r="E3118" t="s">
        <v>4110</v>
      </c>
      <c r="F3118" t="s">
        <v>4076</v>
      </c>
    </row>
    <row r="3119" spans="1:6" x14ac:dyDescent="0.25">
      <c r="A3119">
        <v>3174</v>
      </c>
      <c r="B3119" t="s">
        <v>4092</v>
      </c>
      <c r="C3119">
        <v>51</v>
      </c>
      <c r="D3119" t="s">
        <v>4109</v>
      </c>
      <c r="E3119" t="s">
        <v>4111</v>
      </c>
      <c r="F3119" t="s">
        <v>4079</v>
      </c>
    </row>
    <row r="3120" spans="1:6" x14ac:dyDescent="0.25">
      <c r="A3120">
        <v>3175</v>
      </c>
      <c r="B3120" t="s">
        <v>4072</v>
      </c>
      <c r="C3120">
        <v>6</v>
      </c>
      <c r="D3120" t="s">
        <v>4073</v>
      </c>
      <c r="E3120" t="s">
        <v>4074</v>
      </c>
      <c r="F3120" t="s">
        <v>4075</v>
      </c>
    </row>
    <row r="3121" spans="1:6" x14ac:dyDescent="0.25">
      <c r="A3121">
        <v>3175</v>
      </c>
      <c r="B3121" t="s">
        <v>4072</v>
      </c>
      <c r="C3121">
        <v>19</v>
      </c>
      <c r="D3121" t="s">
        <v>4073</v>
      </c>
      <c r="E3121" t="s">
        <v>4074</v>
      </c>
      <c r="F3121" t="s">
        <v>4076</v>
      </c>
    </row>
    <row r="3122" spans="1:6" x14ac:dyDescent="0.25">
      <c r="A3122">
        <v>3176</v>
      </c>
      <c r="B3122" t="s">
        <v>4072</v>
      </c>
      <c r="C3122">
        <v>6</v>
      </c>
      <c r="D3122" t="s">
        <v>4073</v>
      </c>
      <c r="E3122" t="s">
        <v>4074</v>
      </c>
      <c r="F3122" t="s">
        <v>4075</v>
      </c>
    </row>
    <row r="3123" spans="1:6" x14ac:dyDescent="0.25">
      <c r="A3123">
        <v>3176</v>
      </c>
      <c r="B3123" t="s">
        <v>4072</v>
      </c>
      <c r="C3123">
        <v>19</v>
      </c>
      <c r="D3123" t="s">
        <v>4073</v>
      </c>
      <c r="E3123" t="s">
        <v>4074</v>
      </c>
      <c r="F3123" t="s">
        <v>4076</v>
      </c>
    </row>
    <row r="3124" spans="1:6" x14ac:dyDescent="0.25">
      <c r="A3124">
        <v>3177</v>
      </c>
      <c r="B3124" t="s">
        <v>4072</v>
      </c>
      <c r="C3124">
        <v>3</v>
      </c>
      <c r="D3124" t="s">
        <v>4085</v>
      </c>
      <c r="E3124" t="s">
        <v>4086</v>
      </c>
      <c r="F3124" t="s">
        <v>4075</v>
      </c>
    </row>
    <row r="3125" spans="1:6" x14ac:dyDescent="0.25">
      <c r="A3125">
        <v>3177</v>
      </c>
      <c r="B3125" t="s">
        <v>4072</v>
      </c>
      <c r="C3125">
        <v>15</v>
      </c>
      <c r="D3125" t="s">
        <v>4080</v>
      </c>
      <c r="E3125" t="s">
        <v>4081</v>
      </c>
      <c r="F3125" t="s">
        <v>4076</v>
      </c>
    </row>
    <row r="3126" spans="1:6" x14ac:dyDescent="0.25">
      <c r="A3126">
        <v>3177</v>
      </c>
      <c r="B3126" t="s">
        <v>4072</v>
      </c>
      <c r="C3126">
        <v>40</v>
      </c>
      <c r="D3126" t="s">
        <v>4080</v>
      </c>
      <c r="E3126" t="s">
        <v>4081</v>
      </c>
      <c r="F3126" t="s">
        <v>4079</v>
      </c>
    </row>
    <row r="3127" spans="1:6" x14ac:dyDescent="0.25">
      <c r="A3127">
        <v>3178</v>
      </c>
      <c r="B3127" t="s">
        <v>4072</v>
      </c>
      <c r="C3127">
        <v>4</v>
      </c>
      <c r="D3127" t="s">
        <v>4077</v>
      </c>
      <c r="E3127" t="s">
        <v>4078</v>
      </c>
      <c r="F3127" t="s">
        <v>4075</v>
      </c>
    </row>
    <row r="3128" spans="1:6" x14ac:dyDescent="0.25">
      <c r="A3128">
        <v>3178</v>
      </c>
      <c r="B3128" t="s">
        <v>4072</v>
      </c>
      <c r="C3128">
        <v>16</v>
      </c>
      <c r="D3128" t="s">
        <v>4077</v>
      </c>
      <c r="E3128" t="s">
        <v>4078</v>
      </c>
      <c r="F3128" t="s">
        <v>4076</v>
      </c>
    </row>
    <row r="3129" spans="1:6" x14ac:dyDescent="0.25">
      <c r="A3129">
        <v>3178</v>
      </c>
      <c r="B3129" t="s">
        <v>4072</v>
      </c>
      <c r="C3129">
        <v>44</v>
      </c>
      <c r="D3129" t="s">
        <v>4077</v>
      </c>
      <c r="E3129" t="s">
        <v>4078</v>
      </c>
      <c r="F3129" t="s">
        <v>4079</v>
      </c>
    </row>
    <row r="3130" spans="1:6" x14ac:dyDescent="0.25">
      <c r="A3130">
        <v>3179</v>
      </c>
      <c r="B3130" t="s">
        <v>4072</v>
      </c>
      <c r="C3130">
        <v>5</v>
      </c>
      <c r="D3130" t="s">
        <v>4087</v>
      </c>
      <c r="E3130" t="s">
        <v>4088</v>
      </c>
      <c r="F3130" t="s">
        <v>4075</v>
      </c>
    </row>
    <row r="3131" spans="1:6" x14ac:dyDescent="0.25">
      <c r="A3131">
        <v>3179</v>
      </c>
      <c r="B3131" t="s">
        <v>4072</v>
      </c>
      <c r="C3131">
        <v>15</v>
      </c>
      <c r="D3131" t="s">
        <v>4080</v>
      </c>
      <c r="E3131" t="s">
        <v>4081</v>
      </c>
      <c r="F3131" t="s">
        <v>4076</v>
      </c>
    </row>
    <row r="3132" spans="1:6" x14ac:dyDescent="0.25">
      <c r="A3132">
        <v>3179</v>
      </c>
      <c r="B3132" t="s">
        <v>4072</v>
      </c>
      <c r="C3132">
        <v>40</v>
      </c>
      <c r="D3132" t="s">
        <v>4080</v>
      </c>
      <c r="E3132" t="s">
        <v>4081</v>
      </c>
      <c r="F3132" t="s">
        <v>4079</v>
      </c>
    </row>
    <row r="3133" spans="1:6" x14ac:dyDescent="0.25">
      <c r="A3133">
        <v>3180</v>
      </c>
      <c r="B3133" t="s">
        <v>4072</v>
      </c>
      <c r="C3133">
        <v>5</v>
      </c>
      <c r="D3133" t="s">
        <v>4087</v>
      </c>
      <c r="E3133" t="s">
        <v>4088</v>
      </c>
      <c r="F3133" t="s">
        <v>4075</v>
      </c>
    </row>
    <row r="3134" spans="1:6" x14ac:dyDescent="0.25">
      <c r="A3134">
        <v>3180</v>
      </c>
      <c r="B3134" t="s">
        <v>4072</v>
      </c>
      <c r="C3134">
        <v>15</v>
      </c>
      <c r="D3134" t="s">
        <v>4080</v>
      </c>
      <c r="E3134" t="s">
        <v>4081</v>
      </c>
      <c r="F3134" t="s">
        <v>4076</v>
      </c>
    </row>
    <row r="3135" spans="1:6" x14ac:dyDescent="0.25">
      <c r="A3135">
        <v>3180</v>
      </c>
      <c r="B3135" t="s">
        <v>4072</v>
      </c>
      <c r="C3135">
        <v>40</v>
      </c>
      <c r="D3135" t="s">
        <v>4080</v>
      </c>
      <c r="E3135" t="s">
        <v>4081</v>
      </c>
      <c r="F3135" t="s">
        <v>4079</v>
      </c>
    </row>
    <row r="3136" spans="1:6" x14ac:dyDescent="0.25">
      <c r="A3136">
        <v>3181</v>
      </c>
      <c r="B3136" t="s">
        <v>4072</v>
      </c>
      <c r="C3136">
        <v>1</v>
      </c>
      <c r="D3136" t="s">
        <v>2761</v>
      </c>
      <c r="E3136" t="s">
        <v>4089</v>
      </c>
      <c r="F3136" t="s">
        <v>4075</v>
      </c>
    </row>
    <row r="3137" spans="1:6" x14ac:dyDescent="0.25">
      <c r="A3137">
        <v>3181</v>
      </c>
      <c r="B3137" t="s">
        <v>4072</v>
      </c>
      <c r="C3137">
        <v>2</v>
      </c>
      <c r="D3137" t="s">
        <v>4082</v>
      </c>
      <c r="E3137" t="s">
        <v>4083</v>
      </c>
      <c r="F3137" t="s">
        <v>4075</v>
      </c>
    </row>
    <row r="3138" spans="1:6" x14ac:dyDescent="0.25">
      <c r="A3138">
        <v>3181</v>
      </c>
      <c r="B3138" t="s">
        <v>4072</v>
      </c>
      <c r="C3138">
        <v>17</v>
      </c>
      <c r="D3138" t="s">
        <v>4082</v>
      </c>
      <c r="E3138" t="s">
        <v>4084</v>
      </c>
      <c r="F3138" t="s">
        <v>4076</v>
      </c>
    </row>
    <row r="3139" spans="1:6" x14ac:dyDescent="0.25">
      <c r="A3139">
        <v>3181</v>
      </c>
      <c r="B3139" t="s">
        <v>4072</v>
      </c>
      <c r="C3139">
        <v>38</v>
      </c>
      <c r="D3139" t="s">
        <v>2761</v>
      </c>
      <c r="E3139" t="s">
        <v>4089</v>
      </c>
      <c r="F3139" t="s">
        <v>4076</v>
      </c>
    </row>
    <row r="3140" spans="1:6" x14ac:dyDescent="0.25">
      <c r="A3140">
        <v>3181</v>
      </c>
      <c r="B3140" t="s">
        <v>4072</v>
      </c>
      <c r="C3140">
        <v>42</v>
      </c>
      <c r="D3140" t="s">
        <v>4082</v>
      </c>
      <c r="E3140" t="s">
        <v>4083</v>
      </c>
      <c r="F3140" t="s">
        <v>4079</v>
      </c>
    </row>
    <row r="3141" spans="1:6" x14ac:dyDescent="0.25">
      <c r="A3141">
        <v>3181</v>
      </c>
      <c r="B3141" t="s">
        <v>4072</v>
      </c>
      <c r="C3141">
        <v>43</v>
      </c>
      <c r="D3141" t="s">
        <v>2761</v>
      </c>
      <c r="E3141" t="s">
        <v>4089</v>
      </c>
      <c r="F3141" t="s">
        <v>4079</v>
      </c>
    </row>
    <row r="3142" spans="1:6" x14ac:dyDescent="0.25">
      <c r="A3142">
        <v>3182</v>
      </c>
      <c r="B3142" t="s">
        <v>4092</v>
      </c>
      <c r="C3142">
        <v>23</v>
      </c>
      <c r="D3142" t="s">
        <v>2757</v>
      </c>
      <c r="E3142" t="s">
        <v>4093</v>
      </c>
      <c r="F3142" t="s">
        <v>4075</v>
      </c>
    </row>
    <row r="3143" spans="1:6" x14ac:dyDescent="0.25">
      <c r="A3143">
        <v>3182</v>
      </c>
      <c r="B3143" t="s">
        <v>4092</v>
      </c>
      <c r="C3143">
        <v>28</v>
      </c>
      <c r="D3143" t="s">
        <v>2757</v>
      </c>
      <c r="E3143" t="s">
        <v>4093</v>
      </c>
      <c r="F3143" t="s">
        <v>4076</v>
      </c>
    </row>
    <row r="3144" spans="1:6" x14ac:dyDescent="0.25">
      <c r="A3144">
        <v>3182</v>
      </c>
      <c r="B3144" t="s">
        <v>4092</v>
      </c>
      <c r="C3144">
        <v>48</v>
      </c>
      <c r="D3144" t="s">
        <v>2757</v>
      </c>
      <c r="E3144" t="s">
        <v>4093</v>
      </c>
      <c r="F3144" t="s">
        <v>4079</v>
      </c>
    </row>
    <row r="3145" spans="1:6" x14ac:dyDescent="0.25">
      <c r="A3145">
        <v>3183</v>
      </c>
      <c r="B3145" t="s">
        <v>4072</v>
      </c>
      <c r="C3145">
        <v>2</v>
      </c>
      <c r="D3145" t="s">
        <v>4082</v>
      </c>
      <c r="E3145" t="s">
        <v>4083</v>
      </c>
      <c r="F3145" t="s">
        <v>4075</v>
      </c>
    </row>
    <row r="3146" spans="1:6" x14ac:dyDescent="0.25">
      <c r="A3146">
        <v>3183</v>
      </c>
      <c r="B3146" t="s">
        <v>4072</v>
      </c>
      <c r="C3146">
        <v>17</v>
      </c>
      <c r="D3146" t="s">
        <v>4082</v>
      </c>
      <c r="E3146" t="s">
        <v>4084</v>
      </c>
      <c r="F3146" t="s">
        <v>4076</v>
      </c>
    </row>
    <row r="3147" spans="1:6" x14ac:dyDescent="0.25">
      <c r="A3147">
        <v>3183</v>
      </c>
      <c r="B3147" t="s">
        <v>4072</v>
      </c>
      <c r="C3147">
        <v>42</v>
      </c>
      <c r="D3147" t="s">
        <v>4082</v>
      </c>
      <c r="E3147" t="s">
        <v>4083</v>
      </c>
      <c r="F3147" t="s">
        <v>4079</v>
      </c>
    </row>
    <row r="3148" spans="1:6" x14ac:dyDescent="0.25">
      <c r="A3148">
        <v>3184</v>
      </c>
      <c r="B3148" t="s">
        <v>4072</v>
      </c>
      <c r="C3148">
        <v>19</v>
      </c>
      <c r="D3148" t="s">
        <v>4073</v>
      </c>
      <c r="E3148" t="s">
        <v>4074</v>
      </c>
      <c r="F3148" t="s">
        <v>4076</v>
      </c>
    </row>
    <row r="3149" spans="1:6" x14ac:dyDescent="0.25">
      <c r="A3149">
        <v>3184</v>
      </c>
      <c r="B3149" t="s">
        <v>4072</v>
      </c>
      <c r="C3149">
        <v>39</v>
      </c>
      <c r="D3149" t="s">
        <v>4073</v>
      </c>
      <c r="E3149" t="s">
        <v>4074</v>
      </c>
      <c r="F3149" t="s">
        <v>4079</v>
      </c>
    </row>
    <row r="3150" spans="1:6" x14ac:dyDescent="0.25">
      <c r="A3150">
        <v>3185</v>
      </c>
      <c r="B3150" t="s">
        <v>4072</v>
      </c>
      <c r="C3150">
        <v>4</v>
      </c>
      <c r="D3150" t="s">
        <v>4077</v>
      </c>
      <c r="E3150" t="s">
        <v>4078</v>
      </c>
      <c r="F3150" t="s">
        <v>4075</v>
      </c>
    </row>
    <row r="3151" spans="1:6" x14ac:dyDescent="0.25">
      <c r="A3151">
        <v>3185</v>
      </c>
      <c r="B3151" t="s">
        <v>4072</v>
      </c>
      <c r="C3151">
        <v>16</v>
      </c>
      <c r="D3151" t="s">
        <v>4077</v>
      </c>
      <c r="E3151" t="s">
        <v>4078</v>
      </c>
      <c r="F3151" t="s">
        <v>4076</v>
      </c>
    </row>
    <row r="3152" spans="1:6" x14ac:dyDescent="0.25">
      <c r="A3152">
        <v>3187</v>
      </c>
      <c r="B3152" t="s">
        <v>4072</v>
      </c>
      <c r="C3152">
        <v>5</v>
      </c>
      <c r="D3152" t="s">
        <v>4087</v>
      </c>
      <c r="E3152" t="s">
        <v>4088</v>
      </c>
      <c r="F3152" t="s">
        <v>4075</v>
      </c>
    </row>
    <row r="3153" spans="1:6" x14ac:dyDescent="0.25">
      <c r="A3153">
        <v>3187</v>
      </c>
      <c r="B3153" t="s">
        <v>4072</v>
      </c>
      <c r="C3153">
        <v>15</v>
      </c>
      <c r="D3153" t="s">
        <v>4080</v>
      </c>
      <c r="E3153" t="s">
        <v>4081</v>
      </c>
      <c r="F3153" t="s">
        <v>4076</v>
      </c>
    </row>
    <row r="3154" spans="1:6" x14ac:dyDescent="0.25">
      <c r="A3154">
        <v>3188</v>
      </c>
      <c r="B3154" t="s">
        <v>4092</v>
      </c>
      <c r="C3154">
        <v>34</v>
      </c>
      <c r="D3154" t="s">
        <v>4109</v>
      </c>
      <c r="E3154" t="s">
        <v>4110</v>
      </c>
      <c r="F3154" t="s">
        <v>4076</v>
      </c>
    </row>
    <row r="3155" spans="1:6" x14ac:dyDescent="0.25">
      <c r="A3155">
        <v>3189</v>
      </c>
      <c r="B3155" t="s">
        <v>4072</v>
      </c>
      <c r="C3155">
        <v>6</v>
      </c>
      <c r="D3155" t="s">
        <v>4073</v>
      </c>
      <c r="E3155" t="s">
        <v>4074</v>
      </c>
      <c r="F3155" t="s">
        <v>4075</v>
      </c>
    </row>
    <row r="3156" spans="1:6" x14ac:dyDescent="0.25">
      <c r="A3156">
        <v>3189</v>
      </c>
      <c r="B3156" t="s">
        <v>4072</v>
      </c>
      <c r="C3156">
        <v>19</v>
      </c>
      <c r="D3156" t="s">
        <v>4073</v>
      </c>
      <c r="E3156" t="s">
        <v>4074</v>
      </c>
      <c r="F3156" t="s">
        <v>4076</v>
      </c>
    </row>
    <row r="3157" spans="1:6" x14ac:dyDescent="0.25">
      <c r="A3157">
        <v>3190</v>
      </c>
      <c r="B3157" t="s">
        <v>4072</v>
      </c>
      <c r="C3157">
        <v>1</v>
      </c>
      <c r="D3157" t="s">
        <v>2761</v>
      </c>
      <c r="E3157" t="s">
        <v>4089</v>
      </c>
      <c r="F3157" t="s">
        <v>4075</v>
      </c>
    </row>
    <row r="3158" spans="1:6" x14ac:dyDescent="0.25">
      <c r="A3158">
        <v>3190</v>
      </c>
      <c r="B3158" t="s">
        <v>4072</v>
      </c>
      <c r="C3158">
        <v>38</v>
      </c>
      <c r="D3158" t="s">
        <v>2761</v>
      </c>
      <c r="E3158" t="s">
        <v>4089</v>
      </c>
      <c r="F3158" t="s">
        <v>4076</v>
      </c>
    </row>
    <row r="3159" spans="1:6" x14ac:dyDescent="0.25">
      <c r="A3159">
        <v>3191</v>
      </c>
      <c r="B3159" t="s">
        <v>4072</v>
      </c>
      <c r="C3159">
        <v>2</v>
      </c>
      <c r="D3159" t="s">
        <v>4082</v>
      </c>
      <c r="E3159" t="s">
        <v>4083</v>
      </c>
      <c r="F3159" t="s">
        <v>4075</v>
      </c>
    </row>
    <row r="3160" spans="1:6" x14ac:dyDescent="0.25">
      <c r="A3160">
        <v>3191</v>
      </c>
      <c r="B3160" t="s">
        <v>4072</v>
      </c>
      <c r="C3160">
        <v>17</v>
      </c>
      <c r="D3160" t="s">
        <v>4082</v>
      </c>
      <c r="E3160" t="s">
        <v>4084</v>
      </c>
      <c r="F3160" t="s">
        <v>4076</v>
      </c>
    </row>
    <row r="3161" spans="1:6" x14ac:dyDescent="0.25">
      <c r="A3161">
        <v>3192</v>
      </c>
      <c r="B3161" t="s">
        <v>4072</v>
      </c>
      <c r="C3161">
        <v>3</v>
      </c>
      <c r="D3161" t="s">
        <v>4085</v>
      </c>
      <c r="E3161" t="s">
        <v>4086</v>
      </c>
      <c r="F3161" t="s">
        <v>4075</v>
      </c>
    </row>
    <row r="3162" spans="1:6" x14ac:dyDescent="0.25">
      <c r="A3162">
        <v>3192</v>
      </c>
      <c r="B3162" t="s">
        <v>4072</v>
      </c>
      <c r="C3162">
        <v>15</v>
      </c>
      <c r="D3162" t="s">
        <v>4080</v>
      </c>
      <c r="E3162" t="s">
        <v>4081</v>
      </c>
      <c r="F3162" t="s">
        <v>4076</v>
      </c>
    </row>
    <row r="3163" spans="1:6" x14ac:dyDescent="0.25">
      <c r="A3163">
        <v>3193</v>
      </c>
      <c r="B3163" t="s">
        <v>4092</v>
      </c>
      <c r="C3163">
        <v>23</v>
      </c>
      <c r="D3163" t="s">
        <v>2757</v>
      </c>
      <c r="E3163" t="s">
        <v>4093</v>
      </c>
      <c r="F3163" t="s">
        <v>4075</v>
      </c>
    </row>
    <row r="3164" spans="1:6" x14ac:dyDescent="0.25">
      <c r="A3164">
        <v>3193</v>
      </c>
      <c r="B3164" t="s">
        <v>4092</v>
      </c>
      <c r="C3164">
        <v>28</v>
      </c>
      <c r="D3164" t="s">
        <v>2757</v>
      </c>
      <c r="E3164" t="s">
        <v>4093</v>
      </c>
      <c r="F3164" t="s">
        <v>4076</v>
      </c>
    </row>
    <row r="3165" spans="1:6" x14ac:dyDescent="0.25">
      <c r="A3165">
        <v>3194</v>
      </c>
      <c r="B3165" t="s">
        <v>4092</v>
      </c>
      <c r="C3165">
        <v>23</v>
      </c>
      <c r="D3165" t="s">
        <v>2757</v>
      </c>
      <c r="E3165" t="s">
        <v>4093</v>
      </c>
      <c r="F3165" t="s">
        <v>4075</v>
      </c>
    </row>
    <row r="3166" spans="1:6" x14ac:dyDescent="0.25">
      <c r="A3166">
        <v>3194</v>
      </c>
      <c r="B3166" t="s">
        <v>4092</v>
      </c>
      <c r="C3166">
        <v>28</v>
      </c>
      <c r="D3166" t="s">
        <v>2757</v>
      </c>
      <c r="E3166" t="s">
        <v>4093</v>
      </c>
      <c r="F3166" t="s">
        <v>4076</v>
      </c>
    </row>
    <row r="3167" spans="1:6" x14ac:dyDescent="0.25">
      <c r="A3167">
        <v>3195</v>
      </c>
      <c r="B3167" t="s">
        <v>4092</v>
      </c>
      <c r="C3167">
        <v>33</v>
      </c>
      <c r="D3167" t="s">
        <v>4109</v>
      </c>
      <c r="E3167" t="s">
        <v>4110</v>
      </c>
      <c r="F3167" t="s">
        <v>4075</v>
      </c>
    </row>
    <row r="3168" spans="1:6" x14ac:dyDescent="0.25">
      <c r="A3168">
        <v>3195</v>
      </c>
      <c r="B3168" t="s">
        <v>4092</v>
      </c>
      <c r="C3168">
        <v>34</v>
      </c>
      <c r="D3168" t="s">
        <v>4109</v>
      </c>
      <c r="E3168" t="s">
        <v>4110</v>
      </c>
      <c r="F3168" t="s">
        <v>4076</v>
      </c>
    </row>
    <row r="3169" spans="1:6" x14ac:dyDescent="0.25">
      <c r="A3169">
        <v>3196</v>
      </c>
      <c r="B3169" t="s">
        <v>4092</v>
      </c>
      <c r="C3169">
        <v>33</v>
      </c>
      <c r="D3169" t="s">
        <v>4109</v>
      </c>
      <c r="E3169" t="s">
        <v>4110</v>
      </c>
      <c r="F3169" t="s">
        <v>4075</v>
      </c>
    </row>
    <row r="3170" spans="1:6" x14ac:dyDescent="0.25">
      <c r="A3170">
        <v>3196</v>
      </c>
      <c r="B3170" t="s">
        <v>4092</v>
      </c>
      <c r="C3170">
        <v>34</v>
      </c>
      <c r="D3170" t="s">
        <v>4109</v>
      </c>
      <c r="E3170" t="s">
        <v>4110</v>
      </c>
      <c r="F3170" t="s">
        <v>4076</v>
      </c>
    </row>
    <row r="3171" spans="1:6" x14ac:dyDescent="0.25">
      <c r="A3171">
        <v>3197</v>
      </c>
      <c r="B3171" t="s">
        <v>4092</v>
      </c>
      <c r="C3171">
        <v>24</v>
      </c>
      <c r="D3171" t="s">
        <v>2760</v>
      </c>
      <c r="E3171" t="s">
        <v>4108</v>
      </c>
      <c r="F3171" t="s">
        <v>4075</v>
      </c>
    </row>
    <row r="3172" spans="1:6" x14ac:dyDescent="0.25">
      <c r="A3172">
        <v>3197</v>
      </c>
      <c r="B3172" t="s">
        <v>4092</v>
      </c>
      <c r="C3172">
        <v>29</v>
      </c>
      <c r="D3172" t="s">
        <v>2760</v>
      </c>
      <c r="E3172" t="s">
        <v>4108</v>
      </c>
      <c r="F3172" t="s">
        <v>4076</v>
      </c>
    </row>
    <row r="3173" spans="1:6" x14ac:dyDescent="0.25">
      <c r="A3173">
        <v>3198</v>
      </c>
      <c r="B3173" t="s">
        <v>4072</v>
      </c>
      <c r="C3173">
        <v>4</v>
      </c>
      <c r="D3173" t="s">
        <v>4077</v>
      </c>
      <c r="E3173" t="s">
        <v>4078</v>
      </c>
      <c r="F3173" t="s">
        <v>4075</v>
      </c>
    </row>
    <row r="3174" spans="1:6" x14ac:dyDescent="0.25">
      <c r="A3174">
        <v>3198</v>
      </c>
      <c r="B3174" t="s">
        <v>4072</v>
      </c>
      <c r="C3174">
        <v>16</v>
      </c>
      <c r="D3174" t="s">
        <v>4077</v>
      </c>
      <c r="E3174" t="s">
        <v>4078</v>
      </c>
      <c r="F3174" t="s">
        <v>4076</v>
      </c>
    </row>
    <row r="3175" spans="1:6" x14ac:dyDescent="0.25">
      <c r="A3175">
        <v>3198</v>
      </c>
      <c r="B3175" t="s">
        <v>4072</v>
      </c>
      <c r="C3175">
        <v>44</v>
      </c>
      <c r="D3175" t="s">
        <v>4077</v>
      </c>
      <c r="E3175" t="s">
        <v>4078</v>
      </c>
      <c r="F3175" t="s">
        <v>4079</v>
      </c>
    </row>
    <row r="3176" spans="1:6" x14ac:dyDescent="0.25">
      <c r="A3176">
        <v>3199</v>
      </c>
      <c r="B3176" t="s">
        <v>4072</v>
      </c>
      <c r="C3176">
        <v>2</v>
      </c>
      <c r="D3176" t="s">
        <v>4082</v>
      </c>
      <c r="E3176" t="s">
        <v>4083</v>
      </c>
      <c r="F3176" t="s">
        <v>4075</v>
      </c>
    </row>
    <row r="3177" spans="1:6" x14ac:dyDescent="0.25">
      <c r="A3177">
        <v>3199</v>
      </c>
      <c r="B3177" t="s">
        <v>4072</v>
      </c>
      <c r="C3177">
        <v>17</v>
      </c>
      <c r="D3177" t="s">
        <v>4082</v>
      </c>
      <c r="E3177" t="s">
        <v>4084</v>
      </c>
      <c r="F3177" t="s">
        <v>4076</v>
      </c>
    </row>
    <row r="3178" spans="1:6" x14ac:dyDescent="0.25">
      <c r="A3178">
        <v>3200</v>
      </c>
      <c r="B3178" t="s">
        <v>4072</v>
      </c>
      <c r="C3178">
        <v>5</v>
      </c>
      <c r="D3178" t="s">
        <v>4087</v>
      </c>
      <c r="E3178" t="s">
        <v>4088</v>
      </c>
      <c r="F3178" t="s">
        <v>4075</v>
      </c>
    </row>
    <row r="3179" spans="1:6" x14ac:dyDescent="0.25">
      <c r="A3179">
        <v>3200</v>
      </c>
      <c r="B3179" t="s">
        <v>4072</v>
      </c>
      <c r="C3179">
        <v>15</v>
      </c>
      <c r="D3179" t="s">
        <v>4080</v>
      </c>
      <c r="E3179" t="s">
        <v>4081</v>
      </c>
      <c r="F3179" t="s">
        <v>4076</v>
      </c>
    </row>
    <row r="3180" spans="1:6" x14ac:dyDescent="0.25">
      <c r="A3180">
        <v>3201</v>
      </c>
      <c r="B3180" t="s">
        <v>4072</v>
      </c>
      <c r="C3180">
        <v>5</v>
      </c>
      <c r="D3180" t="s">
        <v>4087</v>
      </c>
      <c r="E3180" t="s">
        <v>4088</v>
      </c>
      <c r="F3180" t="s">
        <v>4075</v>
      </c>
    </row>
    <row r="3181" spans="1:6" x14ac:dyDescent="0.25">
      <c r="A3181">
        <v>3201</v>
      </c>
      <c r="B3181" t="s">
        <v>4072</v>
      </c>
      <c r="C3181">
        <v>15</v>
      </c>
      <c r="D3181" t="s">
        <v>4080</v>
      </c>
      <c r="E3181" t="s">
        <v>4081</v>
      </c>
      <c r="F3181" t="s">
        <v>4076</v>
      </c>
    </row>
    <row r="3182" spans="1:6" x14ac:dyDescent="0.25">
      <c r="A3182">
        <v>3202</v>
      </c>
      <c r="B3182" t="s">
        <v>4072</v>
      </c>
      <c r="C3182">
        <v>3</v>
      </c>
      <c r="D3182" t="s">
        <v>4085</v>
      </c>
      <c r="E3182" t="s">
        <v>4086</v>
      </c>
      <c r="F3182" t="s">
        <v>4075</v>
      </c>
    </row>
    <row r="3183" spans="1:6" x14ac:dyDescent="0.25">
      <c r="A3183">
        <v>3202</v>
      </c>
      <c r="B3183" t="s">
        <v>4072</v>
      </c>
      <c r="C3183">
        <v>4</v>
      </c>
      <c r="D3183" t="s">
        <v>4077</v>
      </c>
      <c r="E3183" t="s">
        <v>4078</v>
      </c>
      <c r="F3183" t="s">
        <v>4075</v>
      </c>
    </row>
    <row r="3184" spans="1:6" x14ac:dyDescent="0.25">
      <c r="A3184">
        <v>3202</v>
      </c>
      <c r="B3184" t="s">
        <v>4072</v>
      </c>
      <c r="C3184">
        <v>15</v>
      </c>
      <c r="D3184" t="s">
        <v>4080</v>
      </c>
      <c r="E3184" t="s">
        <v>4081</v>
      </c>
      <c r="F3184" t="s">
        <v>4076</v>
      </c>
    </row>
    <row r="3185" spans="1:6" x14ac:dyDescent="0.25">
      <c r="A3185">
        <v>3202</v>
      </c>
      <c r="B3185" t="s">
        <v>4072</v>
      </c>
      <c r="C3185">
        <v>16</v>
      </c>
      <c r="D3185" t="s">
        <v>4077</v>
      </c>
      <c r="E3185" t="s">
        <v>4078</v>
      </c>
      <c r="F3185" t="s">
        <v>4076</v>
      </c>
    </row>
    <row r="3186" spans="1:6" x14ac:dyDescent="0.25">
      <c r="A3186">
        <v>3203</v>
      </c>
      <c r="B3186" t="s">
        <v>4072</v>
      </c>
      <c r="C3186">
        <v>1</v>
      </c>
      <c r="D3186" t="s">
        <v>2761</v>
      </c>
      <c r="E3186" t="s">
        <v>4089</v>
      </c>
      <c r="F3186" t="s">
        <v>4075</v>
      </c>
    </row>
    <row r="3187" spans="1:6" x14ac:dyDescent="0.25">
      <c r="A3187">
        <v>3203</v>
      </c>
      <c r="B3187" t="s">
        <v>4072</v>
      </c>
      <c r="C3187">
        <v>2</v>
      </c>
      <c r="D3187" t="s">
        <v>4082</v>
      </c>
      <c r="E3187" t="s">
        <v>4083</v>
      </c>
      <c r="F3187" t="s">
        <v>4075</v>
      </c>
    </row>
    <row r="3188" spans="1:6" x14ac:dyDescent="0.25">
      <c r="A3188">
        <v>3203</v>
      </c>
      <c r="B3188" t="s">
        <v>4072</v>
      </c>
      <c r="C3188">
        <v>17</v>
      </c>
      <c r="D3188" t="s">
        <v>4082</v>
      </c>
      <c r="E3188" t="s">
        <v>4084</v>
      </c>
      <c r="F3188" t="s">
        <v>4076</v>
      </c>
    </row>
    <row r="3189" spans="1:6" x14ac:dyDescent="0.25">
      <c r="A3189">
        <v>3203</v>
      </c>
      <c r="B3189" t="s">
        <v>4072</v>
      </c>
      <c r="C3189">
        <v>38</v>
      </c>
      <c r="D3189" t="s">
        <v>2761</v>
      </c>
      <c r="E3189" t="s">
        <v>4089</v>
      </c>
      <c r="F3189" t="s">
        <v>4076</v>
      </c>
    </row>
    <row r="3190" spans="1:6" x14ac:dyDescent="0.25">
      <c r="A3190">
        <v>3204</v>
      </c>
      <c r="B3190" t="s">
        <v>4092</v>
      </c>
      <c r="C3190">
        <v>33</v>
      </c>
      <c r="D3190" t="s">
        <v>4109</v>
      </c>
      <c r="E3190" t="s">
        <v>4110</v>
      </c>
      <c r="F3190" t="s">
        <v>4075</v>
      </c>
    </row>
    <row r="3191" spans="1:6" x14ac:dyDescent="0.25">
      <c r="A3191">
        <v>3204</v>
      </c>
      <c r="B3191" t="s">
        <v>4092</v>
      </c>
      <c r="C3191">
        <v>34</v>
      </c>
      <c r="D3191" t="s">
        <v>4109</v>
      </c>
      <c r="E3191" t="s">
        <v>4110</v>
      </c>
      <c r="F3191" t="s">
        <v>4076</v>
      </c>
    </row>
    <row r="3192" spans="1:6" x14ac:dyDescent="0.25">
      <c r="A3192">
        <v>3205</v>
      </c>
      <c r="B3192" t="s">
        <v>4092</v>
      </c>
      <c r="C3192">
        <v>33</v>
      </c>
      <c r="D3192" t="s">
        <v>4109</v>
      </c>
      <c r="E3192" t="s">
        <v>4110</v>
      </c>
      <c r="F3192" t="s">
        <v>4075</v>
      </c>
    </row>
    <row r="3193" spans="1:6" x14ac:dyDescent="0.25">
      <c r="A3193">
        <v>3205</v>
      </c>
      <c r="B3193" t="s">
        <v>4092</v>
      </c>
      <c r="C3193">
        <v>34</v>
      </c>
      <c r="D3193" t="s">
        <v>4109</v>
      </c>
      <c r="E3193" t="s">
        <v>4110</v>
      </c>
      <c r="F3193" t="s">
        <v>4076</v>
      </c>
    </row>
    <row r="3194" spans="1:6" x14ac:dyDescent="0.25">
      <c r="A3194">
        <v>3206</v>
      </c>
      <c r="B3194" t="s">
        <v>4092</v>
      </c>
      <c r="C3194">
        <v>23</v>
      </c>
      <c r="D3194" t="s">
        <v>2757</v>
      </c>
      <c r="E3194" t="s">
        <v>4093</v>
      </c>
      <c r="F3194" t="s">
        <v>4075</v>
      </c>
    </row>
    <row r="3195" spans="1:6" x14ac:dyDescent="0.25">
      <c r="A3195">
        <v>3206</v>
      </c>
      <c r="B3195" t="s">
        <v>4092</v>
      </c>
      <c r="C3195">
        <v>28</v>
      </c>
      <c r="D3195" t="s">
        <v>2757</v>
      </c>
      <c r="E3195" t="s">
        <v>4093</v>
      </c>
      <c r="F3195" t="s">
        <v>4076</v>
      </c>
    </row>
    <row r="3196" spans="1:6" x14ac:dyDescent="0.25">
      <c r="A3196">
        <v>3207</v>
      </c>
      <c r="B3196" t="s">
        <v>4092</v>
      </c>
      <c r="C3196">
        <v>23</v>
      </c>
      <c r="D3196" t="s">
        <v>2757</v>
      </c>
      <c r="E3196" t="s">
        <v>4093</v>
      </c>
      <c r="F3196" t="s">
        <v>4075</v>
      </c>
    </row>
    <row r="3197" spans="1:6" x14ac:dyDescent="0.25">
      <c r="A3197">
        <v>3208</v>
      </c>
      <c r="B3197" t="s">
        <v>4072</v>
      </c>
      <c r="C3197">
        <v>3</v>
      </c>
      <c r="D3197" t="s">
        <v>4085</v>
      </c>
      <c r="E3197" t="s">
        <v>4086</v>
      </c>
      <c r="F3197" t="s">
        <v>4075</v>
      </c>
    </row>
    <row r="3198" spans="1:6" x14ac:dyDescent="0.25">
      <c r="A3198">
        <v>3208</v>
      </c>
      <c r="B3198" t="s">
        <v>4072</v>
      </c>
      <c r="C3198">
        <v>13</v>
      </c>
      <c r="D3198" t="s">
        <v>4097</v>
      </c>
      <c r="E3198" t="s">
        <v>4098</v>
      </c>
      <c r="F3198" t="s">
        <v>4076</v>
      </c>
    </row>
    <row r="3199" spans="1:6" x14ac:dyDescent="0.25">
      <c r="A3199">
        <v>3210</v>
      </c>
      <c r="B3199" t="s">
        <v>4072</v>
      </c>
      <c r="C3199">
        <v>3</v>
      </c>
      <c r="D3199" t="s">
        <v>4085</v>
      </c>
      <c r="E3199" t="s">
        <v>4086</v>
      </c>
      <c r="F3199" t="s">
        <v>4075</v>
      </c>
    </row>
    <row r="3200" spans="1:6" x14ac:dyDescent="0.25">
      <c r="A3200">
        <v>3210</v>
      </c>
      <c r="B3200" t="s">
        <v>4072</v>
      </c>
      <c r="C3200">
        <v>15</v>
      </c>
      <c r="D3200" t="s">
        <v>4080</v>
      </c>
      <c r="E3200" t="s">
        <v>4081</v>
      </c>
      <c r="F3200" t="s">
        <v>4076</v>
      </c>
    </row>
    <row r="3201" spans="1:6" x14ac:dyDescent="0.25">
      <c r="A3201">
        <v>3211</v>
      </c>
      <c r="B3201" t="s">
        <v>4072</v>
      </c>
      <c r="C3201">
        <v>4</v>
      </c>
      <c r="D3201" t="s">
        <v>4077</v>
      </c>
      <c r="E3201" t="s">
        <v>4078</v>
      </c>
      <c r="F3201" t="s">
        <v>4075</v>
      </c>
    </row>
    <row r="3202" spans="1:6" x14ac:dyDescent="0.25">
      <c r="A3202">
        <v>3211</v>
      </c>
      <c r="B3202" t="s">
        <v>4072</v>
      </c>
      <c r="C3202">
        <v>16</v>
      </c>
      <c r="D3202" t="s">
        <v>4077</v>
      </c>
      <c r="E3202" t="s">
        <v>4078</v>
      </c>
      <c r="F3202" t="s">
        <v>4076</v>
      </c>
    </row>
    <row r="3203" spans="1:6" x14ac:dyDescent="0.25">
      <c r="A3203">
        <v>3212</v>
      </c>
      <c r="B3203" t="s">
        <v>4072</v>
      </c>
      <c r="C3203">
        <v>5</v>
      </c>
      <c r="D3203" t="s">
        <v>4087</v>
      </c>
      <c r="E3203" t="s">
        <v>4088</v>
      </c>
      <c r="F3203" t="s">
        <v>4075</v>
      </c>
    </row>
    <row r="3204" spans="1:6" x14ac:dyDescent="0.25">
      <c r="A3204">
        <v>3212</v>
      </c>
      <c r="B3204" t="s">
        <v>4072</v>
      </c>
      <c r="C3204">
        <v>15</v>
      </c>
      <c r="D3204" t="s">
        <v>4080</v>
      </c>
      <c r="E3204" t="s">
        <v>4081</v>
      </c>
      <c r="F3204" t="s">
        <v>4076</v>
      </c>
    </row>
    <row r="3205" spans="1:6" x14ac:dyDescent="0.25">
      <c r="A3205">
        <v>3213</v>
      </c>
      <c r="B3205" t="s">
        <v>4092</v>
      </c>
      <c r="C3205">
        <v>33</v>
      </c>
      <c r="D3205" t="s">
        <v>4109</v>
      </c>
      <c r="E3205" t="s">
        <v>4110</v>
      </c>
      <c r="F3205" t="s">
        <v>4075</v>
      </c>
    </row>
    <row r="3206" spans="1:6" x14ac:dyDescent="0.25">
      <c r="A3206">
        <v>3213</v>
      </c>
      <c r="B3206" t="s">
        <v>4092</v>
      </c>
      <c r="C3206">
        <v>34</v>
      </c>
      <c r="D3206" t="s">
        <v>4109</v>
      </c>
      <c r="E3206" t="s">
        <v>4110</v>
      </c>
      <c r="F3206" t="s">
        <v>4076</v>
      </c>
    </row>
    <row r="3207" spans="1:6" x14ac:dyDescent="0.25">
      <c r="A3207">
        <v>3214</v>
      </c>
      <c r="B3207" t="s">
        <v>4092</v>
      </c>
      <c r="C3207">
        <v>33</v>
      </c>
      <c r="D3207" t="s">
        <v>4109</v>
      </c>
      <c r="E3207" t="s">
        <v>4110</v>
      </c>
      <c r="F3207" t="s">
        <v>4075</v>
      </c>
    </row>
    <row r="3208" spans="1:6" x14ac:dyDescent="0.25">
      <c r="A3208">
        <v>3214</v>
      </c>
      <c r="B3208" t="s">
        <v>4092</v>
      </c>
      <c r="C3208">
        <v>34</v>
      </c>
      <c r="D3208" t="s">
        <v>4109</v>
      </c>
      <c r="E3208" t="s">
        <v>4110</v>
      </c>
      <c r="F3208" t="s">
        <v>4076</v>
      </c>
    </row>
    <row r="3209" spans="1:6" x14ac:dyDescent="0.25">
      <c r="A3209">
        <v>3215</v>
      </c>
      <c r="B3209" t="s">
        <v>4072</v>
      </c>
      <c r="C3209">
        <v>5</v>
      </c>
      <c r="D3209" t="s">
        <v>4087</v>
      </c>
      <c r="E3209" t="s">
        <v>4088</v>
      </c>
      <c r="F3209" t="s">
        <v>4075</v>
      </c>
    </row>
    <row r="3210" spans="1:6" x14ac:dyDescent="0.25">
      <c r="A3210">
        <v>3215</v>
      </c>
      <c r="B3210" t="s">
        <v>4072</v>
      </c>
      <c r="C3210">
        <v>15</v>
      </c>
      <c r="D3210" t="s">
        <v>4080</v>
      </c>
      <c r="E3210" t="s">
        <v>4081</v>
      </c>
      <c r="F3210" t="s">
        <v>4076</v>
      </c>
    </row>
    <row r="3211" spans="1:6" x14ac:dyDescent="0.25">
      <c r="A3211">
        <v>3217</v>
      </c>
      <c r="B3211" t="s">
        <v>4092</v>
      </c>
      <c r="C3211">
        <v>24</v>
      </c>
      <c r="D3211" t="s">
        <v>2760</v>
      </c>
      <c r="E3211" t="s">
        <v>4108</v>
      </c>
      <c r="F3211" t="s">
        <v>4075</v>
      </c>
    </row>
    <row r="3212" spans="1:6" x14ac:dyDescent="0.25">
      <c r="A3212">
        <v>3217</v>
      </c>
      <c r="B3212" t="s">
        <v>4092</v>
      </c>
      <c r="C3212">
        <v>29</v>
      </c>
      <c r="D3212" t="s">
        <v>2760</v>
      </c>
      <c r="E3212" t="s">
        <v>4108</v>
      </c>
      <c r="F3212" t="s">
        <v>4076</v>
      </c>
    </row>
    <row r="3213" spans="1:6" x14ac:dyDescent="0.25">
      <c r="A3213">
        <v>3218</v>
      </c>
      <c r="B3213" t="s">
        <v>4072</v>
      </c>
      <c r="C3213">
        <v>4</v>
      </c>
      <c r="D3213" t="s">
        <v>4077</v>
      </c>
      <c r="E3213" t="s">
        <v>4078</v>
      </c>
      <c r="F3213" t="s">
        <v>4075</v>
      </c>
    </row>
    <row r="3214" spans="1:6" x14ac:dyDescent="0.25">
      <c r="A3214">
        <v>3218</v>
      </c>
      <c r="B3214" t="s">
        <v>4072</v>
      </c>
      <c r="C3214">
        <v>16</v>
      </c>
      <c r="D3214" t="s">
        <v>4077</v>
      </c>
      <c r="E3214" t="s">
        <v>4078</v>
      </c>
      <c r="F3214" t="s">
        <v>4076</v>
      </c>
    </row>
    <row r="3215" spans="1:6" x14ac:dyDescent="0.25">
      <c r="A3215">
        <v>3219</v>
      </c>
      <c r="B3215" t="s">
        <v>4072</v>
      </c>
      <c r="C3215">
        <v>3</v>
      </c>
      <c r="D3215" t="s">
        <v>4085</v>
      </c>
      <c r="E3215" t="s">
        <v>4086</v>
      </c>
      <c r="F3215" t="s">
        <v>4075</v>
      </c>
    </row>
    <row r="3216" spans="1:6" x14ac:dyDescent="0.25">
      <c r="A3216">
        <v>3219</v>
      </c>
      <c r="B3216" t="s">
        <v>4072</v>
      </c>
      <c r="C3216">
        <v>15</v>
      </c>
      <c r="D3216" t="s">
        <v>4080</v>
      </c>
      <c r="E3216" t="s">
        <v>4081</v>
      </c>
      <c r="F3216" t="s">
        <v>4076</v>
      </c>
    </row>
    <row r="3217" spans="1:6" x14ac:dyDescent="0.25">
      <c r="A3217">
        <v>3220</v>
      </c>
      <c r="B3217" t="s">
        <v>4072</v>
      </c>
      <c r="C3217">
        <v>5</v>
      </c>
      <c r="D3217" t="s">
        <v>4087</v>
      </c>
      <c r="E3217" t="s">
        <v>4088</v>
      </c>
      <c r="F3217" t="s">
        <v>4075</v>
      </c>
    </row>
    <row r="3218" spans="1:6" x14ac:dyDescent="0.25">
      <c r="A3218">
        <v>3220</v>
      </c>
      <c r="B3218" t="s">
        <v>4072</v>
      </c>
      <c r="C3218">
        <v>15</v>
      </c>
      <c r="D3218" t="s">
        <v>4080</v>
      </c>
      <c r="E3218" t="s">
        <v>4081</v>
      </c>
      <c r="F3218" t="s">
        <v>4076</v>
      </c>
    </row>
    <row r="3219" spans="1:6" x14ac:dyDescent="0.25">
      <c r="A3219">
        <v>3221</v>
      </c>
      <c r="B3219" t="s">
        <v>4092</v>
      </c>
      <c r="C3219">
        <v>23</v>
      </c>
      <c r="D3219" t="s">
        <v>2757</v>
      </c>
      <c r="E3219" t="s">
        <v>4093</v>
      </c>
      <c r="F3219" t="s">
        <v>4075</v>
      </c>
    </row>
    <row r="3220" spans="1:6" x14ac:dyDescent="0.25">
      <c r="A3220">
        <v>3221</v>
      </c>
      <c r="B3220" t="s">
        <v>4092</v>
      </c>
      <c r="C3220">
        <v>28</v>
      </c>
      <c r="D3220" t="s">
        <v>2757</v>
      </c>
      <c r="E3220" t="s">
        <v>4093</v>
      </c>
      <c r="F3220" t="s">
        <v>4076</v>
      </c>
    </row>
    <row r="3221" spans="1:6" x14ac:dyDescent="0.25">
      <c r="A3221">
        <v>3222</v>
      </c>
      <c r="B3221" t="s">
        <v>4072</v>
      </c>
      <c r="C3221">
        <v>6</v>
      </c>
      <c r="D3221" t="s">
        <v>4073</v>
      </c>
      <c r="E3221" t="s">
        <v>4074</v>
      </c>
      <c r="F3221" t="s">
        <v>4075</v>
      </c>
    </row>
    <row r="3222" spans="1:6" x14ac:dyDescent="0.25">
      <c r="A3222">
        <v>3222</v>
      </c>
      <c r="B3222" t="s">
        <v>4072</v>
      </c>
      <c r="C3222">
        <v>19</v>
      </c>
      <c r="D3222" t="s">
        <v>4073</v>
      </c>
      <c r="E3222" t="s">
        <v>4074</v>
      </c>
      <c r="F3222" t="s">
        <v>4076</v>
      </c>
    </row>
    <row r="3223" spans="1:6" x14ac:dyDescent="0.25">
      <c r="A3223">
        <v>3223</v>
      </c>
      <c r="B3223" t="s">
        <v>4072</v>
      </c>
      <c r="C3223">
        <v>3</v>
      </c>
      <c r="D3223" t="s">
        <v>4085</v>
      </c>
      <c r="E3223" t="s">
        <v>4086</v>
      </c>
      <c r="F3223" t="s">
        <v>4075</v>
      </c>
    </row>
    <row r="3224" spans="1:6" x14ac:dyDescent="0.25">
      <c r="A3224">
        <v>3223</v>
      </c>
      <c r="B3224" t="s">
        <v>4072</v>
      </c>
      <c r="C3224">
        <v>15</v>
      </c>
      <c r="D3224" t="s">
        <v>4080</v>
      </c>
      <c r="E3224" t="s">
        <v>4081</v>
      </c>
      <c r="F3224" t="s">
        <v>4076</v>
      </c>
    </row>
    <row r="3225" spans="1:6" x14ac:dyDescent="0.25">
      <c r="A3225">
        <v>3224</v>
      </c>
      <c r="B3225" t="s">
        <v>4072</v>
      </c>
      <c r="C3225">
        <v>6</v>
      </c>
      <c r="D3225" t="s">
        <v>4073</v>
      </c>
      <c r="E3225" t="s">
        <v>4074</v>
      </c>
      <c r="F3225" t="s">
        <v>4075</v>
      </c>
    </row>
    <row r="3226" spans="1:6" x14ac:dyDescent="0.25">
      <c r="A3226">
        <v>3224</v>
      </c>
      <c r="B3226" t="s">
        <v>4072</v>
      </c>
      <c r="C3226">
        <v>19</v>
      </c>
      <c r="D3226" t="s">
        <v>4073</v>
      </c>
      <c r="E3226" t="s">
        <v>4074</v>
      </c>
      <c r="F3226" t="s">
        <v>4076</v>
      </c>
    </row>
    <row r="3227" spans="1:6" x14ac:dyDescent="0.25">
      <c r="A3227">
        <v>3225</v>
      </c>
      <c r="B3227" t="s">
        <v>4092</v>
      </c>
      <c r="C3227">
        <v>23</v>
      </c>
      <c r="D3227" t="s">
        <v>2757</v>
      </c>
      <c r="E3227" t="s">
        <v>4093</v>
      </c>
      <c r="F3227" t="s">
        <v>4075</v>
      </c>
    </row>
    <row r="3228" spans="1:6" x14ac:dyDescent="0.25">
      <c r="A3228">
        <v>3225</v>
      </c>
      <c r="B3228" t="s">
        <v>4092</v>
      </c>
      <c r="C3228">
        <v>28</v>
      </c>
      <c r="D3228" t="s">
        <v>2757</v>
      </c>
      <c r="E3228" t="s">
        <v>4093</v>
      </c>
      <c r="F3228" t="s">
        <v>4076</v>
      </c>
    </row>
    <row r="3229" spans="1:6" x14ac:dyDescent="0.25">
      <c r="A3229">
        <v>3226</v>
      </c>
      <c r="B3229" t="s">
        <v>4092</v>
      </c>
      <c r="C3229">
        <v>33</v>
      </c>
      <c r="D3229" t="s">
        <v>4109</v>
      </c>
      <c r="E3229" t="s">
        <v>4110</v>
      </c>
      <c r="F3229" t="s">
        <v>4075</v>
      </c>
    </row>
    <row r="3230" spans="1:6" x14ac:dyDescent="0.25">
      <c r="A3230">
        <v>3226</v>
      </c>
      <c r="B3230" t="s">
        <v>4092</v>
      </c>
      <c r="C3230">
        <v>34</v>
      </c>
      <c r="D3230" t="s">
        <v>4109</v>
      </c>
      <c r="E3230" t="s">
        <v>4110</v>
      </c>
      <c r="F3230" t="s">
        <v>4076</v>
      </c>
    </row>
    <row r="3231" spans="1:6" x14ac:dyDescent="0.25">
      <c r="A3231">
        <v>3226</v>
      </c>
      <c r="B3231" t="s">
        <v>4092</v>
      </c>
      <c r="C3231">
        <v>51</v>
      </c>
      <c r="D3231" t="s">
        <v>4109</v>
      </c>
      <c r="E3231" t="s">
        <v>4111</v>
      </c>
      <c r="F3231" t="s">
        <v>4079</v>
      </c>
    </row>
    <row r="3232" spans="1:6" x14ac:dyDescent="0.25">
      <c r="A3232">
        <v>3232</v>
      </c>
      <c r="B3232" t="s">
        <v>4092</v>
      </c>
      <c r="C3232">
        <v>33</v>
      </c>
      <c r="D3232" t="s">
        <v>4109</v>
      </c>
      <c r="E3232" t="s">
        <v>4110</v>
      </c>
      <c r="F3232" t="s">
        <v>4075</v>
      </c>
    </row>
    <row r="3233" spans="1:6" x14ac:dyDescent="0.25">
      <c r="A3233">
        <v>3233</v>
      </c>
      <c r="B3233" t="s">
        <v>4092</v>
      </c>
      <c r="C3233">
        <v>33</v>
      </c>
      <c r="D3233" t="s">
        <v>4109</v>
      </c>
      <c r="E3233" t="s">
        <v>4110</v>
      </c>
      <c r="F3233" t="s">
        <v>4075</v>
      </c>
    </row>
    <row r="3234" spans="1:6" x14ac:dyDescent="0.25">
      <c r="A3234">
        <v>3233</v>
      </c>
      <c r="B3234" t="s">
        <v>4092</v>
      </c>
      <c r="C3234">
        <v>34</v>
      </c>
      <c r="D3234" t="s">
        <v>4109</v>
      </c>
      <c r="E3234" t="s">
        <v>4110</v>
      </c>
      <c r="F3234" t="s">
        <v>4076</v>
      </c>
    </row>
    <row r="3235" spans="1:6" x14ac:dyDescent="0.25">
      <c r="A3235">
        <v>3233</v>
      </c>
      <c r="B3235" t="s">
        <v>4092</v>
      </c>
      <c r="C3235">
        <v>51</v>
      </c>
      <c r="D3235" t="s">
        <v>4109</v>
      </c>
      <c r="E3235" t="s">
        <v>4111</v>
      </c>
      <c r="F3235" t="s">
        <v>4079</v>
      </c>
    </row>
    <row r="3236" spans="1:6" x14ac:dyDescent="0.25">
      <c r="A3236">
        <v>3235</v>
      </c>
      <c r="B3236" t="s">
        <v>4072</v>
      </c>
      <c r="C3236">
        <v>6</v>
      </c>
      <c r="D3236" t="s">
        <v>4073</v>
      </c>
      <c r="E3236" t="s">
        <v>4074</v>
      </c>
      <c r="F3236" t="s">
        <v>4075</v>
      </c>
    </row>
    <row r="3237" spans="1:6" x14ac:dyDescent="0.25">
      <c r="A3237">
        <v>3235</v>
      </c>
      <c r="B3237" t="s">
        <v>4072</v>
      </c>
      <c r="C3237">
        <v>19</v>
      </c>
      <c r="D3237" t="s">
        <v>4073</v>
      </c>
      <c r="E3237" t="s">
        <v>4074</v>
      </c>
      <c r="F3237" t="s">
        <v>4076</v>
      </c>
    </row>
    <row r="3238" spans="1:6" x14ac:dyDescent="0.25">
      <c r="A3238">
        <v>3239</v>
      </c>
      <c r="B3238" t="s">
        <v>4072</v>
      </c>
      <c r="C3238">
        <v>3</v>
      </c>
      <c r="D3238" t="s">
        <v>4085</v>
      </c>
      <c r="E3238" t="s">
        <v>4086</v>
      </c>
      <c r="F3238" t="s">
        <v>4075</v>
      </c>
    </row>
    <row r="3239" spans="1:6" x14ac:dyDescent="0.25">
      <c r="A3239">
        <v>3239</v>
      </c>
      <c r="B3239" t="s">
        <v>4072</v>
      </c>
      <c r="C3239">
        <v>15</v>
      </c>
      <c r="D3239" t="s">
        <v>4080</v>
      </c>
      <c r="E3239" t="s">
        <v>4081</v>
      </c>
      <c r="F3239" t="s">
        <v>4076</v>
      </c>
    </row>
    <row r="3240" spans="1:6" x14ac:dyDescent="0.25">
      <c r="A3240">
        <v>3240</v>
      </c>
      <c r="B3240" t="s">
        <v>4072</v>
      </c>
      <c r="C3240">
        <v>4</v>
      </c>
      <c r="D3240" t="s">
        <v>4077</v>
      </c>
      <c r="E3240" t="s">
        <v>4078</v>
      </c>
      <c r="F3240" t="s">
        <v>4075</v>
      </c>
    </row>
    <row r="3241" spans="1:6" x14ac:dyDescent="0.25">
      <c r="A3241">
        <v>3240</v>
      </c>
      <c r="B3241" t="s">
        <v>4072</v>
      </c>
      <c r="C3241">
        <v>16</v>
      </c>
      <c r="D3241" t="s">
        <v>4077</v>
      </c>
      <c r="E3241" t="s">
        <v>4078</v>
      </c>
      <c r="F3241" t="s">
        <v>4076</v>
      </c>
    </row>
    <row r="3242" spans="1:6" x14ac:dyDescent="0.25">
      <c r="A3242">
        <v>3241</v>
      </c>
      <c r="B3242" t="s">
        <v>4072</v>
      </c>
      <c r="C3242">
        <v>4</v>
      </c>
      <c r="D3242" t="s">
        <v>4077</v>
      </c>
      <c r="E3242" t="s">
        <v>4078</v>
      </c>
      <c r="F3242" t="s">
        <v>4075</v>
      </c>
    </row>
    <row r="3243" spans="1:6" x14ac:dyDescent="0.25">
      <c r="A3243">
        <v>3241</v>
      </c>
      <c r="B3243" t="s">
        <v>4072</v>
      </c>
      <c r="C3243">
        <v>16</v>
      </c>
      <c r="D3243" t="s">
        <v>4077</v>
      </c>
      <c r="E3243" t="s">
        <v>4078</v>
      </c>
      <c r="F3243" t="s">
        <v>4076</v>
      </c>
    </row>
    <row r="3244" spans="1:6" x14ac:dyDescent="0.25">
      <c r="A3244">
        <v>3242</v>
      </c>
      <c r="B3244" t="s">
        <v>4072</v>
      </c>
      <c r="C3244">
        <v>5</v>
      </c>
      <c r="D3244" t="s">
        <v>4087</v>
      </c>
      <c r="E3244" t="s">
        <v>4088</v>
      </c>
      <c r="F3244" t="s">
        <v>4075</v>
      </c>
    </row>
    <row r="3245" spans="1:6" x14ac:dyDescent="0.25">
      <c r="A3245">
        <v>3242</v>
      </c>
      <c r="B3245" t="s">
        <v>4072</v>
      </c>
      <c r="C3245">
        <v>15</v>
      </c>
      <c r="D3245" t="s">
        <v>4080</v>
      </c>
      <c r="E3245" t="s">
        <v>4081</v>
      </c>
      <c r="F3245" t="s">
        <v>4076</v>
      </c>
    </row>
    <row r="3246" spans="1:6" x14ac:dyDescent="0.25">
      <c r="A3246">
        <v>3244</v>
      </c>
      <c r="B3246" t="s">
        <v>4072</v>
      </c>
      <c r="C3246">
        <v>2</v>
      </c>
      <c r="D3246" t="s">
        <v>4082</v>
      </c>
      <c r="E3246" t="s">
        <v>4083</v>
      </c>
      <c r="F3246" t="s">
        <v>4075</v>
      </c>
    </row>
    <row r="3247" spans="1:6" x14ac:dyDescent="0.25">
      <c r="A3247">
        <v>3244</v>
      </c>
      <c r="B3247" t="s">
        <v>4072</v>
      </c>
      <c r="C3247">
        <v>17</v>
      </c>
      <c r="D3247" t="s">
        <v>4082</v>
      </c>
      <c r="E3247" t="s">
        <v>4084</v>
      </c>
      <c r="F3247" t="s">
        <v>4076</v>
      </c>
    </row>
    <row r="3248" spans="1:6" x14ac:dyDescent="0.25">
      <c r="A3248">
        <v>3245</v>
      </c>
      <c r="B3248" t="s">
        <v>4072</v>
      </c>
      <c r="C3248">
        <v>2</v>
      </c>
      <c r="D3248" t="s">
        <v>4082</v>
      </c>
      <c r="E3248" t="s">
        <v>4083</v>
      </c>
      <c r="F3248" t="s">
        <v>4075</v>
      </c>
    </row>
    <row r="3249" spans="1:6" x14ac:dyDescent="0.25">
      <c r="A3249">
        <v>3245</v>
      </c>
      <c r="B3249" t="s">
        <v>4072</v>
      </c>
      <c r="C3249">
        <v>17</v>
      </c>
      <c r="D3249" t="s">
        <v>4082</v>
      </c>
      <c r="E3249" t="s">
        <v>4084</v>
      </c>
      <c r="F3249" t="s">
        <v>4076</v>
      </c>
    </row>
    <row r="3250" spans="1:6" x14ac:dyDescent="0.25">
      <c r="A3250">
        <v>3249</v>
      </c>
      <c r="B3250" t="s">
        <v>4072</v>
      </c>
      <c r="C3250">
        <v>4</v>
      </c>
      <c r="D3250" t="s">
        <v>4077</v>
      </c>
      <c r="E3250" t="s">
        <v>4078</v>
      </c>
      <c r="F3250" t="s">
        <v>4075</v>
      </c>
    </row>
    <row r="3251" spans="1:6" x14ac:dyDescent="0.25">
      <c r="A3251">
        <v>3249</v>
      </c>
      <c r="B3251" t="s">
        <v>4072</v>
      </c>
      <c r="C3251">
        <v>16</v>
      </c>
      <c r="D3251" t="s">
        <v>4077</v>
      </c>
      <c r="E3251" t="s">
        <v>4078</v>
      </c>
      <c r="F3251" t="s">
        <v>4076</v>
      </c>
    </row>
    <row r="3252" spans="1:6" x14ac:dyDescent="0.25">
      <c r="A3252">
        <v>3256</v>
      </c>
      <c r="B3252" t="s">
        <v>4072</v>
      </c>
      <c r="C3252">
        <v>3</v>
      </c>
      <c r="D3252" t="s">
        <v>4085</v>
      </c>
      <c r="E3252" t="s">
        <v>4086</v>
      </c>
      <c r="F3252" t="s">
        <v>4075</v>
      </c>
    </row>
    <row r="3253" spans="1:6" x14ac:dyDescent="0.25">
      <c r="A3253">
        <v>3256</v>
      </c>
      <c r="B3253" t="s">
        <v>4072</v>
      </c>
      <c r="C3253">
        <v>15</v>
      </c>
      <c r="D3253" t="s">
        <v>4080</v>
      </c>
      <c r="E3253" t="s">
        <v>4081</v>
      </c>
      <c r="F3253" t="s">
        <v>4076</v>
      </c>
    </row>
    <row r="3254" spans="1:6" x14ac:dyDescent="0.25">
      <c r="A3254">
        <v>3257</v>
      </c>
      <c r="B3254" t="s">
        <v>4072</v>
      </c>
      <c r="C3254">
        <v>4</v>
      </c>
      <c r="D3254" t="s">
        <v>4077</v>
      </c>
      <c r="E3254" t="s">
        <v>4078</v>
      </c>
      <c r="F3254" t="s">
        <v>4075</v>
      </c>
    </row>
    <row r="3255" spans="1:6" x14ac:dyDescent="0.25">
      <c r="A3255">
        <v>3257</v>
      </c>
      <c r="B3255" t="s">
        <v>4072</v>
      </c>
      <c r="C3255">
        <v>16</v>
      </c>
      <c r="D3255" t="s">
        <v>4077</v>
      </c>
      <c r="E3255" t="s">
        <v>4078</v>
      </c>
      <c r="F3255" t="s">
        <v>4076</v>
      </c>
    </row>
    <row r="3256" spans="1:6" x14ac:dyDescent="0.25">
      <c r="A3256">
        <v>3260</v>
      </c>
      <c r="B3256" t="s">
        <v>4072</v>
      </c>
      <c r="C3256">
        <v>6</v>
      </c>
      <c r="D3256" t="s">
        <v>4073</v>
      </c>
      <c r="E3256" t="s">
        <v>4074</v>
      </c>
      <c r="F3256" t="s">
        <v>4075</v>
      </c>
    </row>
    <row r="3257" spans="1:6" x14ac:dyDescent="0.25">
      <c r="A3257">
        <v>3260</v>
      </c>
      <c r="B3257" t="s">
        <v>4072</v>
      </c>
      <c r="C3257">
        <v>19</v>
      </c>
      <c r="D3257" t="s">
        <v>4073</v>
      </c>
      <c r="E3257" t="s">
        <v>4074</v>
      </c>
      <c r="F3257" t="s">
        <v>4076</v>
      </c>
    </row>
    <row r="3258" spans="1:6" x14ac:dyDescent="0.25">
      <c r="A3258">
        <v>3261</v>
      </c>
      <c r="B3258" t="s">
        <v>4072</v>
      </c>
      <c r="C3258">
        <v>10</v>
      </c>
      <c r="D3258" t="s">
        <v>4095</v>
      </c>
      <c r="E3258" t="s">
        <v>4096</v>
      </c>
      <c r="F3258" t="s">
        <v>4075</v>
      </c>
    </row>
    <row r="3259" spans="1:6" x14ac:dyDescent="0.25">
      <c r="A3259">
        <v>3262</v>
      </c>
      <c r="B3259" t="s">
        <v>4072</v>
      </c>
      <c r="C3259">
        <v>10</v>
      </c>
      <c r="D3259" t="s">
        <v>4095</v>
      </c>
      <c r="E3259" t="s">
        <v>4096</v>
      </c>
      <c r="F3259" t="s">
        <v>4075</v>
      </c>
    </row>
    <row r="3260" spans="1:6" x14ac:dyDescent="0.25">
      <c r="A3260">
        <v>3263</v>
      </c>
      <c r="B3260" t="s">
        <v>4072</v>
      </c>
      <c r="C3260">
        <v>10</v>
      </c>
      <c r="D3260" t="s">
        <v>4095</v>
      </c>
      <c r="E3260" t="s">
        <v>4096</v>
      </c>
      <c r="F3260" t="s">
        <v>4075</v>
      </c>
    </row>
    <row r="3261" spans="1:6" x14ac:dyDescent="0.25">
      <c r="A3261">
        <v>3264</v>
      </c>
      <c r="B3261" t="s">
        <v>4092</v>
      </c>
      <c r="C3261">
        <v>23</v>
      </c>
      <c r="D3261" t="s">
        <v>2757</v>
      </c>
      <c r="E3261" t="s">
        <v>4093</v>
      </c>
      <c r="F3261" t="s">
        <v>4075</v>
      </c>
    </row>
    <row r="3262" spans="1:6" x14ac:dyDescent="0.25">
      <c r="A3262">
        <v>3265</v>
      </c>
      <c r="B3262" t="s">
        <v>4092</v>
      </c>
      <c r="C3262">
        <v>33</v>
      </c>
      <c r="D3262" t="s">
        <v>4109</v>
      </c>
      <c r="E3262" t="s">
        <v>4110</v>
      </c>
      <c r="F3262" t="s">
        <v>4075</v>
      </c>
    </row>
    <row r="3263" spans="1:6" x14ac:dyDescent="0.25">
      <c r="A3263">
        <v>3266</v>
      </c>
      <c r="B3263" t="s">
        <v>4092</v>
      </c>
      <c r="C3263">
        <v>33</v>
      </c>
      <c r="D3263" t="s">
        <v>4109</v>
      </c>
      <c r="E3263" t="s">
        <v>4110</v>
      </c>
      <c r="F3263" t="s">
        <v>4075</v>
      </c>
    </row>
    <row r="3264" spans="1:6" x14ac:dyDescent="0.25">
      <c r="A3264">
        <v>3267</v>
      </c>
      <c r="B3264" t="s">
        <v>4092</v>
      </c>
      <c r="C3264">
        <v>33</v>
      </c>
      <c r="D3264" t="s">
        <v>4109</v>
      </c>
      <c r="E3264" t="s">
        <v>4110</v>
      </c>
      <c r="F3264" t="s">
        <v>4075</v>
      </c>
    </row>
    <row r="3265" spans="1:6" x14ac:dyDescent="0.25">
      <c r="A3265">
        <v>3268</v>
      </c>
      <c r="B3265" t="s">
        <v>4072</v>
      </c>
      <c r="C3265">
        <v>4</v>
      </c>
      <c r="D3265" t="s">
        <v>4077</v>
      </c>
      <c r="E3265" t="s">
        <v>4078</v>
      </c>
      <c r="F3265" t="s">
        <v>4075</v>
      </c>
    </row>
    <row r="3266" spans="1:6" x14ac:dyDescent="0.25">
      <c r="A3266">
        <v>3268</v>
      </c>
      <c r="B3266" t="s">
        <v>4072</v>
      </c>
      <c r="C3266">
        <v>16</v>
      </c>
      <c r="D3266" t="s">
        <v>4077</v>
      </c>
      <c r="E3266" t="s">
        <v>4078</v>
      </c>
      <c r="F3266" t="s">
        <v>4076</v>
      </c>
    </row>
    <row r="3267" spans="1:6" x14ac:dyDescent="0.25">
      <c r="A3267">
        <v>3268</v>
      </c>
      <c r="B3267" t="s">
        <v>4072</v>
      </c>
      <c r="C3267">
        <v>44</v>
      </c>
      <c r="D3267" t="s">
        <v>4077</v>
      </c>
      <c r="E3267" t="s">
        <v>4078</v>
      </c>
      <c r="F3267" t="s">
        <v>4079</v>
      </c>
    </row>
    <row r="3268" spans="1:6" x14ac:dyDescent="0.25">
      <c r="A3268">
        <v>3269</v>
      </c>
      <c r="B3268" t="s">
        <v>4072</v>
      </c>
      <c r="C3268">
        <v>3</v>
      </c>
      <c r="D3268" t="s">
        <v>4085</v>
      </c>
      <c r="E3268" t="s">
        <v>4086</v>
      </c>
      <c r="F3268" t="s">
        <v>4075</v>
      </c>
    </row>
    <row r="3269" spans="1:6" x14ac:dyDescent="0.25">
      <c r="A3269">
        <v>3269</v>
      </c>
      <c r="B3269" t="s">
        <v>4072</v>
      </c>
      <c r="C3269">
        <v>15</v>
      </c>
      <c r="D3269" t="s">
        <v>4080</v>
      </c>
      <c r="E3269" t="s">
        <v>4081</v>
      </c>
      <c r="F3269" t="s">
        <v>4076</v>
      </c>
    </row>
    <row r="3270" spans="1:6" x14ac:dyDescent="0.25">
      <c r="A3270">
        <v>3269</v>
      </c>
      <c r="B3270" t="s">
        <v>4072</v>
      </c>
      <c r="C3270">
        <v>40</v>
      </c>
      <c r="D3270" t="s">
        <v>4080</v>
      </c>
      <c r="E3270" t="s">
        <v>4081</v>
      </c>
      <c r="F3270" t="s">
        <v>4079</v>
      </c>
    </row>
    <row r="3271" spans="1:6" x14ac:dyDescent="0.25">
      <c r="A3271">
        <v>3270</v>
      </c>
      <c r="B3271" t="s">
        <v>4072</v>
      </c>
      <c r="C3271">
        <v>6</v>
      </c>
      <c r="D3271" t="s">
        <v>4073</v>
      </c>
      <c r="E3271" t="s">
        <v>4074</v>
      </c>
      <c r="F3271" t="s">
        <v>4075</v>
      </c>
    </row>
    <row r="3272" spans="1:6" x14ac:dyDescent="0.25">
      <c r="A3272">
        <v>3270</v>
      </c>
      <c r="B3272" t="s">
        <v>4072</v>
      </c>
      <c r="C3272">
        <v>19</v>
      </c>
      <c r="D3272" t="s">
        <v>4073</v>
      </c>
      <c r="E3272" t="s">
        <v>4074</v>
      </c>
      <c r="F3272" t="s">
        <v>4076</v>
      </c>
    </row>
    <row r="3273" spans="1:6" x14ac:dyDescent="0.25">
      <c r="A3273">
        <v>3270</v>
      </c>
      <c r="B3273" t="s">
        <v>4072</v>
      </c>
      <c r="C3273">
        <v>39</v>
      </c>
      <c r="D3273" t="s">
        <v>4073</v>
      </c>
      <c r="E3273" t="s">
        <v>4074</v>
      </c>
      <c r="F3273" t="s">
        <v>4079</v>
      </c>
    </row>
    <row r="3274" spans="1:6" x14ac:dyDescent="0.25">
      <c r="A3274">
        <v>3271</v>
      </c>
      <c r="B3274" t="s">
        <v>4092</v>
      </c>
      <c r="C3274">
        <v>24</v>
      </c>
      <c r="D3274" t="s">
        <v>2760</v>
      </c>
      <c r="E3274" t="s">
        <v>4108</v>
      </c>
      <c r="F3274" t="s">
        <v>4075</v>
      </c>
    </row>
    <row r="3275" spans="1:6" x14ac:dyDescent="0.25">
      <c r="A3275">
        <v>3271</v>
      </c>
      <c r="B3275" t="s">
        <v>4092</v>
      </c>
      <c r="C3275">
        <v>29</v>
      </c>
      <c r="D3275" t="s">
        <v>2760</v>
      </c>
      <c r="E3275" t="s">
        <v>4108</v>
      </c>
      <c r="F3275" t="s">
        <v>4076</v>
      </c>
    </row>
    <row r="3276" spans="1:6" x14ac:dyDescent="0.25">
      <c r="A3276">
        <v>3272</v>
      </c>
      <c r="B3276" t="s">
        <v>4072</v>
      </c>
      <c r="C3276">
        <v>4</v>
      </c>
      <c r="D3276" t="s">
        <v>4077</v>
      </c>
      <c r="E3276" t="s">
        <v>4078</v>
      </c>
      <c r="F3276" t="s">
        <v>4075</v>
      </c>
    </row>
    <row r="3277" spans="1:6" x14ac:dyDescent="0.25">
      <c r="A3277">
        <v>3272</v>
      </c>
      <c r="B3277" t="s">
        <v>4072</v>
      </c>
      <c r="C3277">
        <v>16</v>
      </c>
      <c r="D3277" t="s">
        <v>4077</v>
      </c>
      <c r="E3277" t="s">
        <v>4078</v>
      </c>
      <c r="F3277" t="s">
        <v>4076</v>
      </c>
    </row>
    <row r="3278" spans="1:6" x14ac:dyDescent="0.25">
      <c r="A3278">
        <v>3273</v>
      </c>
      <c r="B3278" t="s">
        <v>4072</v>
      </c>
      <c r="C3278">
        <v>6</v>
      </c>
      <c r="D3278" t="s">
        <v>4073</v>
      </c>
      <c r="E3278" t="s">
        <v>4074</v>
      </c>
      <c r="F3278" t="s">
        <v>4075</v>
      </c>
    </row>
    <row r="3279" spans="1:6" x14ac:dyDescent="0.25">
      <c r="A3279">
        <v>3273</v>
      </c>
      <c r="B3279" t="s">
        <v>4072</v>
      </c>
      <c r="C3279">
        <v>19</v>
      </c>
      <c r="D3279" t="s">
        <v>4073</v>
      </c>
      <c r="E3279" t="s">
        <v>4074</v>
      </c>
      <c r="F3279" t="s">
        <v>4076</v>
      </c>
    </row>
    <row r="3280" spans="1:6" x14ac:dyDescent="0.25">
      <c r="A3280">
        <v>3275</v>
      </c>
      <c r="B3280" t="s">
        <v>4072</v>
      </c>
      <c r="C3280">
        <v>6</v>
      </c>
      <c r="D3280" t="s">
        <v>4073</v>
      </c>
      <c r="E3280" t="s">
        <v>4074</v>
      </c>
      <c r="F3280" t="s">
        <v>4075</v>
      </c>
    </row>
    <row r="3281" spans="1:6" x14ac:dyDescent="0.25">
      <c r="A3281">
        <v>3275</v>
      </c>
      <c r="B3281" t="s">
        <v>4072</v>
      </c>
      <c r="C3281">
        <v>19</v>
      </c>
      <c r="D3281" t="s">
        <v>4073</v>
      </c>
      <c r="E3281" t="s">
        <v>4074</v>
      </c>
      <c r="F3281" t="s">
        <v>4076</v>
      </c>
    </row>
    <row r="3282" spans="1:6" x14ac:dyDescent="0.25">
      <c r="A3282">
        <v>3277</v>
      </c>
      <c r="B3282" t="s">
        <v>4072</v>
      </c>
      <c r="C3282">
        <v>3</v>
      </c>
      <c r="D3282" t="s">
        <v>4085</v>
      </c>
      <c r="E3282" t="s">
        <v>4086</v>
      </c>
      <c r="F3282" t="s">
        <v>4075</v>
      </c>
    </row>
    <row r="3283" spans="1:6" x14ac:dyDescent="0.25">
      <c r="A3283">
        <v>3277</v>
      </c>
      <c r="B3283" t="s">
        <v>4072</v>
      </c>
      <c r="C3283">
        <v>15</v>
      </c>
      <c r="D3283" t="s">
        <v>4080</v>
      </c>
      <c r="E3283" t="s">
        <v>4081</v>
      </c>
      <c r="F3283" t="s">
        <v>4076</v>
      </c>
    </row>
    <row r="3284" spans="1:6" x14ac:dyDescent="0.25">
      <c r="A3284">
        <v>3278</v>
      </c>
      <c r="B3284" t="s">
        <v>4072</v>
      </c>
      <c r="C3284">
        <v>6</v>
      </c>
      <c r="D3284" t="s">
        <v>4073</v>
      </c>
      <c r="E3284" t="s">
        <v>4074</v>
      </c>
      <c r="F3284" t="s">
        <v>4075</v>
      </c>
    </row>
    <row r="3285" spans="1:6" x14ac:dyDescent="0.25">
      <c r="A3285">
        <v>3278</v>
      </c>
      <c r="B3285" t="s">
        <v>4072</v>
      </c>
      <c r="C3285">
        <v>19</v>
      </c>
      <c r="D3285" t="s">
        <v>4073</v>
      </c>
      <c r="E3285" t="s">
        <v>4074</v>
      </c>
      <c r="F3285" t="s">
        <v>4076</v>
      </c>
    </row>
    <row r="3286" spans="1:6" x14ac:dyDescent="0.25">
      <c r="A3286">
        <v>3284</v>
      </c>
      <c r="B3286" t="s">
        <v>4072</v>
      </c>
      <c r="C3286">
        <v>2</v>
      </c>
      <c r="D3286" t="s">
        <v>4082</v>
      </c>
      <c r="E3286" t="s">
        <v>4083</v>
      </c>
      <c r="F3286" t="s">
        <v>4075</v>
      </c>
    </row>
    <row r="3287" spans="1:6" x14ac:dyDescent="0.25">
      <c r="A3287">
        <v>3284</v>
      </c>
      <c r="B3287" t="s">
        <v>4072</v>
      </c>
      <c r="C3287">
        <v>17</v>
      </c>
      <c r="D3287" t="s">
        <v>4082</v>
      </c>
      <c r="E3287" t="s">
        <v>4084</v>
      </c>
      <c r="F3287" t="s">
        <v>4076</v>
      </c>
    </row>
    <row r="3288" spans="1:6" x14ac:dyDescent="0.25">
      <c r="A3288">
        <v>3284</v>
      </c>
      <c r="B3288" t="s">
        <v>4072</v>
      </c>
      <c r="C3288">
        <v>42</v>
      </c>
      <c r="D3288" t="s">
        <v>4082</v>
      </c>
      <c r="E3288" t="s">
        <v>4083</v>
      </c>
      <c r="F3288" t="s">
        <v>4079</v>
      </c>
    </row>
    <row r="3289" spans="1:6" x14ac:dyDescent="0.25">
      <c r="A3289">
        <v>3285</v>
      </c>
      <c r="B3289" t="s">
        <v>4072</v>
      </c>
      <c r="C3289">
        <v>4</v>
      </c>
      <c r="D3289" t="s">
        <v>4077</v>
      </c>
      <c r="E3289" t="s">
        <v>4078</v>
      </c>
      <c r="F3289" t="s">
        <v>4075</v>
      </c>
    </row>
    <row r="3290" spans="1:6" x14ac:dyDescent="0.25">
      <c r="A3290">
        <v>3285</v>
      </c>
      <c r="B3290" t="s">
        <v>4072</v>
      </c>
      <c r="C3290">
        <v>16</v>
      </c>
      <c r="D3290" t="s">
        <v>4077</v>
      </c>
      <c r="E3290" t="s">
        <v>4078</v>
      </c>
      <c r="F3290" t="s">
        <v>4076</v>
      </c>
    </row>
    <row r="3291" spans="1:6" x14ac:dyDescent="0.25">
      <c r="A3291">
        <v>3285</v>
      </c>
      <c r="B3291" t="s">
        <v>4072</v>
      </c>
      <c r="C3291">
        <v>44</v>
      </c>
      <c r="D3291" t="s">
        <v>4077</v>
      </c>
      <c r="E3291" t="s">
        <v>4078</v>
      </c>
      <c r="F3291" t="s">
        <v>4079</v>
      </c>
    </row>
    <row r="3292" spans="1:6" x14ac:dyDescent="0.25">
      <c r="A3292">
        <v>3286</v>
      </c>
      <c r="B3292" t="s">
        <v>4072</v>
      </c>
      <c r="C3292">
        <v>1</v>
      </c>
      <c r="D3292" t="s">
        <v>2761</v>
      </c>
      <c r="E3292" t="s">
        <v>4089</v>
      </c>
      <c r="F3292" t="s">
        <v>4075</v>
      </c>
    </row>
    <row r="3293" spans="1:6" x14ac:dyDescent="0.25">
      <c r="A3293">
        <v>3286</v>
      </c>
      <c r="B3293" t="s">
        <v>4072</v>
      </c>
      <c r="C3293">
        <v>38</v>
      </c>
      <c r="D3293" t="s">
        <v>2761</v>
      </c>
      <c r="E3293" t="s">
        <v>4089</v>
      </c>
      <c r="F3293" t="s">
        <v>4076</v>
      </c>
    </row>
    <row r="3294" spans="1:6" x14ac:dyDescent="0.25">
      <c r="A3294">
        <v>3286</v>
      </c>
      <c r="B3294" t="s">
        <v>4072</v>
      </c>
      <c r="C3294">
        <v>43</v>
      </c>
      <c r="D3294" t="s">
        <v>2761</v>
      </c>
      <c r="E3294" t="s">
        <v>4089</v>
      </c>
      <c r="F3294" t="s">
        <v>4079</v>
      </c>
    </row>
    <row r="3295" spans="1:6" x14ac:dyDescent="0.25">
      <c r="A3295">
        <v>3287</v>
      </c>
      <c r="B3295" t="s">
        <v>4072</v>
      </c>
      <c r="C3295">
        <v>2</v>
      </c>
      <c r="D3295" t="s">
        <v>4082</v>
      </c>
      <c r="E3295" t="s">
        <v>4083</v>
      </c>
      <c r="F3295" t="s">
        <v>4075</v>
      </c>
    </row>
    <row r="3296" spans="1:6" x14ac:dyDescent="0.25">
      <c r="A3296">
        <v>3287</v>
      </c>
      <c r="B3296" t="s">
        <v>4072</v>
      </c>
      <c r="C3296">
        <v>17</v>
      </c>
      <c r="D3296" t="s">
        <v>4082</v>
      </c>
      <c r="E3296" t="s">
        <v>4084</v>
      </c>
      <c r="F3296" t="s">
        <v>4076</v>
      </c>
    </row>
    <row r="3297" spans="1:6" x14ac:dyDescent="0.25">
      <c r="A3297">
        <v>3287</v>
      </c>
      <c r="B3297" t="s">
        <v>4072</v>
      </c>
      <c r="C3297">
        <v>42</v>
      </c>
      <c r="D3297" t="s">
        <v>4082</v>
      </c>
      <c r="E3297" t="s">
        <v>4083</v>
      </c>
      <c r="F3297" t="s">
        <v>4079</v>
      </c>
    </row>
    <row r="3298" spans="1:6" x14ac:dyDescent="0.25">
      <c r="A3298">
        <v>3288</v>
      </c>
      <c r="B3298" t="s">
        <v>4072</v>
      </c>
      <c r="C3298">
        <v>5</v>
      </c>
      <c r="D3298" t="s">
        <v>4087</v>
      </c>
      <c r="E3298" t="s">
        <v>4088</v>
      </c>
      <c r="F3298" t="s">
        <v>4075</v>
      </c>
    </row>
    <row r="3299" spans="1:6" x14ac:dyDescent="0.25">
      <c r="A3299">
        <v>3288</v>
      </c>
      <c r="B3299" t="s">
        <v>4072</v>
      </c>
      <c r="C3299">
        <v>15</v>
      </c>
      <c r="D3299" t="s">
        <v>4080</v>
      </c>
      <c r="E3299" t="s">
        <v>4081</v>
      </c>
      <c r="F3299" t="s">
        <v>4076</v>
      </c>
    </row>
    <row r="3300" spans="1:6" x14ac:dyDescent="0.25">
      <c r="A3300">
        <v>3288</v>
      </c>
      <c r="B3300" t="s">
        <v>4072</v>
      </c>
      <c r="C3300">
        <v>40</v>
      </c>
      <c r="D3300" t="s">
        <v>4080</v>
      </c>
      <c r="E3300" t="s">
        <v>4081</v>
      </c>
      <c r="F3300" t="s">
        <v>4079</v>
      </c>
    </row>
    <row r="3301" spans="1:6" x14ac:dyDescent="0.25">
      <c r="A3301">
        <v>3289</v>
      </c>
      <c r="B3301" t="s">
        <v>4072</v>
      </c>
      <c r="C3301">
        <v>5</v>
      </c>
      <c r="D3301" t="s">
        <v>4087</v>
      </c>
      <c r="E3301" t="s">
        <v>4088</v>
      </c>
      <c r="F3301" t="s">
        <v>4075</v>
      </c>
    </row>
    <row r="3302" spans="1:6" x14ac:dyDescent="0.25">
      <c r="A3302">
        <v>3289</v>
      </c>
      <c r="B3302" t="s">
        <v>4072</v>
      </c>
      <c r="C3302">
        <v>15</v>
      </c>
      <c r="D3302" t="s">
        <v>4080</v>
      </c>
      <c r="E3302" t="s">
        <v>4081</v>
      </c>
      <c r="F3302" t="s">
        <v>4076</v>
      </c>
    </row>
    <row r="3303" spans="1:6" x14ac:dyDescent="0.25">
      <c r="A3303">
        <v>3289</v>
      </c>
      <c r="B3303" t="s">
        <v>4072</v>
      </c>
      <c r="C3303">
        <v>40</v>
      </c>
      <c r="D3303" t="s">
        <v>4080</v>
      </c>
      <c r="E3303" t="s">
        <v>4081</v>
      </c>
      <c r="F3303" t="s">
        <v>4079</v>
      </c>
    </row>
    <row r="3304" spans="1:6" x14ac:dyDescent="0.25">
      <c r="A3304">
        <v>3290</v>
      </c>
      <c r="B3304" t="s">
        <v>4072</v>
      </c>
      <c r="C3304">
        <v>3</v>
      </c>
      <c r="D3304" t="s">
        <v>4085</v>
      </c>
      <c r="E3304" t="s">
        <v>4086</v>
      </c>
      <c r="F3304" t="s">
        <v>4075</v>
      </c>
    </row>
    <row r="3305" spans="1:6" x14ac:dyDescent="0.25">
      <c r="A3305">
        <v>3290</v>
      </c>
      <c r="B3305" t="s">
        <v>4072</v>
      </c>
      <c r="C3305">
        <v>15</v>
      </c>
      <c r="D3305" t="s">
        <v>4080</v>
      </c>
      <c r="E3305" t="s">
        <v>4081</v>
      </c>
      <c r="F3305" t="s">
        <v>4076</v>
      </c>
    </row>
    <row r="3306" spans="1:6" x14ac:dyDescent="0.25">
      <c r="A3306">
        <v>3290</v>
      </c>
      <c r="B3306" t="s">
        <v>4072</v>
      </c>
      <c r="C3306">
        <v>40</v>
      </c>
      <c r="D3306" t="s">
        <v>4080</v>
      </c>
      <c r="E3306" t="s">
        <v>4081</v>
      </c>
      <c r="F3306" t="s">
        <v>4079</v>
      </c>
    </row>
    <row r="3307" spans="1:6" x14ac:dyDescent="0.25">
      <c r="A3307">
        <v>3291</v>
      </c>
      <c r="B3307" t="s">
        <v>4072</v>
      </c>
      <c r="C3307">
        <v>10</v>
      </c>
      <c r="D3307" t="s">
        <v>4095</v>
      </c>
      <c r="E3307" t="s">
        <v>4096</v>
      </c>
      <c r="F3307" t="s">
        <v>4075</v>
      </c>
    </row>
    <row r="3308" spans="1:6" x14ac:dyDescent="0.25">
      <c r="A3308">
        <v>3291</v>
      </c>
      <c r="B3308" t="s">
        <v>4072</v>
      </c>
      <c r="C3308">
        <v>14</v>
      </c>
      <c r="D3308" t="s">
        <v>4090</v>
      </c>
      <c r="E3308" t="s">
        <v>4091</v>
      </c>
      <c r="F3308" t="s">
        <v>4076</v>
      </c>
    </row>
    <row r="3309" spans="1:6" x14ac:dyDescent="0.25">
      <c r="A3309">
        <v>3291</v>
      </c>
      <c r="B3309" t="s">
        <v>4072</v>
      </c>
      <c r="C3309">
        <v>41</v>
      </c>
      <c r="D3309" t="s">
        <v>4090</v>
      </c>
      <c r="E3309" t="s">
        <v>4091</v>
      </c>
      <c r="F3309" t="s">
        <v>4079</v>
      </c>
    </row>
    <row r="3310" spans="1:6" x14ac:dyDescent="0.25">
      <c r="A3310">
        <v>3292</v>
      </c>
      <c r="B3310" t="s">
        <v>4072</v>
      </c>
      <c r="C3310">
        <v>5</v>
      </c>
      <c r="D3310" t="s">
        <v>4087</v>
      </c>
      <c r="E3310" t="s">
        <v>4088</v>
      </c>
      <c r="F3310" t="s">
        <v>4075</v>
      </c>
    </row>
    <row r="3311" spans="1:6" x14ac:dyDescent="0.25">
      <c r="A3311">
        <v>3292</v>
      </c>
      <c r="B3311" t="s">
        <v>4072</v>
      </c>
      <c r="C3311">
        <v>15</v>
      </c>
      <c r="D3311" t="s">
        <v>4080</v>
      </c>
      <c r="E3311" t="s">
        <v>4081</v>
      </c>
      <c r="F3311" t="s">
        <v>4076</v>
      </c>
    </row>
    <row r="3312" spans="1:6" x14ac:dyDescent="0.25">
      <c r="A3312">
        <v>3292</v>
      </c>
      <c r="B3312" t="s">
        <v>4072</v>
      </c>
      <c r="C3312">
        <v>40</v>
      </c>
      <c r="D3312" t="s">
        <v>4080</v>
      </c>
      <c r="E3312" t="s">
        <v>4081</v>
      </c>
      <c r="F3312" t="s">
        <v>4079</v>
      </c>
    </row>
    <row r="3313" spans="1:6" x14ac:dyDescent="0.25">
      <c r="A3313">
        <v>3293</v>
      </c>
      <c r="B3313" t="s">
        <v>4072</v>
      </c>
      <c r="C3313">
        <v>5</v>
      </c>
      <c r="D3313" t="s">
        <v>4087</v>
      </c>
      <c r="E3313" t="s">
        <v>4088</v>
      </c>
      <c r="F3313" t="s">
        <v>4075</v>
      </c>
    </row>
    <row r="3314" spans="1:6" x14ac:dyDescent="0.25">
      <c r="A3314">
        <v>3293</v>
      </c>
      <c r="B3314" t="s">
        <v>4072</v>
      </c>
      <c r="C3314">
        <v>15</v>
      </c>
      <c r="D3314" t="s">
        <v>4080</v>
      </c>
      <c r="E3314" t="s">
        <v>4081</v>
      </c>
      <c r="F3314" t="s">
        <v>4076</v>
      </c>
    </row>
    <row r="3315" spans="1:6" x14ac:dyDescent="0.25">
      <c r="A3315">
        <v>3293</v>
      </c>
      <c r="B3315" t="s">
        <v>4072</v>
      </c>
      <c r="C3315">
        <v>40</v>
      </c>
      <c r="D3315" t="s">
        <v>4080</v>
      </c>
      <c r="E3315" t="s">
        <v>4081</v>
      </c>
      <c r="F3315" t="s">
        <v>4079</v>
      </c>
    </row>
    <row r="3316" spans="1:6" x14ac:dyDescent="0.25">
      <c r="A3316">
        <v>3294</v>
      </c>
      <c r="B3316" t="s">
        <v>4072</v>
      </c>
      <c r="C3316">
        <v>5</v>
      </c>
      <c r="D3316" t="s">
        <v>4087</v>
      </c>
      <c r="E3316" t="s">
        <v>4088</v>
      </c>
      <c r="F3316" t="s">
        <v>4075</v>
      </c>
    </row>
    <row r="3317" spans="1:6" x14ac:dyDescent="0.25">
      <c r="A3317">
        <v>3294</v>
      </c>
      <c r="B3317" t="s">
        <v>4072</v>
      </c>
      <c r="C3317">
        <v>15</v>
      </c>
      <c r="D3317" t="s">
        <v>4080</v>
      </c>
      <c r="E3317" t="s">
        <v>4081</v>
      </c>
      <c r="F3317" t="s">
        <v>4076</v>
      </c>
    </row>
    <row r="3318" spans="1:6" x14ac:dyDescent="0.25">
      <c r="A3318">
        <v>3294</v>
      </c>
      <c r="B3318" t="s">
        <v>4072</v>
      </c>
      <c r="C3318">
        <v>40</v>
      </c>
      <c r="D3318" t="s">
        <v>4080</v>
      </c>
      <c r="E3318" t="s">
        <v>4081</v>
      </c>
      <c r="F3318" t="s">
        <v>4079</v>
      </c>
    </row>
    <row r="3319" spans="1:6" x14ac:dyDescent="0.25">
      <c r="A3319">
        <v>3295</v>
      </c>
      <c r="B3319" t="s">
        <v>4072</v>
      </c>
      <c r="C3319">
        <v>5</v>
      </c>
      <c r="D3319" t="s">
        <v>4087</v>
      </c>
      <c r="E3319" t="s">
        <v>4088</v>
      </c>
      <c r="F3319" t="s">
        <v>4075</v>
      </c>
    </row>
    <row r="3320" spans="1:6" x14ac:dyDescent="0.25">
      <c r="A3320">
        <v>3295</v>
      </c>
      <c r="B3320" t="s">
        <v>4072</v>
      </c>
      <c r="C3320">
        <v>15</v>
      </c>
      <c r="D3320" t="s">
        <v>4080</v>
      </c>
      <c r="E3320" t="s">
        <v>4081</v>
      </c>
      <c r="F3320" t="s">
        <v>4076</v>
      </c>
    </row>
    <row r="3321" spans="1:6" x14ac:dyDescent="0.25">
      <c r="A3321">
        <v>3295</v>
      </c>
      <c r="B3321" t="s">
        <v>4072</v>
      </c>
      <c r="C3321">
        <v>40</v>
      </c>
      <c r="D3321" t="s">
        <v>4080</v>
      </c>
      <c r="E3321" t="s">
        <v>4081</v>
      </c>
      <c r="F3321" t="s">
        <v>4079</v>
      </c>
    </row>
    <row r="3322" spans="1:6" x14ac:dyDescent="0.25">
      <c r="A3322">
        <v>3298</v>
      </c>
      <c r="B3322" t="s">
        <v>4072</v>
      </c>
      <c r="C3322">
        <v>19</v>
      </c>
      <c r="D3322" t="s">
        <v>4073</v>
      </c>
      <c r="E3322" t="s">
        <v>4074</v>
      </c>
      <c r="F3322" t="s">
        <v>4076</v>
      </c>
    </row>
    <row r="3323" spans="1:6" x14ac:dyDescent="0.25">
      <c r="A3323">
        <v>3299</v>
      </c>
      <c r="B3323" t="s">
        <v>4072</v>
      </c>
      <c r="C3323">
        <v>19</v>
      </c>
      <c r="D3323" t="s">
        <v>4073</v>
      </c>
      <c r="E3323" t="s">
        <v>4074</v>
      </c>
      <c r="F3323" t="s">
        <v>4076</v>
      </c>
    </row>
    <row r="3324" spans="1:6" x14ac:dyDescent="0.25">
      <c r="A3324">
        <v>3299</v>
      </c>
      <c r="B3324" t="s">
        <v>4072</v>
      </c>
      <c r="C3324">
        <v>39</v>
      </c>
      <c r="D3324" t="s">
        <v>4073</v>
      </c>
      <c r="E3324" t="s">
        <v>4074</v>
      </c>
      <c r="F3324" t="s">
        <v>4079</v>
      </c>
    </row>
    <row r="3325" spans="1:6" x14ac:dyDescent="0.25">
      <c r="A3325">
        <v>3301</v>
      </c>
      <c r="B3325" t="s">
        <v>4072</v>
      </c>
      <c r="C3325">
        <v>39</v>
      </c>
      <c r="D3325" t="s">
        <v>4073</v>
      </c>
      <c r="E3325" t="s">
        <v>4074</v>
      </c>
      <c r="F3325" t="s">
        <v>4079</v>
      </c>
    </row>
    <row r="3326" spans="1:6" x14ac:dyDescent="0.25">
      <c r="A3326">
        <v>3306</v>
      </c>
      <c r="B3326" t="s">
        <v>4072</v>
      </c>
      <c r="C3326">
        <v>3</v>
      </c>
      <c r="D3326" t="s">
        <v>4085</v>
      </c>
      <c r="E3326" t="s">
        <v>4086</v>
      </c>
      <c r="F3326" t="s">
        <v>4075</v>
      </c>
    </row>
    <row r="3327" spans="1:6" x14ac:dyDescent="0.25">
      <c r="A3327">
        <v>3306</v>
      </c>
      <c r="B3327" t="s">
        <v>4072</v>
      </c>
      <c r="C3327">
        <v>15</v>
      </c>
      <c r="D3327" t="s">
        <v>4080</v>
      </c>
      <c r="E3327" t="s">
        <v>4081</v>
      </c>
      <c r="F3327" t="s">
        <v>4076</v>
      </c>
    </row>
    <row r="3328" spans="1:6" x14ac:dyDescent="0.25">
      <c r="A3328">
        <v>3306</v>
      </c>
      <c r="B3328" t="s">
        <v>4072</v>
      </c>
      <c r="C3328">
        <v>40</v>
      </c>
      <c r="D3328" t="s">
        <v>4080</v>
      </c>
      <c r="E3328" t="s">
        <v>4081</v>
      </c>
      <c r="F3328" t="s">
        <v>4079</v>
      </c>
    </row>
    <row r="3329" spans="1:6" x14ac:dyDescent="0.25">
      <c r="A3329">
        <v>3307</v>
      </c>
      <c r="B3329" t="s">
        <v>4072</v>
      </c>
      <c r="C3329">
        <v>3</v>
      </c>
      <c r="D3329" t="s">
        <v>4085</v>
      </c>
      <c r="E3329" t="s">
        <v>4086</v>
      </c>
      <c r="F3329" t="s">
        <v>4075</v>
      </c>
    </row>
    <row r="3330" spans="1:6" x14ac:dyDescent="0.25">
      <c r="A3330">
        <v>3307</v>
      </c>
      <c r="B3330" t="s">
        <v>4072</v>
      </c>
      <c r="C3330">
        <v>4</v>
      </c>
      <c r="D3330" t="s">
        <v>4077</v>
      </c>
      <c r="E3330" t="s">
        <v>4078</v>
      </c>
      <c r="F3330" t="s">
        <v>4075</v>
      </c>
    </row>
    <row r="3331" spans="1:6" x14ac:dyDescent="0.25">
      <c r="A3331">
        <v>3307</v>
      </c>
      <c r="B3331" t="s">
        <v>4072</v>
      </c>
      <c r="C3331">
        <v>15</v>
      </c>
      <c r="D3331" t="s">
        <v>4080</v>
      </c>
      <c r="E3331" t="s">
        <v>4081</v>
      </c>
      <c r="F3331" t="s">
        <v>4076</v>
      </c>
    </row>
    <row r="3332" spans="1:6" x14ac:dyDescent="0.25">
      <c r="A3332">
        <v>3307</v>
      </c>
      <c r="B3332" t="s">
        <v>4072</v>
      </c>
      <c r="C3332">
        <v>16</v>
      </c>
      <c r="D3332" t="s">
        <v>4077</v>
      </c>
      <c r="E3332" t="s">
        <v>4078</v>
      </c>
      <c r="F3332" t="s">
        <v>4076</v>
      </c>
    </row>
    <row r="3333" spans="1:6" x14ac:dyDescent="0.25">
      <c r="A3333">
        <v>3308</v>
      </c>
      <c r="B3333" t="s">
        <v>4072</v>
      </c>
      <c r="C3333">
        <v>2</v>
      </c>
      <c r="D3333" t="s">
        <v>4082</v>
      </c>
      <c r="E3333" t="s">
        <v>4083</v>
      </c>
      <c r="F3333" t="s">
        <v>4075</v>
      </c>
    </row>
    <row r="3334" spans="1:6" x14ac:dyDescent="0.25">
      <c r="A3334">
        <v>3308</v>
      </c>
      <c r="B3334" t="s">
        <v>4072</v>
      </c>
      <c r="C3334">
        <v>17</v>
      </c>
      <c r="D3334" t="s">
        <v>4082</v>
      </c>
      <c r="E3334" t="s">
        <v>4084</v>
      </c>
      <c r="F3334" t="s">
        <v>4076</v>
      </c>
    </row>
    <row r="3335" spans="1:6" x14ac:dyDescent="0.25">
      <c r="A3335">
        <v>3309</v>
      </c>
      <c r="B3335" t="s">
        <v>4072</v>
      </c>
      <c r="C3335">
        <v>2</v>
      </c>
      <c r="D3335" t="s">
        <v>4082</v>
      </c>
      <c r="E3335" t="s">
        <v>4083</v>
      </c>
      <c r="F3335" t="s">
        <v>4075</v>
      </c>
    </row>
    <row r="3336" spans="1:6" x14ac:dyDescent="0.25">
      <c r="A3336">
        <v>3309</v>
      </c>
      <c r="B3336" t="s">
        <v>4072</v>
      </c>
      <c r="C3336">
        <v>17</v>
      </c>
      <c r="D3336" t="s">
        <v>4082</v>
      </c>
      <c r="E3336" t="s">
        <v>4084</v>
      </c>
      <c r="F3336" t="s">
        <v>4076</v>
      </c>
    </row>
    <row r="3337" spans="1:6" x14ac:dyDescent="0.25">
      <c r="A3337">
        <v>3311</v>
      </c>
      <c r="B3337" t="s">
        <v>4092</v>
      </c>
      <c r="C3337">
        <v>33</v>
      </c>
      <c r="D3337" t="s">
        <v>4109</v>
      </c>
      <c r="E3337" t="s">
        <v>4110</v>
      </c>
      <c r="F3337" t="s">
        <v>4075</v>
      </c>
    </row>
    <row r="3338" spans="1:6" x14ac:dyDescent="0.25">
      <c r="A3338">
        <v>3313</v>
      </c>
      <c r="B3338" t="s">
        <v>4072</v>
      </c>
      <c r="C3338">
        <v>5</v>
      </c>
      <c r="D3338" t="s">
        <v>4087</v>
      </c>
      <c r="E3338" t="s">
        <v>4088</v>
      </c>
      <c r="F3338" t="s">
        <v>4075</v>
      </c>
    </row>
    <row r="3339" spans="1:6" x14ac:dyDescent="0.25">
      <c r="A3339">
        <v>3313</v>
      </c>
      <c r="B3339" t="s">
        <v>4072</v>
      </c>
      <c r="C3339">
        <v>15</v>
      </c>
      <c r="D3339" t="s">
        <v>4080</v>
      </c>
      <c r="E3339" t="s">
        <v>4081</v>
      </c>
      <c r="F3339" t="s">
        <v>4076</v>
      </c>
    </row>
    <row r="3340" spans="1:6" x14ac:dyDescent="0.25">
      <c r="A3340">
        <v>3313</v>
      </c>
      <c r="B3340" t="s">
        <v>4072</v>
      </c>
      <c r="C3340">
        <v>40</v>
      </c>
      <c r="D3340" t="s">
        <v>4080</v>
      </c>
      <c r="E3340" t="s">
        <v>4081</v>
      </c>
      <c r="F3340" t="s">
        <v>4079</v>
      </c>
    </row>
    <row r="3341" spans="1:6" x14ac:dyDescent="0.25">
      <c r="A3341">
        <v>3319</v>
      </c>
      <c r="B3341" t="s">
        <v>4072</v>
      </c>
      <c r="C3341">
        <v>3</v>
      </c>
      <c r="D3341" t="s">
        <v>4085</v>
      </c>
      <c r="E3341" t="s">
        <v>4086</v>
      </c>
      <c r="F3341" t="s">
        <v>4075</v>
      </c>
    </row>
    <row r="3342" spans="1:6" x14ac:dyDescent="0.25">
      <c r="A3342">
        <v>3319</v>
      </c>
      <c r="B3342" t="s">
        <v>4072</v>
      </c>
      <c r="C3342">
        <v>15</v>
      </c>
      <c r="D3342" t="s">
        <v>4080</v>
      </c>
      <c r="E3342" t="s">
        <v>4081</v>
      </c>
      <c r="F3342" t="s">
        <v>4076</v>
      </c>
    </row>
    <row r="3343" spans="1:6" x14ac:dyDescent="0.25">
      <c r="A3343">
        <v>3319</v>
      </c>
      <c r="B3343" t="s">
        <v>4072</v>
      </c>
      <c r="C3343">
        <v>40</v>
      </c>
      <c r="D3343" t="s">
        <v>4080</v>
      </c>
      <c r="E3343" t="s">
        <v>4081</v>
      </c>
      <c r="F3343" t="s">
        <v>4079</v>
      </c>
    </row>
    <row r="3344" spans="1:6" x14ac:dyDescent="0.25">
      <c r="A3344">
        <v>3320</v>
      </c>
      <c r="B3344" t="s">
        <v>4072</v>
      </c>
      <c r="C3344">
        <v>4</v>
      </c>
      <c r="D3344" t="s">
        <v>4077</v>
      </c>
      <c r="E3344" t="s">
        <v>4078</v>
      </c>
      <c r="F3344" t="s">
        <v>4075</v>
      </c>
    </row>
    <row r="3345" spans="1:6" x14ac:dyDescent="0.25">
      <c r="A3345">
        <v>3320</v>
      </c>
      <c r="B3345" t="s">
        <v>4072</v>
      </c>
      <c r="C3345">
        <v>16</v>
      </c>
      <c r="D3345" t="s">
        <v>4077</v>
      </c>
      <c r="E3345" t="s">
        <v>4078</v>
      </c>
      <c r="F3345" t="s">
        <v>4076</v>
      </c>
    </row>
    <row r="3346" spans="1:6" x14ac:dyDescent="0.25">
      <c r="A3346">
        <v>3321</v>
      </c>
      <c r="B3346" t="s">
        <v>4072</v>
      </c>
      <c r="C3346">
        <v>5</v>
      </c>
      <c r="D3346" t="s">
        <v>4087</v>
      </c>
      <c r="E3346" t="s">
        <v>4088</v>
      </c>
      <c r="F3346" t="s">
        <v>4075</v>
      </c>
    </row>
    <row r="3347" spans="1:6" x14ac:dyDescent="0.25">
      <c r="A3347">
        <v>3321</v>
      </c>
      <c r="B3347" t="s">
        <v>4072</v>
      </c>
      <c r="C3347">
        <v>15</v>
      </c>
      <c r="D3347" t="s">
        <v>4080</v>
      </c>
      <c r="E3347" t="s">
        <v>4081</v>
      </c>
      <c r="F3347" t="s">
        <v>4076</v>
      </c>
    </row>
    <row r="3348" spans="1:6" x14ac:dyDescent="0.25">
      <c r="A3348">
        <v>3322</v>
      </c>
      <c r="B3348" t="s">
        <v>4072</v>
      </c>
      <c r="C3348">
        <v>4</v>
      </c>
      <c r="D3348" t="s">
        <v>4077</v>
      </c>
      <c r="E3348" t="s">
        <v>4078</v>
      </c>
      <c r="F3348" t="s">
        <v>4075</v>
      </c>
    </row>
    <row r="3349" spans="1:6" x14ac:dyDescent="0.25">
      <c r="A3349">
        <v>3322</v>
      </c>
      <c r="B3349" t="s">
        <v>4072</v>
      </c>
      <c r="C3349">
        <v>16</v>
      </c>
      <c r="D3349" t="s">
        <v>4077</v>
      </c>
      <c r="E3349" t="s">
        <v>4078</v>
      </c>
      <c r="F3349" t="s">
        <v>4076</v>
      </c>
    </row>
    <row r="3350" spans="1:6" x14ac:dyDescent="0.25">
      <c r="A3350">
        <v>3326</v>
      </c>
      <c r="B3350" t="s">
        <v>4072</v>
      </c>
      <c r="C3350">
        <v>2</v>
      </c>
      <c r="D3350" t="s">
        <v>4082</v>
      </c>
      <c r="E3350" t="s">
        <v>4083</v>
      </c>
      <c r="F3350" t="s">
        <v>4075</v>
      </c>
    </row>
    <row r="3351" spans="1:6" x14ac:dyDescent="0.25">
      <c r="A3351">
        <v>3326</v>
      </c>
      <c r="B3351" t="s">
        <v>4072</v>
      </c>
      <c r="C3351">
        <v>17</v>
      </c>
      <c r="D3351" t="s">
        <v>4082</v>
      </c>
      <c r="E3351" t="s">
        <v>4084</v>
      </c>
      <c r="F3351" t="s">
        <v>4076</v>
      </c>
    </row>
    <row r="3352" spans="1:6" x14ac:dyDescent="0.25">
      <c r="A3352">
        <v>3326</v>
      </c>
      <c r="B3352" t="s">
        <v>4072</v>
      </c>
      <c r="C3352">
        <v>42</v>
      </c>
      <c r="D3352" t="s">
        <v>4082</v>
      </c>
      <c r="E3352" t="s">
        <v>4083</v>
      </c>
      <c r="F3352" t="s">
        <v>4079</v>
      </c>
    </row>
    <row r="3353" spans="1:6" x14ac:dyDescent="0.25">
      <c r="A3353">
        <v>3330</v>
      </c>
      <c r="B3353" t="s">
        <v>4072</v>
      </c>
      <c r="C3353">
        <v>14</v>
      </c>
      <c r="D3353" t="s">
        <v>4090</v>
      </c>
      <c r="E3353" t="s">
        <v>4091</v>
      </c>
      <c r="F3353" t="s">
        <v>4076</v>
      </c>
    </row>
    <row r="3354" spans="1:6" x14ac:dyDescent="0.25">
      <c r="A3354">
        <v>3330</v>
      </c>
      <c r="B3354" t="s">
        <v>4072</v>
      </c>
      <c r="C3354">
        <v>37</v>
      </c>
      <c r="D3354" t="s">
        <v>2398</v>
      </c>
      <c r="E3354" t="s">
        <v>4101</v>
      </c>
      <c r="F3354" t="s">
        <v>4075</v>
      </c>
    </row>
    <row r="3355" spans="1:6" x14ac:dyDescent="0.25">
      <c r="A3355">
        <v>3330</v>
      </c>
      <c r="B3355" t="s">
        <v>4072</v>
      </c>
      <c r="C3355">
        <v>41</v>
      </c>
      <c r="D3355" t="s">
        <v>4090</v>
      </c>
      <c r="E3355" t="s">
        <v>4091</v>
      </c>
      <c r="F3355" t="s">
        <v>4079</v>
      </c>
    </row>
    <row r="3356" spans="1:6" x14ac:dyDescent="0.25">
      <c r="A3356">
        <v>3338</v>
      </c>
      <c r="B3356" t="s">
        <v>4072</v>
      </c>
      <c r="C3356">
        <v>2</v>
      </c>
      <c r="D3356" t="s">
        <v>4082</v>
      </c>
      <c r="E3356" t="s">
        <v>4083</v>
      </c>
      <c r="F3356" t="s">
        <v>4075</v>
      </c>
    </row>
    <row r="3357" spans="1:6" x14ac:dyDescent="0.25">
      <c r="A3357">
        <v>3338</v>
      </c>
      <c r="B3357" t="s">
        <v>4072</v>
      </c>
      <c r="C3357">
        <v>17</v>
      </c>
      <c r="D3357" t="s">
        <v>4082</v>
      </c>
      <c r="E3357" t="s">
        <v>4084</v>
      </c>
      <c r="F3357" t="s">
        <v>4076</v>
      </c>
    </row>
    <row r="3358" spans="1:6" x14ac:dyDescent="0.25">
      <c r="A3358">
        <v>3339</v>
      </c>
      <c r="B3358" t="s">
        <v>4072</v>
      </c>
      <c r="C3358">
        <v>6</v>
      </c>
      <c r="D3358" t="s">
        <v>4073</v>
      </c>
      <c r="E3358" t="s">
        <v>4074</v>
      </c>
      <c r="F3358" t="s">
        <v>4075</v>
      </c>
    </row>
    <row r="3359" spans="1:6" x14ac:dyDescent="0.25">
      <c r="A3359">
        <v>3339</v>
      </c>
      <c r="B3359" t="s">
        <v>4072</v>
      </c>
      <c r="C3359">
        <v>19</v>
      </c>
      <c r="D3359" t="s">
        <v>4073</v>
      </c>
      <c r="E3359" t="s">
        <v>4074</v>
      </c>
      <c r="F3359" t="s">
        <v>4076</v>
      </c>
    </row>
    <row r="3360" spans="1:6" x14ac:dyDescent="0.25">
      <c r="A3360">
        <v>3339</v>
      </c>
      <c r="B3360" t="s">
        <v>4072</v>
      </c>
      <c r="C3360">
        <v>39</v>
      </c>
      <c r="D3360" t="s">
        <v>4073</v>
      </c>
      <c r="E3360" t="s">
        <v>4074</v>
      </c>
      <c r="F3360" t="s">
        <v>4079</v>
      </c>
    </row>
    <row r="3361" spans="1:6" x14ac:dyDescent="0.25">
      <c r="A3361">
        <v>3340</v>
      </c>
      <c r="B3361" t="s">
        <v>4072</v>
      </c>
      <c r="C3361">
        <v>5</v>
      </c>
      <c r="D3361" t="s">
        <v>4087</v>
      </c>
      <c r="E3361" t="s">
        <v>4088</v>
      </c>
      <c r="F3361" t="s">
        <v>4075</v>
      </c>
    </row>
    <row r="3362" spans="1:6" x14ac:dyDescent="0.25">
      <c r="A3362">
        <v>3340</v>
      </c>
      <c r="B3362" t="s">
        <v>4072</v>
      </c>
      <c r="C3362">
        <v>15</v>
      </c>
      <c r="D3362" t="s">
        <v>4080</v>
      </c>
      <c r="E3362" t="s">
        <v>4081</v>
      </c>
      <c r="F3362" t="s">
        <v>4076</v>
      </c>
    </row>
    <row r="3363" spans="1:6" x14ac:dyDescent="0.25">
      <c r="A3363">
        <v>3340</v>
      </c>
      <c r="B3363" t="s">
        <v>4072</v>
      </c>
      <c r="C3363">
        <v>40</v>
      </c>
      <c r="D3363" t="s">
        <v>4080</v>
      </c>
      <c r="E3363" t="s">
        <v>4081</v>
      </c>
      <c r="F3363" t="s">
        <v>4079</v>
      </c>
    </row>
    <row r="3364" spans="1:6" x14ac:dyDescent="0.25">
      <c r="A3364">
        <v>3341</v>
      </c>
      <c r="B3364" t="s">
        <v>4072</v>
      </c>
      <c r="C3364">
        <v>5</v>
      </c>
      <c r="D3364" t="s">
        <v>4087</v>
      </c>
      <c r="E3364" t="s">
        <v>4088</v>
      </c>
      <c r="F3364" t="s">
        <v>4075</v>
      </c>
    </row>
    <row r="3365" spans="1:6" x14ac:dyDescent="0.25">
      <c r="A3365">
        <v>3341</v>
      </c>
      <c r="B3365" t="s">
        <v>4072</v>
      </c>
      <c r="C3365">
        <v>15</v>
      </c>
      <c r="D3365" t="s">
        <v>4080</v>
      </c>
      <c r="E3365" t="s">
        <v>4081</v>
      </c>
      <c r="F3365" t="s">
        <v>4076</v>
      </c>
    </row>
    <row r="3366" spans="1:6" x14ac:dyDescent="0.25">
      <c r="A3366">
        <v>3341</v>
      </c>
      <c r="B3366" t="s">
        <v>4072</v>
      </c>
      <c r="C3366">
        <v>40</v>
      </c>
      <c r="D3366" t="s">
        <v>4080</v>
      </c>
      <c r="E3366" t="s">
        <v>4081</v>
      </c>
      <c r="F3366" t="s">
        <v>4079</v>
      </c>
    </row>
    <row r="3367" spans="1:6" x14ac:dyDescent="0.25">
      <c r="A3367">
        <v>3343</v>
      </c>
      <c r="B3367" t="s">
        <v>4072</v>
      </c>
      <c r="C3367">
        <v>3</v>
      </c>
      <c r="D3367" t="s">
        <v>4085</v>
      </c>
      <c r="E3367" t="s">
        <v>4086</v>
      </c>
      <c r="F3367" t="s">
        <v>4075</v>
      </c>
    </row>
    <row r="3368" spans="1:6" x14ac:dyDescent="0.25">
      <c r="A3368">
        <v>3343</v>
      </c>
      <c r="B3368" t="s">
        <v>4072</v>
      </c>
      <c r="C3368">
        <v>4</v>
      </c>
      <c r="D3368" t="s">
        <v>4077</v>
      </c>
      <c r="E3368" t="s">
        <v>4078</v>
      </c>
      <c r="F3368" t="s">
        <v>4075</v>
      </c>
    </row>
    <row r="3369" spans="1:6" x14ac:dyDescent="0.25">
      <c r="A3369">
        <v>3343</v>
      </c>
      <c r="B3369" t="s">
        <v>4072</v>
      </c>
      <c r="C3369">
        <v>15</v>
      </c>
      <c r="D3369" t="s">
        <v>4080</v>
      </c>
      <c r="E3369" t="s">
        <v>4081</v>
      </c>
      <c r="F3369" t="s">
        <v>4076</v>
      </c>
    </row>
    <row r="3370" spans="1:6" x14ac:dyDescent="0.25">
      <c r="A3370">
        <v>3343</v>
      </c>
      <c r="B3370" t="s">
        <v>4072</v>
      </c>
      <c r="C3370">
        <v>16</v>
      </c>
      <c r="D3370" t="s">
        <v>4077</v>
      </c>
      <c r="E3370" t="s">
        <v>4078</v>
      </c>
      <c r="F3370" t="s">
        <v>4076</v>
      </c>
    </row>
    <row r="3371" spans="1:6" x14ac:dyDescent="0.25">
      <c r="A3371">
        <v>3343</v>
      </c>
      <c r="B3371" t="s">
        <v>4072</v>
      </c>
      <c r="C3371">
        <v>40</v>
      </c>
      <c r="D3371" t="s">
        <v>4080</v>
      </c>
      <c r="E3371" t="s">
        <v>4081</v>
      </c>
      <c r="F3371" t="s">
        <v>4079</v>
      </c>
    </row>
    <row r="3372" spans="1:6" x14ac:dyDescent="0.25">
      <c r="A3372">
        <v>3343</v>
      </c>
      <c r="B3372" t="s">
        <v>4072</v>
      </c>
      <c r="C3372">
        <v>44</v>
      </c>
      <c r="D3372" t="s">
        <v>4077</v>
      </c>
      <c r="E3372" t="s">
        <v>4078</v>
      </c>
      <c r="F3372" t="s">
        <v>4079</v>
      </c>
    </row>
    <row r="3373" spans="1:6" x14ac:dyDescent="0.25">
      <c r="A3373">
        <v>3348</v>
      </c>
      <c r="B3373" t="s">
        <v>4072</v>
      </c>
      <c r="C3373">
        <v>5</v>
      </c>
      <c r="D3373" t="s">
        <v>4087</v>
      </c>
      <c r="E3373" t="s">
        <v>4088</v>
      </c>
      <c r="F3373" t="s">
        <v>4075</v>
      </c>
    </row>
    <row r="3374" spans="1:6" x14ac:dyDescent="0.25">
      <c r="A3374">
        <v>3348</v>
      </c>
      <c r="B3374" t="s">
        <v>4072</v>
      </c>
      <c r="C3374">
        <v>15</v>
      </c>
      <c r="D3374" t="s">
        <v>4080</v>
      </c>
      <c r="E3374" t="s">
        <v>4081</v>
      </c>
      <c r="F3374" t="s">
        <v>4076</v>
      </c>
    </row>
    <row r="3375" spans="1:6" x14ac:dyDescent="0.25">
      <c r="A3375">
        <v>3349</v>
      </c>
      <c r="B3375" t="s">
        <v>4072</v>
      </c>
      <c r="C3375">
        <v>5</v>
      </c>
      <c r="D3375" t="s">
        <v>4087</v>
      </c>
      <c r="E3375" t="s">
        <v>4088</v>
      </c>
      <c r="F3375" t="s">
        <v>4075</v>
      </c>
    </row>
    <row r="3376" spans="1:6" x14ac:dyDescent="0.25">
      <c r="A3376">
        <v>3349</v>
      </c>
      <c r="B3376" t="s">
        <v>4072</v>
      </c>
      <c r="C3376">
        <v>15</v>
      </c>
      <c r="D3376" t="s">
        <v>4080</v>
      </c>
      <c r="E3376" t="s">
        <v>4081</v>
      </c>
      <c r="F3376" t="s">
        <v>4076</v>
      </c>
    </row>
    <row r="3377" spans="1:6" x14ac:dyDescent="0.25">
      <c r="A3377">
        <v>3350</v>
      </c>
      <c r="B3377" t="s">
        <v>4072</v>
      </c>
      <c r="C3377">
        <v>5</v>
      </c>
      <c r="D3377" t="s">
        <v>4087</v>
      </c>
      <c r="E3377" t="s">
        <v>4088</v>
      </c>
      <c r="F3377" t="s">
        <v>4075</v>
      </c>
    </row>
    <row r="3378" spans="1:6" x14ac:dyDescent="0.25">
      <c r="A3378">
        <v>3350</v>
      </c>
      <c r="B3378" t="s">
        <v>4072</v>
      </c>
      <c r="C3378">
        <v>15</v>
      </c>
      <c r="D3378" t="s">
        <v>4080</v>
      </c>
      <c r="E3378" t="s">
        <v>4081</v>
      </c>
      <c r="F3378" t="s">
        <v>4076</v>
      </c>
    </row>
    <row r="3379" spans="1:6" x14ac:dyDescent="0.25">
      <c r="A3379">
        <v>3351</v>
      </c>
      <c r="B3379" t="s">
        <v>4072</v>
      </c>
      <c r="C3379">
        <v>4</v>
      </c>
      <c r="D3379" t="s">
        <v>4077</v>
      </c>
      <c r="E3379" t="s">
        <v>4078</v>
      </c>
      <c r="F3379" t="s">
        <v>4075</v>
      </c>
    </row>
    <row r="3380" spans="1:6" x14ac:dyDescent="0.25">
      <c r="A3380">
        <v>3351</v>
      </c>
      <c r="B3380" t="s">
        <v>4072</v>
      </c>
      <c r="C3380">
        <v>16</v>
      </c>
      <c r="D3380" t="s">
        <v>4077</v>
      </c>
      <c r="E3380" t="s">
        <v>4078</v>
      </c>
      <c r="F3380" t="s">
        <v>4076</v>
      </c>
    </row>
    <row r="3381" spans="1:6" x14ac:dyDescent="0.25">
      <c r="A3381">
        <v>3352</v>
      </c>
      <c r="B3381" t="s">
        <v>4072</v>
      </c>
      <c r="C3381">
        <v>2</v>
      </c>
      <c r="D3381" t="s">
        <v>4082</v>
      </c>
      <c r="E3381" t="s">
        <v>4083</v>
      </c>
      <c r="F3381" t="s">
        <v>4075</v>
      </c>
    </row>
    <row r="3382" spans="1:6" x14ac:dyDescent="0.25">
      <c r="A3382">
        <v>3352</v>
      </c>
      <c r="B3382" t="s">
        <v>4072</v>
      </c>
      <c r="C3382">
        <v>17</v>
      </c>
      <c r="D3382" t="s">
        <v>4082</v>
      </c>
      <c r="E3382" t="s">
        <v>4084</v>
      </c>
      <c r="F3382" t="s">
        <v>4076</v>
      </c>
    </row>
    <row r="3383" spans="1:6" x14ac:dyDescent="0.25">
      <c r="A3383">
        <v>3353</v>
      </c>
      <c r="B3383" t="s">
        <v>4072</v>
      </c>
      <c r="C3383">
        <v>3</v>
      </c>
      <c r="D3383" t="s">
        <v>4085</v>
      </c>
      <c r="E3383" t="s">
        <v>4086</v>
      </c>
      <c r="F3383" t="s">
        <v>4075</v>
      </c>
    </row>
    <row r="3384" spans="1:6" x14ac:dyDescent="0.25">
      <c r="A3384">
        <v>3353</v>
      </c>
      <c r="B3384" t="s">
        <v>4072</v>
      </c>
      <c r="C3384">
        <v>15</v>
      </c>
      <c r="D3384" t="s">
        <v>4080</v>
      </c>
      <c r="E3384" t="s">
        <v>4081</v>
      </c>
      <c r="F3384" t="s">
        <v>4076</v>
      </c>
    </row>
    <row r="3385" spans="1:6" x14ac:dyDescent="0.25">
      <c r="A3385">
        <v>3354</v>
      </c>
      <c r="B3385" t="s">
        <v>4072</v>
      </c>
      <c r="C3385">
        <v>2</v>
      </c>
      <c r="D3385" t="s">
        <v>4082</v>
      </c>
      <c r="E3385" t="s">
        <v>4083</v>
      </c>
      <c r="F3385" t="s">
        <v>4075</v>
      </c>
    </row>
    <row r="3386" spans="1:6" x14ac:dyDescent="0.25">
      <c r="A3386">
        <v>3354</v>
      </c>
      <c r="B3386" t="s">
        <v>4072</v>
      </c>
      <c r="C3386">
        <v>17</v>
      </c>
      <c r="D3386" t="s">
        <v>4082</v>
      </c>
      <c r="E3386" t="s">
        <v>4084</v>
      </c>
      <c r="F3386" t="s">
        <v>4076</v>
      </c>
    </row>
    <row r="3387" spans="1:6" x14ac:dyDescent="0.25">
      <c r="A3387">
        <v>3354</v>
      </c>
      <c r="B3387" t="s">
        <v>4072</v>
      </c>
      <c r="C3387">
        <v>42</v>
      </c>
      <c r="D3387" t="s">
        <v>4082</v>
      </c>
      <c r="E3387" t="s">
        <v>4083</v>
      </c>
      <c r="F3387" t="s">
        <v>4079</v>
      </c>
    </row>
    <row r="3388" spans="1:6" x14ac:dyDescent="0.25">
      <c r="A3388">
        <v>3355</v>
      </c>
      <c r="B3388" t="s">
        <v>4072</v>
      </c>
      <c r="C3388">
        <v>5</v>
      </c>
      <c r="D3388" t="s">
        <v>4087</v>
      </c>
      <c r="E3388" t="s">
        <v>4088</v>
      </c>
      <c r="F3388" t="s">
        <v>4075</v>
      </c>
    </row>
    <row r="3389" spans="1:6" x14ac:dyDescent="0.25">
      <c r="A3389">
        <v>3355</v>
      </c>
      <c r="B3389" t="s">
        <v>4072</v>
      </c>
      <c r="C3389">
        <v>15</v>
      </c>
      <c r="D3389" t="s">
        <v>4080</v>
      </c>
      <c r="E3389" t="s">
        <v>4081</v>
      </c>
      <c r="F3389" t="s">
        <v>4076</v>
      </c>
    </row>
    <row r="3390" spans="1:6" x14ac:dyDescent="0.25">
      <c r="A3390">
        <v>3357</v>
      </c>
      <c r="B3390" t="s">
        <v>4072</v>
      </c>
      <c r="C3390">
        <v>1</v>
      </c>
      <c r="D3390" t="s">
        <v>2761</v>
      </c>
      <c r="E3390" t="s">
        <v>4089</v>
      </c>
      <c r="F3390" t="s">
        <v>4075</v>
      </c>
    </row>
    <row r="3391" spans="1:6" x14ac:dyDescent="0.25">
      <c r="A3391">
        <v>3357</v>
      </c>
      <c r="B3391" t="s">
        <v>4072</v>
      </c>
      <c r="C3391">
        <v>2</v>
      </c>
      <c r="D3391" t="s">
        <v>4082</v>
      </c>
      <c r="E3391" t="s">
        <v>4083</v>
      </c>
      <c r="F3391" t="s">
        <v>4075</v>
      </c>
    </row>
    <row r="3392" spans="1:6" x14ac:dyDescent="0.25">
      <c r="A3392">
        <v>3357</v>
      </c>
      <c r="B3392" t="s">
        <v>4072</v>
      </c>
      <c r="C3392">
        <v>17</v>
      </c>
      <c r="D3392" t="s">
        <v>4082</v>
      </c>
      <c r="E3392" t="s">
        <v>4084</v>
      </c>
      <c r="F3392" t="s">
        <v>4076</v>
      </c>
    </row>
    <row r="3393" spans="1:6" x14ac:dyDescent="0.25">
      <c r="A3393">
        <v>3357</v>
      </c>
      <c r="B3393" t="s">
        <v>4072</v>
      </c>
      <c r="C3393">
        <v>38</v>
      </c>
      <c r="D3393" t="s">
        <v>2761</v>
      </c>
      <c r="E3393" t="s">
        <v>4089</v>
      </c>
      <c r="F3393" t="s">
        <v>4076</v>
      </c>
    </row>
    <row r="3394" spans="1:6" x14ac:dyDescent="0.25">
      <c r="A3394">
        <v>3357</v>
      </c>
      <c r="B3394" t="s">
        <v>4072</v>
      </c>
      <c r="C3394">
        <v>42</v>
      </c>
      <c r="D3394" t="s">
        <v>4082</v>
      </c>
      <c r="E3394" t="s">
        <v>4083</v>
      </c>
      <c r="F3394" t="s">
        <v>4079</v>
      </c>
    </row>
    <row r="3395" spans="1:6" x14ac:dyDescent="0.25">
      <c r="A3395">
        <v>3357</v>
      </c>
      <c r="B3395" t="s">
        <v>4072</v>
      </c>
      <c r="C3395">
        <v>43</v>
      </c>
      <c r="D3395" t="s">
        <v>2761</v>
      </c>
      <c r="E3395" t="s">
        <v>4089</v>
      </c>
      <c r="F3395" t="s">
        <v>4079</v>
      </c>
    </row>
    <row r="3396" spans="1:6" x14ac:dyDescent="0.25">
      <c r="A3396">
        <v>3358</v>
      </c>
      <c r="B3396" t="s">
        <v>4072</v>
      </c>
      <c r="C3396">
        <v>3</v>
      </c>
      <c r="D3396" t="s">
        <v>4085</v>
      </c>
      <c r="E3396" t="s">
        <v>4086</v>
      </c>
      <c r="F3396" t="s">
        <v>4075</v>
      </c>
    </row>
    <row r="3397" spans="1:6" x14ac:dyDescent="0.25">
      <c r="A3397">
        <v>3358</v>
      </c>
      <c r="B3397" t="s">
        <v>4072</v>
      </c>
      <c r="C3397">
        <v>15</v>
      </c>
      <c r="D3397" t="s">
        <v>4080</v>
      </c>
      <c r="E3397" t="s">
        <v>4081</v>
      </c>
      <c r="F3397" t="s">
        <v>4076</v>
      </c>
    </row>
    <row r="3398" spans="1:6" x14ac:dyDescent="0.25">
      <c r="A3398">
        <v>3358</v>
      </c>
      <c r="B3398" t="s">
        <v>4072</v>
      </c>
      <c r="C3398">
        <v>40</v>
      </c>
      <c r="D3398" t="s">
        <v>4080</v>
      </c>
      <c r="E3398" t="s">
        <v>4081</v>
      </c>
      <c r="F3398" t="s">
        <v>4079</v>
      </c>
    </row>
    <row r="3399" spans="1:6" x14ac:dyDescent="0.25">
      <c r="A3399">
        <v>3359</v>
      </c>
      <c r="B3399" t="s">
        <v>4072</v>
      </c>
      <c r="C3399">
        <v>4</v>
      </c>
      <c r="D3399" t="s">
        <v>4077</v>
      </c>
      <c r="E3399" t="s">
        <v>4078</v>
      </c>
      <c r="F3399" t="s">
        <v>4075</v>
      </c>
    </row>
    <row r="3400" spans="1:6" x14ac:dyDescent="0.25">
      <c r="A3400">
        <v>3359</v>
      </c>
      <c r="B3400" t="s">
        <v>4072</v>
      </c>
      <c r="C3400">
        <v>16</v>
      </c>
      <c r="D3400" t="s">
        <v>4077</v>
      </c>
      <c r="E3400" t="s">
        <v>4078</v>
      </c>
      <c r="F3400" t="s">
        <v>4076</v>
      </c>
    </row>
    <row r="3401" spans="1:6" x14ac:dyDescent="0.25">
      <c r="A3401">
        <v>3359</v>
      </c>
      <c r="B3401" t="s">
        <v>4072</v>
      </c>
      <c r="C3401">
        <v>44</v>
      </c>
      <c r="D3401" t="s">
        <v>4077</v>
      </c>
      <c r="E3401" t="s">
        <v>4078</v>
      </c>
      <c r="F3401" t="s">
        <v>4079</v>
      </c>
    </row>
    <row r="3402" spans="1:6" x14ac:dyDescent="0.25">
      <c r="A3402">
        <v>3360</v>
      </c>
      <c r="B3402" t="s">
        <v>4072</v>
      </c>
      <c r="C3402">
        <v>6</v>
      </c>
      <c r="D3402" t="s">
        <v>4073</v>
      </c>
      <c r="E3402" t="s">
        <v>4074</v>
      </c>
      <c r="F3402" t="s">
        <v>4075</v>
      </c>
    </row>
    <row r="3403" spans="1:6" x14ac:dyDescent="0.25">
      <c r="A3403">
        <v>3360</v>
      </c>
      <c r="B3403" t="s">
        <v>4072</v>
      </c>
      <c r="C3403">
        <v>19</v>
      </c>
      <c r="D3403" t="s">
        <v>4073</v>
      </c>
      <c r="E3403" t="s">
        <v>4074</v>
      </c>
      <c r="F3403" t="s">
        <v>4076</v>
      </c>
    </row>
    <row r="3404" spans="1:6" x14ac:dyDescent="0.25">
      <c r="A3404">
        <v>3361</v>
      </c>
      <c r="B3404" t="s">
        <v>4072</v>
      </c>
      <c r="C3404">
        <v>5</v>
      </c>
      <c r="D3404" t="s">
        <v>4087</v>
      </c>
      <c r="E3404" t="s">
        <v>4088</v>
      </c>
      <c r="F3404" t="s">
        <v>4075</v>
      </c>
    </row>
    <row r="3405" spans="1:6" x14ac:dyDescent="0.25">
      <c r="A3405">
        <v>3361</v>
      </c>
      <c r="B3405" t="s">
        <v>4072</v>
      </c>
      <c r="C3405">
        <v>15</v>
      </c>
      <c r="D3405" t="s">
        <v>4080</v>
      </c>
      <c r="E3405" t="s">
        <v>4081</v>
      </c>
      <c r="F3405" t="s">
        <v>4076</v>
      </c>
    </row>
    <row r="3406" spans="1:6" x14ac:dyDescent="0.25">
      <c r="A3406">
        <v>3362</v>
      </c>
      <c r="B3406" t="s">
        <v>4092</v>
      </c>
      <c r="C3406">
        <v>33</v>
      </c>
      <c r="D3406" t="s">
        <v>4109</v>
      </c>
      <c r="E3406" t="s">
        <v>4110</v>
      </c>
      <c r="F3406" t="s">
        <v>4075</v>
      </c>
    </row>
    <row r="3407" spans="1:6" x14ac:dyDescent="0.25">
      <c r="A3407">
        <v>3362</v>
      </c>
      <c r="B3407" t="s">
        <v>4092</v>
      </c>
      <c r="C3407">
        <v>34</v>
      </c>
      <c r="D3407" t="s">
        <v>4109</v>
      </c>
      <c r="E3407" t="s">
        <v>4110</v>
      </c>
      <c r="F3407" t="s">
        <v>4076</v>
      </c>
    </row>
    <row r="3408" spans="1:6" x14ac:dyDescent="0.25">
      <c r="A3408">
        <v>3363</v>
      </c>
      <c r="B3408" t="s">
        <v>4092</v>
      </c>
      <c r="C3408">
        <v>24</v>
      </c>
      <c r="D3408" t="s">
        <v>2760</v>
      </c>
      <c r="E3408" t="s">
        <v>4108</v>
      </c>
      <c r="F3408" t="s">
        <v>4075</v>
      </c>
    </row>
    <row r="3409" spans="1:6" x14ac:dyDescent="0.25">
      <c r="A3409">
        <v>3363</v>
      </c>
      <c r="B3409" t="s">
        <v>4092</v>
      </c>
      <c r="C3409">
        <v>29</v>
      </c>
      <c r="D3409" t="s">
        <v>2760</v>
      </c>
      <c r="E3409" t="s">
        <v>4108</v>
      </c>
      <c r="F3409" t="s">
        <v>4076</v>
      </c>
    </row>
    <row r="3410" spans="1:6" x14ac:dyDescent="0.25">
      <c r="A3410">
        <v>3364</v>
      </c>
      <c r="B3410" t="s">
        <v>4092</v>
      </c>
      <c r="C3410">
        <v>23</v>
      </c>
      <c r="D3410" t="s">
        <v>2757</v>
      </c>
      <c r="E3410" t="s">
        <v>4093</v>
      </c>
      <c r="F3410" t="s">
        <v>4075</v>
      </c>
    </row>
    <row r="3411" spans="1:6" x14ac:dyDescent="0.25">
      <c r="A3411">
        <v>3364</v>
      </c>
      <c r="B3411" t="s">
        <v>4092</v>
      </c>
      <c r="C3411">
        <v>28</v>
      </c>
      <c r="D3411" t="s">
        <v>2757</v>
      </c>
      <c r="E3411" t="s">
        <v>4093</v>
      </c>
      <c r="F3411" t="s">
        <v>4076</v>
      </c>
    </row>
    <row r="3412" spans="1:6" x14ac:dyDescent="0.25">
      <c r="A3412">
        <v>3365</v>
      </c>
      <c r="B3412" t="s">
        <v>4072</v>
      </c>
      <c r="C3412">
        <v>1</v>
      </c>
      <c r="D3412" t="s">
        <v>2761</v>
      </c>
      <c r="E3412" t="s">
        <v>4089</v>
      </c>
      <c r="F3412" t="s">
        <v>4075</v>
      </c>
    </row>
    <row r="3413" spans="1:6" x14ac:dyDescent="0.25">
      <c r="A3413">
        <v>3365</v>
      </c>
      <c r="B3413" t="s">
        <v>4072</v>
      </c>
      <c r="C3413">
        <v>2</v>
      </c>
      <c r="D3413" t="s">
        <v>4082</v>
      </c>
      <c r="E3413" t="s">
        <v>4083</v>
      </c>
      <c r="F3413" t="s">
        <v>4075</v>
      </c>
    </row>
    <row r="3414" spans="1:6" x14ac:dyDescent="0.25">
      <c r="A3414">
        <v>3365</v>
      </c>
      <c r="B3414" t="s">
        <v>4072</v>
      </c>
      <c r="C3414">
        <v>17</v>
      </c>
      <c r="D3414" t="s">
        <v>4082</v>
      </c>
      <c r="E3414" t="s">
        <v>4084</v>
      </c>
      <c r="F3414" t="s">
        <v>4076</v>
      </c>
    </row>
    <row r="3415" spans="1:6" x14ac:dyDescent="0.25">
      <c r="A3415">
        <v>3365</v>
      </c>
      <c r="B3415" t="s">
        <v>4072</v>
      </c>
      <c r="C3415">
        <v>38</v>
      </c>
      <c r="D3415" t="s">
        <v>2761</v>
      </c>
      <c r="E3415" t="s">
        <v>4089</v>
      </c>
      <c r="F3415" t="s">
        <v>4076</v>
      </c>
    </row>
    <row r="3416" spans="1:6" x14ac:dyDescent="0.25">
      <c r="A3416">
        <v>3365</v>
      </c>
      <c r="B3416" t="s">
        <v>4072</v>
      </c>
      <c r="C3416">
        <v>42</v>
      </c>
      <c r="D3416" t="s">
        <v>4082</v>
      </c>
      <c r="E3416" t="s">
        <v>4083</v>
      </c>
      <c r="F3416" t="s">
        <v>4079</v>
      </c>
    </row>
    <row r="3417" spans="1:6" x14ac:dyDescent="0.25">
      <c r="A3417">
        <v>3365</v>
      </c>
      <c r="B3417" t="s">
        <v>4072</v>
      </c>
      <c r="C3417">
        <v>43</v>
      </c>
      <c r="D3417" t="s">
        <v>2761</v>
      </c>
      <c r="E3417" t="s">
        <v>4089</v>
      </c>
      <c r="F3417" t="s">
        <v>4079</v>
      </c>
    </row>
    <row r="3418" spans="1:6" x14ac:dyDescent="0.25">
      <c r="A3418">
        <v>3366</v>
      </c>
      <c r="B3418" t="s">
        <v>4092</v>
      </c>
      <c r="C3418">
        <v>25</v>
      </c>
      <c r="D3418" t="s">
        <v>4102</v>
      </c>
      <c r="E3418" t="s">
        <v>4103</v>
      </c>
      <c r="F3418" t="s">
        <v>4075</v>
      </c>
    </row>
    <row r="3419" spans="1:6" x14ac:dyDescent="0.25">
      <c r="A3419">
        <v>3366</v>
      </c>
      <c r="B3419" t="s">
        <v>4092</v>
      </c>
      <c r="C3419">
        <v>30</v>
      </c>
      <c r="D3419" t="s">
        <v>4102</v>
      </c>
      <c r="E3419" t="s">
        <v>4103</v>
      </c>
      <c r="F3419" t="s">
        <v>4076</v>
      </c>
    </row>
    <row r="3420" spans="1:6" x14ac:dyDescent="0.25">
      <c r="A3420">
        <v>3366</v>
      </c>
      <c r="B3420" t="s">
        <v>4092</v>
      </c>
      <c r="C3420">
        <v>50</v>
      </c>
      <c r="D3420" t="s">
        <v>4102</v>
      </c>
      <c r="E3420" t="s">
        <v>4103</v>
      </c>
      <c r="F3420" t="s">
        <v>4079</v>
      </c>
    </row>
    <row r="3421" spans="1:6" x14ac:dyDescent="0.25">
      <c r="A3421">
        <v>3367</v>
      </c>
      <c r="B3421" t="s">
        <v>4092</v>
      </c>
      <c r="C3421">
        <v>33</v>
      </c>
      <c r="D3421" t="s">
        <v>4109</v>
      </c>
      <c r="E3421" t="s">
        <v>4110</v>
      </c>
      <c r="F3421" t="s">
        <v>4075</v>
      </c>
    </row>
    <row r="3422" spans="1:6" x14ac:dyDescent="0.25">
      <c r="A3422">
        <v>3367</v>
      </c>
      <c r="B3422" t="s">
        <v>4092</v>
      </c>
      <c r="C3422">
        <v>34</v>
      </c>
      <c r="D3422" t="s">
        <v>4109</v>
      </c>
      <c r="E3422" t="s">
        <v>4110</v>
      </c>
      <c r="F3422" t="s">
        <v>4076</v>
      </c>
    </row>
    <row r="3423" spans="1:6" x14ac:dyDescent="0.25">
      <c r="A3423">
        <v>3367</v>
      </c>
      <c r="B3423" t="s">
        <v>4092</v>
      </c>
      <c r="C3423">
        <v>51</v>
      </c>
      <c r="D3423" t="s">
        <v>4109</v>
      </c>
      <c r="E3423" t="s">
        <v>4111</v>
      </c>
      <c r="F3423" t="s">
        <v>4079</v>
      </c>
    </row>
    <row r="3424" spans="1:6" x14ac:dyDescent="0.25">
      <c r="A3424">
        <v>3368</v>
      </c>
      <c r="B3424" t="s">
        <v>4092</v>
      </c>
      <c r="C3424">
        <v>23</v>
      </c>
      <c r="D3424" t="s">
        <v>2757</v>
      </c>
      <c r="E3424" t="s">
        <v>4093</v>
      </c>
      <c r="F3424" t="s">
        <v>4075</v>
      </c>
    </row>
    <row r="3425" spans="1:6" x14ac:dyDescent="0.25">
      <c r="A3425">
        <v>3368</v>
      </c>
      <c r="B3425" t="s">
        <v>4092</v>
      </c>
      <c r="C3425">
        <v>28</v>
      </c>
      <c r="D3425" t="s">
        <v>2757</v>
      </c>
      <c r="E3425" t="s">
        <v>4093</v>
      </c>
      <c r="F3425" t="s">
        <v>4076</v>
      </c>
    </row>
    <row r="3426" spans="1:6" x14ac:dyDescent="0.25">
      <c r="A3426">
        <v>3368</v>
      </c>
      <c r="B3426" t="s">
        <v>4092</v>
      </c>
      <c r="C3426">
        <v>48</v>
      </c>
      <c r="D3426" t="s">
        <v>2757</v>
      </c>
      <c r="E3426" t="s">
        <v>4093</v>
      </c>
      <c r="F3426" t="s">
        <v>4079</v>
      </c>
    </row>
    <row r="3427" spans="1:6" x14ac:dyDescent="0.25">
      <c r="A3427">
        <v>3372</v>
      </c>
      <c r="B3427" t="s">
        <v>4072</v>
      </c>
      <c r="C3427">
        <v>6</v>
      </c>
      <c r="D3427" t="s">
        <v>4073</v>
      </c>
      <c r="E3427" t="s">
        <v>4074</v>
      </c>
      <c r="F3427" t="s">
        <v>4075</v>
      </c>
    </row>
    <row r="3428" spans="1:6" x14ac:dyDescent="0.25">
      <c r="A3428">
        <v>3372</v>
      </c>
      <c r="B3428" t="s">
        <v>4072</v>
      </c>
      <c r="C3428">
        <v>19</v>
      </c>
      <c r="D3428" t="s">
        <v>4073</v>
      </c>
      <c r="E3428" t="s">
        <v>4074</v>
      </c>
      <c r="F3428" t="s">
        <v>4076</v>
      </c>
    </row>
    <row r="3429" spans="1:6" x14ac:dyDescent="0.25">
      <c r="A3429">
        <v>3372</v>
      </c>
      <c r="B3429" t="s">
        <v>4072</v>
      </c>
      <c r="C3429">
        <v>39</v>
      </c>
      <c r="D3429" t="s">
        <v>4073</v>
      </c>
      <c r="E3429" t="s">
        <v>4074</v>
      </c>
      <c r="F3429" t="s">
        <v>4079</v>
      </c>
    </row>
    <row r="3430" spans="1:6" x14ac:dyDescent="0.25">
      <c r="A3430">
        <v>3373</v>
      </c>
      <c r="B3430" t="s">
        <v>4072</v>
      </c>
      <c r="C3430">
        <v>2</v>
      </c>
      <c r="D3430" t="s">
        <v>4082</v>
      </c>
      <c r="E3430" t="s">
        <v>4083</v>
      </c>
      <c r="F3430" t="s">
        <v>4075</v>
      </c>
    </row>
    <row r="3431" spans="1:6" x14ac:dyDescent="0.25">
      <c r="A3431">
        <v>3373</v>
      </c>
      <c r="B3431" t="s">
        <v>4072</v>
      </c>
      <c r="C3431">
        <v>17</v>
      </c>
      <c r="D3431" t="s">
        <v>4082</v>
      </c>
      <c r="E3431" t="s">
        <v>4084</v>
      </c>
      <c r="F3431" t="s">
        <v>4076</v>
      </c>
    </row>
    <row r="3432" spans="1:6" x14ac:dyDescent="0.25">
      <c r="A3432">
        <v>3373</v>
      </c>
      <c r="B3432" t="s">
        <v>4072</v>
      </c>
      <c r="C3432">
        <v>42</v>
      </c>
      <c r="D3432" t="s">
        <v>4082</v>
      </c>
      <c r="E3432" t="s">
        <v>4083</v>
      </c>
      <c r="F3432" t="s">
        <v>4079</v>
      </c>
    </row>
    <row r="3433" spans="1:6" x14ac:dyDescent="0.25">
      <c r="A3433">
        <v>3374</v>
      </c>
      <c r="B3433" t="s">
        <v>4072</v>
      </c>
      <c r="C3433">
        <v>1</v>
      </c>
      <c r="D3433" t="s">
        <v>2761</v>
      </c>
      <c r="E3433" t="s">
        <v>4089</v>
      </c>
      <c r="F3433" t="s">
        <v>4075</v>
      </c>
    </row>
    <row r="3434" spans="1:6" x14ac:dyDescent="0.25">
      <c r="A3434">
        <v>3375</v>
      </c>
      <c r="B3434" t="s">
        <v>4072</v>
      </c>
      <c r="C3434">
        <v>4</v>
      </c>
      <c r="D3434" t="s">
        <v>4077</v>
      </c>
      <c r="E3434" t="s">
        <v>4078</v>
      </c>
      <c r="F3434" t="s">
        <v>4075</v>
      </c>
    </row>
    <row r="3435" spans="1:6" x14ac:dyDescent="0.25">
      <c r="A3435">
        <v>3375</v>
      </c>
      <c r="B3435" t="s">
        <v>4072</v>
      </c>
      <c r="C3435">
        <v>16</v>
      </c>
      <c r="D3435" t="s">
        <v>4077</v>
      </c>
      <c r="E3435" t="s">
        <v>4078</v>
      </c>
      <c r="F3435" t="s">
        <v>4076</v>
      </c>
    </row>
    <row r="3436" spans="1:6" x14ac:dyDescent="0.25">
      <c r="A3436">
        <v>3375</v>
      </c>
      <c r="B3436" t="s">
        <v>4072</v>
      </c>
      <c r="C3436">
        <v>44</v>
      </c>
      <c r="D3436" t="s">
        <v>4077</v>
      </c>
      <c r="E3436" t="s">
        <v>4078</v>
      </c>
      <c r="F3436" t="s">
        <v>4079</v>
      </c>
    </row>
    <row r="3437" spans="1:6" x14ac:dyDescent="0.25">
      <c r="A3437">
        <v>3376</v>
      </c>
      <c r="B3437" t="s">
        <v>4072</v>
      </c>
      <c r="C3437">
        <v>3</v>
      </c>
      <c r="D3437" t="s">
        <v>4085</v>
      </c>
      <c r="E3437" t="s">
        <v>4086</v>
      </c>
      <c r="F3437" t="s">
        <v>4075</v>
      </c>
    </row>
    <row r="3438" spans="1:6" x14ac:dyDescent="0.25">
      <c r="A3438">
        <v>3376</v>
      </c>
      <c r="B3438" t="s">
        <v>4072</v>
      </c>
      <c r="C3438">
        <v>15</v>
      </c>
      <c r="D3438" t="s">
        <v>4080</v>
      </c>
      <c r="E3438" t="s">
        <v>4081</v>
      </c>
      <c r="F3438" t="s">
        <v>4076</v>
      </c>
    </row>
    <row r="3439" spans="1:6" x14ac:dyDescent="0.25">
      <c r="A3439">
        <v>3376</v>
      </c>
      <c r="B3439" t="s">
        <v>4072</v>
      </c>
      <c r="C3439">
        <v>40</v>
      </c>
      <c r="D3439" t="s">
        <v>4080</v>
      </c>
      <c r="E3439" t="s">
        <v>4081</v>
      </c>
      <c r="F3439" t="s">
        <v>4079</v>
      </c>
    </row>
    <row r="3440" spans="1:6" x14ac:dyDescent="0.25">
      <c r="A3440">
        <v>3377</v>
      </c>
      <c r="B3440" t="s">
        <v>4092</v>
      </c>
      <c r="C3440">
        <v>23</v>
      </c>
      <c r="D3440" t="s">
        <v>2757</v>
      </c>
      <c r="E3440" t="s">
        <v>4093</v>
      </c>
      <c r="F3440" t="s">
        <v>4075</v>
      </c>
    </row>
    <row r="3441" spans="1:6" x14ac:dyDescent="0.25">
      <c r="A3441">
        <v>3377</v>
      </c>
      <c r="B3441" t="s">
        <v>4092</v>
      </c>
      <c r="C3441">
        <v>28</v>
      </c>
      <c r="D3441" t="s">
        <v>2757</v>
      </c>
      <c r="E3441" t="s">
        <v>4093</v>
      </c>
      <c r="F3441" t="s">
        <v>4076</v>
      </c>
    </row>
    <row r="3442" spans="1:6" x14ac:dyDescent="0.25">
      <c r="A3442">
        <v>3377</v>
      </c>
      <c r="B3442" t="s">
        <v>4092</v>
      </c>
      <c r="C3442">
        <v>48</v>
      </c>
      <c r="D3442" t="s">
        <v>2757</v>
      </c>
      <c r="E3442" t="s">
        <v>4093</v>
      </c>
      <c r="F3442" t="s">
        <v>4079</v>
      </c>
    </row>
    <row r="3443" spans="1:6" x14ac:dyDescent="0.25">
      <c r="A3443">
        <v>3378</v>
      </c>
      <c r="B3443" t="s">
        <v>4092</v>
      </c>
      <c r="C3443">
        <v>23</v>
      </c>
      <c r="D3443" t="s">
        <v>2757</v>
      </c>
      <c r="E3443" t="s">
        <v>4093</v>
      </c>
      <c r="F3443" t="s">
        <v>4075</v>
      </c>
    </row>
    <row r="3444" spans="1:6" x14ac:dyDescent="0.25">
      <c r="A3444">
        <v>3378</v>
      </c>
      <c r="B3444" t="s">
        <v>4092</v>
      </c>
      <c r="C3444">
        <v>28</v>
      </c>
      <c r="D3444" t="s">
        <v>2757</v>
      </c>
      <c r="E3444" t="s">
        <v>4093</v>
      </c>
      <c r="F3444" t="s">
        <v>4076</v>
      </c>
    </row>
    <row r="3445" spans="1:6" x14ac:dyDescent="0.25">
      <c r="A3445">
        <v>3378</v>
      </c>
      <c r="B3445" t="s">
        <v>4092</v>
      </c>
      <c r="C3445">
        <v>48</v>
      </c>
      <c r="D3445" t="s">
        <v>2757</v>
      </c>
      <c r="E3445" t="s">
        <v>4093</v>
      </c>
      <c r="F3445" t="s">
        <v>4079</v>
      </c>
    </row>
    <row r="3446" spans="1:6" x14ac:dyDescent="0.25">
      <c r="A3446">
        <v>3379</v>
      </c>
      <c r="B3446" t="s">
        <v>4072</v>
      </c>
      <c r="C3446">
        <v>5</v>
      </c>
      <c r="D3446" t="s">
        <v>4087</v>
      </c>
      <c r="E3446" t="s">
        <v>4088</v>
      </c>
      <c r="F3446" t="s">
        <v>4075</v>
      </c>
    </row>
    <row r="3447" spans="1:6" x14ac:dyDescent="0.25">
      <c r="A3447">
        <v>3379</v>
      </c>
      <c r="B3447" t="s">
        <v>4072</v>
      </c>
      <c r="C3447">
        <v>15</v>
      </c>
      <c r="D3447" t="s">
        <v>4080</v>
      </c>
      <c r="E3447" t="s">
        <v>4081</v>
      </c>
      <c r="F3447" t="s">
        <v>4076</v>
      </c>
    </row>
    <row r="3448" spans="1:6" x14ac:dyDescent="0.25">
      <c r="A3448">
        <v>3379</v>
      </c>
      <c r="B3448" t="s">
        <v>4072</v>
      </c>
      <c r="C3448">
        <v>40</v>
      </c>
      <c r="D3448" t="s">
        <v>4080</v>
      </c>
      <c r="E3448" t="s">
        <v>4081</v>
      </c>
      <c r="F3448" t="s">
        <v>4079</v>
      </c>
    </row>
    <row r="3449" spans="1:6" x14ac:dyDescent="0.25">
      <c r="A3449">
        <v>3380</v>
      </c>
      <c r="B3449" t="s">
        <v>4072</v>
      </c>
      <c r="C3449">
        <v>10</v>
      </c>
      <c r="D3449" t="s">
        <v>4095</v>
      </c>
      <c r="E3449" t="s">
        <v>4096</v>
      </c>
      <c r="F3449" t="s">
        <v>4075</v>
      </c>
    </row>
    <row r="3450" spans="1:6" x14ac:dyDescent="0.25">
      <c r="A3450">
        <v>3381</v>
      </c>
      <c r="B3450" t="s">
        <v>4092</v>
      </c>
      <c r="C3450">
        <v>33</v>
      </c>
      <c r="D3450" t="s">
        <v>4109</v>
      </c>
      <c r="E3450" t="s">
        <v>4110</v>
      </c>
      <c r="F3450" t="s">
        <v>4075</v>
      </c>
    </row>
    <row r="3451" spans="1:6" x14ac:dyDescent="0.25">
      <c r="A3451">
        <v>3381</v>
      </c>
      <c r="B3451" t="s">
        <v>4092</v>
      </c>
      <c r="C3451">
        <v>34</v>
      </c>
      <c r="D3451" t="s">
        <v>4109</v>
      </c>
      <c r="E3451" t="s">
        <v>4110</v>
      </c>
      <c r="F3451" t="s">
        <v>4076</v>
      </c>
    </row>
    <row r="3452" spans="1:6" x14ac:dyDescent="0.25">
      <c r="A3452">
        <v>3381</v>
      </c>
      <c r="B3452" t="s">
        <v>4092</v>
      </c>
      <c r="C3452">
        <v>51</v>
      </c>
      <c r="D3452" t="s">
        <v>4109</v>
      </c>
      <c r="E3452" t="s">
        <v>4111</v>
      </c>
      <c r="F3452" t="s">
        <v>4079</v>
      </c>
    </row>
    <row r="3453" spans="1:6" x14ac:dyDescent="0.25">
      <c r="A3453">
        <v>3382</v>
      </c>
      <c r="B3453" t="s">
        <v>4072</v>
      </c>
      <c r="C3453">
        <v>6</v>
      </c>
      <c r="D3453" t="s">
        <v>4073</v>
      </c>
      <c r="E3453" t="s">
        <v>4074</v>
      </c>
      <c r="F3453" t="s">
        <v>4075</v>
      </c>
    </row>
    <row r="3454" spans="1:6" x14ac:dyDescent="0.25">
      <c r="A3454">
        <v>3382</v>
      </c>
      <c r="B3454" t="s">
        <v>4072</v>
      </c>
      <c r="C3454">
        <v>19</v>
      </c>
      <c r="D3454" t="s">
        <v>4073</v>
      </c>
      <c r="E3454" t="s">
        <v>4074</v>
      </c>
      <c r="F3454" t="s">
        <v>4076</v>
      </c>
    </row>
    <row r="3455" spans="1:6" x14ac:dyDescent="0.25">
      <c r="A3455">
        <v>3382</v>
      </c>
      <c r="B3455" t="s">
        <v>4072</v>
      </c>
      <c r="C3455">
        <v>39</v>
      </c>
      <c r="D3455" t="s">
        <v>4073</v>
      </c>
      <c r="E3455" t="s">
        <v>4074</v>
      </c>
      <c r="F3455" t="s">
        <v>4079</v>
      </c>
    </row>
    <row r="3456" spans="1:6" x14ac:dyDescent="0.25">
      <c r="A3456">
        <v>3383</v>
      </c>
      <c r="B3456" t="s">
        <v>4072</v>
      </c>
      <c r="C3456">
        <v>2</v>
      </c>
      <c r="D3456" t="s">
        <v>4082</v>
      </c>
      <c r="E3456" t="s">
        <v>4083</v>
      </c>
      <c r="F3456" t="s">
        <v>4075</v>
      </c>
    </row>
    <row r="3457" spans="1:6" x14ac:dyDescent="0.25">
      <c r="A3457">
        <v>3383</v>
      </c>
      <c r="B3457" t="s">
        <v>4072</v>
      </c>
      <c r="C3457">
        <v>17</v>
      </c>
      <c r="D3457" t="s">
        <v>4082</v>
      </c>
      <c r="E3457" t="s">
        <v>4084</v>
      </c>
      <c r="F3457" t="s">
        <v>4076</v>
      </c>
    </row>
    <row r="3458" spans="1:6" x14ac:dyDescent="0.25">
      <c r="A3458">
        <v>3383</v>
      </c>
      <c r="B3458" t="s">
        <v>4072</v>
      </c>
      <c r="C3458">
        <v>42</v>
      </c>
      <c r="D3458" t="s">
        <v>4082</v>
      </c>
      <c r="E3458" t="s">
        <v>4083</v>
      </c>
      <c r="F3458" t="s">
        <v>4079</v>
      </c>
    </row>
    <row r="3459" spans="1:6" x14ac:dyDescent="0.25">
      <c r="A3459">
        <v>3384</v>
      </c>
      <c r="B3459" t="s">
        <v>4072</v>
      </c>
      <c r="C3459">
        <v>1</v>
      </c>
      <c r="D3459" t="s">
        <v>2761</v>
      </c>
      <c r="E3459" t="s">
        <v>4089</v>
      </c>
      <c r="F3459" t="s">
        <v>4075</v>
      </c>
    </row>
    <row r="3460" spans="1:6" x14ac:dyDescent="0.25">
      <c r="A3460">
        <v>3384</v>
      </c>
      <c r="B3460" t="s">
        <v>4072</v>
      </c>
      <c r="C3460">
        <v>17</v>
      </c>
      <c r="D3460" t="s">
        <v>4082</v>
      </c>
      <c r="E3460" t="s">
        <v>4084</v>
      </c>
      <c r="F3460" t="s">
        <v>4076</v>
      </c>
    </row>
    <row r="3461" spans="1:6" x14ac:dyDescent="0.25">
      <c r="A3461">
        <v>3384</v>
      </c>
      <c r="B3461" t="s">
        <v>4072</v>
      </c>
      <c r="C3461">
        <v>42</v>
      </c>
      <c r="D3461" t="s">
        <v>4082</v>
      </c>
      <c r="E3461" t="s">
        <v>4083</v>
      </c>
      <c r="F3461" t="s">
        <v>4079</v>
      </c>
    </row>
    <row r="3462" spans="1:6" x14ac:dyDescent="0.25">
      <c r="A3462">
        <v>3385</v>
      </c>
      <c r="B3462" t="s">
        <v>4072</v>
      </c>
      <c r="C3462">
        <v>4</v>
      </c>
      <c r="D3462" t="s">
        <v>4077</v>
      </c>
      <c r="E3462" t="s">
        <v>4078</v>
      </c>
      <c r="F3462" t="s">
        <v>4075</v>
      </c>
    </row>
    <row r="3463" spans="1:6" x14ac:dyDescent="0.25">
      <c r="A3463">
        <v>3385</v>
      </c>
      <c r="B3463" t="s">
        <v>4072</v>
      </c>
      <c r="C3463">
        <v>5</v>
      </c>
      <c r="D3463" t="s">
        <v>4087</v>
      </c>
      <c r="E3463" t="s">
        <v>4088</v>
      </c>
      <c r="F3463" t="s">
        <v>4075</v>
      </c>
    </row>
    <row r="3464" spans="1:6" x14ac:dyDescent="0.25">
      <c r="A3464">
        <v>3385</v>
      </c>
      <c r="B3464" t="s">
        <v>4072</v>
      </c>
      <c r="C3464">
        <v>15</v>
      </c>
      <c r="D3464" t="s">
        <v>4080</v>
      </c>
      <c r="E3464" t="s">
        <v>4081</v>
      </c>
      <c r="F3464" t="s">
        <v>4076</v>
      </c>
    </row>
    <row r="3465" spans="1:6" x14ac:dyDescent="0.25">
      <c r="A3465">
        <v>3385</v>
      </c>
      <c r="B3465" t="s">
        <v>4072</v>
      </c>
      <c r="C3465">
        <v>16</v>
      </c>
      <c r="D3465" t="s">
        <v>4077</v>
      </c>
      <c r="E3465" t="s">
        <v>4078</v>
      </c>
      <c r="F3465" t="s">
        <v>4076</v>
      </c>
    </row>
    <row r="3466" spans="1:6" x14ac:dyDescent="0.25">
      <c r="A3466">
        <v>3385</v>
      </c>
      <c r="B3466" t="s">
        <v>4072</v>
      </c>
      <c r="C3466">
        <v>40</v>
      </c>
      <c r="D3466" t="s">
        <v>4080</v>
      </c>
      <c r="E3466" t="s">
        <v>4081</v>
      </c>
      <c r="F3466" t="s">
        <v>4079</v>
      </c>
    </row>
    <row r="3467" spans="1:6" x14ac:dyDescent="0.25">
      <c r="A3467">
        <v>3385</v>
      </c>
      <c r="B3467" t="s">
        <v>4072</v>
      </c>
      <c r="C3467">
        <v>44</v>
      </c>
      <c r="D3467" t="s">
        <v>4077</v>
      </c>
      <c r="E3467" t="s">
        <v>4078</v>
      </c>
      <c r="F3467" t="s">
        <v>4079</v>
      </c>
    </row>
    <row r="3468" spans="1:6" x14ac:dyDescent="0.25">
      <c r="A3468">
        <v>3386</v>
      </c>
      <c r="B3468" t="s">
        <v>4092</v>
      </c>
      <c r="C3468">
        <v>23</v>
      </c>
      <c r="D3468" t="s">
        <v>2757</v>
      </c>
      <c r="E3468" t="s">
        <v>4093</v>
      </c>
      <c r="F3468" t="s">
        <v>4075</v>
      </c>
    </row>
    <row r="3469" spans="1:6" x14ac:dyDescent="0.25">
      <c r="A3469">
        <v>3386</v>
      </c>
      <c r="B3469" t="s">
        <v>4092</v>
      </c>
      <c r="C3469">
        <v>28</v>
      </c>
      <c r="D3469" t="s">
        <v>2757</v>
      </c>
      <c r="E3469" t="s">
        <v>4093</v>
      </c>
      <c r="F3469" t="s">
        <v>4076</v>
      </c>
    </row>
    <row r="3470" spans="1:6" x14ac:dyDescent="0.25">
      <c r="A3470">
        <v>3386</v>
      </c>
      <c r="B3470" t="s">
        <v>4092</v>
      </c>
      <c r="C3470">
        <v>48</v>
      </c>
      <c r="D3470" t="s">
        <v>2757</v>
      </c>
      <c r="E3470" t="s">
        <v>4093</v>
      </c>
      <c r="F3470" t="s">
        <v>4079</v>
      </c>
    </row>
    <row r="3471" spans="1:6" x14ac:dyDescent="0.25">
      <c r="A3471">
        <v>3387</v>
      </c>
      <c r="B3471" t="s">
        <v>4092</v>
      </c>
      <c r="C3471">
        <v>33</v>
      </c>
      <c r="D3471" t="s">
        <v>4109</v>
      </c>
      <c r="E3471" t="s">
        <v>4110</v>
      </c>
      <c r="F3471" t="s">
        <v>4075</v>
      </c>
    </row>
    <row r="3472" spans="1:6" x14ac:dyDescent="0.25">
      <c r="A3472">
        <v>3387</v>
      </c>
      <c r="B3472" t="s">
        <v>4092</v>
      </c>
      <c r="C3472">
        <v>34</v>
      </c>
      <c r="D3472" t="s">
        <v>4109</v>
      </c>
      <c r="E3472" t="s">
        <v>4110</v>
      </c>
      <c r="F3472" t="s">
        <v>4076</v>
      </c>
    </row>
    <row r="3473" spans="1:6" x14ac:dyDescent="0.25">
      <c r="A3473">
        <v>3387</v>
      </c>
      <c r="B3473" t="s">
        <v>4092</v>
      </c>
      <c r="C3473">
        <v>51</v>
      </c>
      <c r="D3473" t="s">
        <v>4109</v>
      </c>
      <c r="E3473" t="s">
        <v>4111</v>
      </c>
      <c r="F3473" t="s">
        <v>4079</v>
      </c>
    </row>
    <row r="3474" spans="1:6" x14ac:dyDescent="0.25">
      <c r="A3474">
        <v>3388</v>
      </c>
      <c r="B3474" t="s">
        <v>4092</v>
      </c>
      <c r="C3474">
        <v>23</v>
      </c>
      <c r="D3474" t="s">
        <v>2757</v>
      </c>
      <c r="E3474" t="s">
        <v>4093</v>
      </c>
      <c r="F3474" t="s">
        <v>4075</v>
      </c>
    </row>
    <row r="3475" spans="1:6" x14ac:dyDescent="0.25">
      <c r="A3475">
        <v>3388</v>
      </c>
      <c r="B3475" t="s">
        <v>4092</v>
      </c>
      <c r="C3475">
        <v>28</v>
      </c>
      <c r="D3475" t="s">
        <v>2757</v>
      </c>
      <c r="E3475" t="s">
        <v>4093</v>
      </c>
      <c r="F3475" t="s">
        <v>4076</v>
      </c>
    </row>
    <row r="3476" spans="1:6" x14ac:dyDescent="0.25">
      <c r="A3476">
        <v>3388</v>
      </c>
      <c r="B3476" t="s">
        <v>4092</v>
      </c>
      <c r="C3476">
        <v>48</v>
      </c>
      <c r="D3476" t="s">
        <v>2757</v>
      </c>
      <c r="E3476" t="s">
        <v>4093</v>
      </c>
      <c r="F3476" t="s">
        <v>4079</v>
      </c>
    </row>
    <row r="3477" spans="1:6" x14ac:dyDescent="0.25">
      <c r="A3477">
        <v>3389</v>
      </c>
      <c r="B3477" t="s">
        <v>4092</v>
      </c>
      <c r="C3477">
        <v>25</v>
      </c>
      <c r="D3477" t="s">
        <v>4102</v>
      </c>
      <c r="E3477" t="s">
        <v>4103</v>
      </c>
      <c r="F3477" t="s">
        <v>4075</v>
      </c>
    </row>
    <row r="3478" spans="1:6" x14ac:dyDescent="0.25">
      <c r="A3478">
        <v>3389</v>
      </c>
      <c r="B3478" t="s">
        <v>4092</v>
      </c>
      <c r="C3478">
        <v>30</v>
      </c>
      <c r="D3478" t="s">
        <v>4102</v>
      </c>
      <c r="E3478" t="s">
        <v>4103</v>
      </c>
      <c r="F3478" t="s">
        <v>4076</v>
      </c>
    </row>
    <row r="3479" spans="1:6" x14ac:dyDescent="0.25">
      <c r="A3479">
        <v>3389</v>
      </c>
      <c r="B3479" t="s">
        <v>4092</v>
      </c>
      <c r="C3479">
        <v>50</v>
      </c>
      <c r="D3479" t="s">
        <v>4102</v>
      </c>
      <c r="E3479" t="s">
        <v>4103</v>
      </c>
      <c r="F3479" t="s">
        <v>4079</v>
      </c>
    </row>
    <row r="3480" spans="1:6" x14ac:dyDescent="0.25">
      <c r="A3480">
        <v>3390</v>
      </c>
      <c r="B3480" t="s">
        <v>4092</v>
      </c>
      <c r="C3480">
        <v>23</v>
      </c>
      <c r="D3480" t="s">
        <v>2757</v>
      </c>
      <c r="E3480" t="s">
        <v>4093</v>
      </c>
      <c r="F3480" t="s">
        <v>4075</v>
      </c>
    </row>
    <row r="3481" spans="1:6" x14ac:dyDescent="0.25">
      <c r="A3481">
        <v>3390</v>
      </c>
      <c r="B3481" t="s">
        <v>4092</v>
      </c>
      <c r="C3481">
        <v>28</v>
      </c>
      <c r="D3481" t="s">
        <v>2757</v>
      </c>
      <c r="E3481" t="s">
        <v>4093</v>
      </c>
      <c r="F3481" t="s">
        <v>4076</v>
      </c>
    </row>
    <row r="3482" spans="1:6" x14ac:dyDescent="0.25">
      <c r="A3482">
        <v>3390</v>
      </c>
      <c r="B3482" t="s">
        <v>4092</v>
      </c>
      <c r="C3482">
        <v>48</v>
      </c>
      <c r="D3482" t="s">
        <v>2757</v>
      </c>
      <c r="E3482" t="s">
        <v>4093</v>
      </c>
      <c r="F3482" t="s">
        <v>4079</v>
      </c>
    </row>
    <row r="3483" spans="1:6" x14ac:dyDescent="0.25">
      <c r="A3483">
        <v>3391</v>
      </c>
      <c r="B3483" t="s">
        <v>4092</v>
      </c>
      <c r="C3483">
        <v>24</v>
      </c>
      <c r="D3483" t="s">
        <v>2760</v>
      </c>
      <c r="E3483" t="s">
        <v>4108</v>
      </c>
      <c r="F3483" t="s">
        <v>4075</v>
      </c>
    </row>
    <row r="3484" spans="1:6" x14ac:dyDescent="0.25">
      <c r="A3484">
        <v>3391</v>
      </c>
      <c r="B3484" t="s">
        <v>4092</v>
      </c>
      <c r="C3484">
        <v>29</v>
      </c>
      <c r="D3484" t="s">
        <v>2760</v>
      </c>
      <c r="E3484" t="s">
        <v>4108</v>
      </c>
      <c r="F3484" t="s">
        <v>4076</v>
      </c>
    </row>
    <row r="3485" spans="1:6" x14ac:dyDescent="0.25">
      <c r="A3485">
        <v>3391</v>
      </c>
      <c r="B3485" t="s">
        <v>4092</v>
      </c>
      <c r="C3485">
        <v>49</v>
      </c>
      <c r="D3485" t="s">
        <v>2760</v>
      </c>
      <c r="E3485" t="s">
        <v>4108</v>
      </c>
      <c r="F3485" t="s">
        <v>4079</v>
      </c>
    </row>
    <row r="3486" spans="1:6" x14ac:dyDescent="0.25">
      <c r="A3486">
        <v>3392</v>
      </c>
      <c r="B3486" t="s">
        <v>4072</v>
      </c>
      <c r="C3486">
        <v>2</v>
      </c>
      <c r="D3486" t="s">
        <v>4082</v>
      </c>
      <c r="E3486" t="s">
        <v>4083</v>
      </c>
      <c r="F3486" t="s">
        <v>4075</v>
      </c>
    </row>
    <row r="3487" spans="1:6" x14ac:dyDescent="0.25">
      <c r="A3487">
        <v>3392</v>
      </c>
      <c r="B3487" t="s">
        <v>4072</v>
      </c>
      <c r="C3487">
        <v>17</v>
      </c>
      <c r="D3487" t="s">
        <v>4082</v>
      </c>
      <c r="E3487" t="s">
        <v>4084</v>
      </c>
      <c r="F3487" t="s">
        <v>4076</v>
      </c>
    </row>
    <row r="3488" spans="1:6" x14ac:dyDescent="0.25">
      <c r="A3488">
        <v>3392</v>
      </c>
      <c r="B3488" t="s">
        <v>4072</v>
      </c>
      <c r="C3488">
        <v>42</v>
      </c>
      <c r="D3488" t="s">
        <v>4082</v>
      </c>
      <c r="E3488" t="s">
        <v>4083</v>
      </c>
      <c r="F3488" t="s">
        <v>4079</v>
      </c>
    </row>
    <row r="3489" spans="1:6" x14ac:dyDescent="0.25">
      <c r="A3489">
        <v>3393</v>
      </c>
      <c r="B3489" t="s">
        <v>4072</v>
      </c>
      <c r="C3489">
        <v>1</v>
      </c>
      <c r="D3489" t="s">
        <v>2761</v>
      </c>
      <c r="E3489" t="s">
        <v>4089</v>
      </c>
      <c r="F3489" t="s">
        <v>4075</v>
      </c>
    </row>
    <row r="3490" spans="1:6" x14ac:dyDescent="0.25">
      <c r="A3490">
        <v>3393</v>
      </c>
      <c r="B3490" t="s">
        <v>4072</v>
      </c>
      <c r="C3490">
        <v>38</v>
      </c>
      <c r="D3490" t="s">
        <v>2761</v>
      </c>
      <c r="E3490" t="s">
        <v>4089</v>
      </c>
      <c r="F3490" t="s">
        <v>4076</v>
      </c>
    </row>
    <row r="3491" spans="1:6" x14ac:dyDescent="0.25">
      <c r="A3491">
        <v>3393</v>
      </c>
      <c r="B3491" t="s">
        <v>4072</v>
      </c>
      <c r="C3491">
        <v>43</v>
      </c>
      <c r="D3491" t="s">
        <v>2761</v>
      </c>
      <c r="E3491" t="s">
        <v>4089</v>
      </c>
      <c r="F3491" t="s">
        <v>4079</v>
      </c>
    </row>
    <row r="3492" spans="1:6" x14ac:dyDescent="0.25">
      <c r="A3492">
        <v>3394</v>
      </c>
      <c r="B3492" t="s">
        <v>4072</v>
      </c>
      <c r="C3492">
        <v>6</v>
      </c>
      <c r="D3492" t="s">
        <v>4073</v>
      </c>
      <c r="E3492" t="s">
        <v>4074</v>
      </c>
      <c r="F3492" t="s">
        <v>4075</v>
      </c>
    </row>
    <row r="3493" spans="1:6" x14ac:dyDescent="0.25">
      <c r="A3493">
        <v>3394</v>
      </c>
      <c r="B3493" t="s">
        <v>4072</v>
      </c>
      <c r="C3493">
        <v>19</v>
      </c>
      <c r="D3493" t="s">
        <v>4073</v>
      </c>
      <c r="E3493" t="s">
        <v>4074</v>
      </c>
      <c r="F3493" t="s">
        <v>4076</v>
      </c>
    </row>
    <row r="3494" spans="1:6" x14ac:dyDescent="0.25">
      <c r="A3494">
        <v>3394</v>
      </c>
      <c r="B3494" t="s">
        <v>4072</v>
      </c>
      <c r="C3494">
        <v>39</v>
      </c>
      <c r="D3494" t="s">
        <v>4073</v>
      </c>
      <c r="E3494" t="s">
        <v>4074</v>
      </c>
      <c r="F3494" t="s">
        <v>4079</v>
      </c>
    </row>
    <row r="3495" spans="1:6" x14ac:dyDescent="0.25">
      <c r="A3495">
        <v>3395</v>
      </c>
      <c r="B3495" t="s">
        <v>4072</v>
      </c>
      <c r="C3495">
        <v>5</v>
      </c>
      <c r="D3495" t="s">
        <v>4087</v>
      </c>
      <c r="E3495" t="s">
        <v>4088</v>
      </c>
      <c r="F3495" t="s">
        <v>4075</v>
      </c>
    </row>
    <row r="3496" spans="1:6" x14ac:dyDescent="0.25">
      <c r="A3496">
        <v>3395</v>
      </c>
      <c r="B3496" t="s">
        <v>4072</v>
      </c>
      <c r="C3496">
        <v>15</v>
      </c>
      <c r="D3496" t="s">
        <v>4080</v>
      </c>
      <c r="E3496" t="s">
        <v>4081</v>
      </c>
      <c r="F3496" t="s">
        <v>4076</v>
      </c>
    </row>
    <row r="3497" spans="1:6" x14ac:dyDescent="0.25">
      <c r="A3497">
        <v>3395</v>
      </c>
      <c r="B3497" t="s">
        <v>4072</v>
      </c>
      <c r="C3497">
        <v>40</v>
      </c>
      <c r="D3497" t="s">
        <v>4080</v>
      </c>
      <c r="E3497" t="s">
        <v>4081</v>
      </c>
      <c r="F3497" t="s">
        <v>4079</v>
      </c>
    </row>
    <row r="3498" spans="1:6" x14ac:dyDescent="0.25">
      <c r="A3498">
        <v>3396</v>
      </c>
      <c r="B3498" t="s">
        <v>4072</v>
      </c>
      <c r="C3498">
        <v>5</v>
      </c>
      <c r="D3498" t="s">
        <v>4087</v>
      </c>
      <c r="E3498" t="s">
        <v>4088</v>
      </c>
      <c r="F3498" t="s">
        <v>4075</v>
      </c>
    </row>
    <row r="3499" spans="1:6" x14ac:dyDescent="0.25">
      <c r="A3499">
        <v>3396</v>
      </c>
      <c r="B3499" t="s">
        <v>4072</v>
      </c>
      <c r="C3499">
        <v>15</v>
      </c>
      <c r="D3499" t="s">
        <v>4080</v>
      </c>
      <c r="E3499" t="s">
        <v>4081</v>
      </c>
      <c r="F3499" t="s">
        <v>4076</v>
      </c>
    </row>
    <row r="3500" spans="1:6" x14ac:dyDescent="0.25">
      <c r="A3500">
        <v>3396</v>
      </c>
      <c r="B3500" t="s">
        <v>4072</v>
      </c>
      <c r="C3500">
        <v>40</v>
      </c>
      <c r="D3500" t="s">
        <v>4080</v>
      </c>
      <c r="E3500" t="s">
        <v>4081</v>
      </c>
      <c r="F3500" t="s">
        <v>4079</v>
      </c>
    </row>
    <row r="3501" spans="1:6" x14ac:dyDescent="0.25">
      <c r="A3501">
        <v>3397</v>
      </c>
      <c r="B3501" t="s">
        <v>4072</v>
      </c>
      <c r="C3501">
        <v>3</v>
      </c>
      <c r="D3501" t="s">
        <v>4085</v>
      </c>
      <c r="E3501" t="s">
        <v>4086</v>
      </c>
      <c r="F3501" t="s">
        <v>4075</v>
      </c>
    </row>
    <row r="3502" spans="1:6" x14ac:dyDescent="0.25">
      <c r="A3502">
        <v>3397</v>
      </c>
      <c r="B3502" t="s">
        <v>4072</v>
      </c>
      <c r="C3502">
        <v>15</v>
      </c>
      <c r="D3502" t="s">
        <v>4080</v>
      </c>
      <c r="E3502" t="s">
        <v>4081</v>
      </c>
      <c r="F3502" t="s">
        <v>4076</v>
      </c>
    </row>
    <row r="3503" spans="1:6" x14ac:dyDescent="0.25">
      <c r="A3503">
        <v>3397</v>
      </c>
      <c r="B3503" t="s">
        <v>4072</v>
      </c>
      <c r="C3503">
        <v>40</v>
      </c>
      <c r="D3503" t="s">
        <v>4080</v>
      </c>
      <c r="E3503" t="s">
        <v>4081</v>
      </c>
      <c r="F3503" t="s">
        <v>4079</v>
      </c>
    </row>
    <row r="3504" spans="1:6" x14ac:dyDescent="0.25">
      <c r="A3504">
        <v>3398</v>
      </c>
      <c r="B3504" t="s">
        <v>4072</v>
      </c>
      <c r="C3504">
        <v>3</v>
      </c>
      <c r="D3504" t="s">
        <v>4085</v>
      </c>
      <c r="E3504" t="s">
        <v>4086</v>
      </c>
      <c r="F3504" t="s">
        <v>4075</v>
      </c>
    </row>
    <row r="3505" spans="1:6" x14ac:dyDescent="0.25">
      <c r="A3505">
        <v>3398</v>
      </c>
      <c r="B3505" t="s">
        <v>4072</v>
      </c>
      <c r="C3505">
        <v>15</v>
      </c>
      <c r="D3505" t="s">
        <v>4080</v>
      </c>
      <c r="E3505" t="s">
        <v>4081</v>
      </c>
      <c r="F3505" t="s">
        <v>4076</v>
      </c>
    </row>
    <row r="3506" spans="1:6" x14ac:dyDescent="0.25">
      <c r="A3506">
        <v>3398</v>
      </c>
      <c r="B3506" t="s">
        <v>4072</v>
      </c>
      <c r="C3506">
        <v>40</v>
      </c>
      <c r="D3506" t="s">
        <v>4080</v>
      </c>
      <c r="E3506" t="s">
        <v>4081</v>
      </c>
      <c r="F3506" t="s">
        <v>4079</v>
      </c>
    </row>
    <row r="3507" spans="1:6" x14ac:dyDescent="0.25">
      <c r="A3507">
        <v>3399</v>
      </c>
      <c r="B3507" t="s">
        <v>4072</v>
      </c>
      <c r="C3507">
        <v>4</v>
      </c>
      <c r="D3507" t="s">
        <v>4077</v>
      </c>
      <c r="E3507" t="s">
        <v>4078</v>
      </c>
      <c r="F3507" t="s">
        <v>4075</v>
      </c>
    </row>
    <row r="3508" spans="1:6" x14ac:dyDescent="0.25">
      <c r="A3508">
        <v>3399</v>
      </c>
      <c r="B3508" t="s">
        <v>4072</v>
      </c>
      <c r="C3508">
        <v>16</v>
      </c>
      <c r="D3508" t="s">
        <v>4077</v>
      </c>
      <c r="E3508" t="s">
        <v>4078</v>
      </c>
      <c r="F3508" t="s">
        <v>4076</v>
      </c>
    </row>
    <row r="3509" spans="1:6" x14ac:dyDescent="0.25">
      <c r="A3509">
        <v>3399</v>
      </c>
      <c r="B3509" t="s">
        <v>4072</v>
      </c>
      <c r="C3509">
        <v>44</v>
      </c>
      <c r="D3509" t="s">
        <v>4077</v>
      </c>
      <c r="E3509" t="s">
        <v>4078</v>
      </c>
      <c r="F3509" t="s">
        <v>4079</v>
      </c>
    </row>
    <row r="3510" spans="1:6" x14ac:dyDescent="0.25">
      <c r="A3510">
        <v>3400</v>
      </c>
      <c r="B3510" t="s">
        <v>4072</v>
      </c>
      <c r="C3510">
        <v>4</v>
      </c>
      <c r="D3510" t="s">
        <v>4077</v>
      </c>
      <c r="E3510" t="s">
        <v>4078</v>
      </c>
      <c r="F3510" t="s">
        <v>4075</v>
      </c>
    </row>
    <row r="3511" spans="1:6" x14ac:dyDescent="0.25">
      <c r="A3511">
        <v>3400</v>
      </c>
      <c r="B3511" t="s">
        <v>4072</v>
      </c>
      <c r="C3511">
        <v>16</v>
      </c>
      <c r="D3511" t="s">
        <v>4077</v>
      </c>
      <c r="E3511" t="s">
        <v>4078</v>
      </c>
      <c r="F3511" t="s">
        <v>4076</v>
      </c>
    </row>
    <row r="3512" spans="1:6" x14ac:dyDescent="0.25">
      <c r="A3512">
        <v>3400</v>
      </c>
      <c r="B3512" t="s">
        <v>4072</v>
      </c>
      <c r="C3512">
        <v>44</v>
      </c>
      <c r="D3512" t="s">
        <v>4077</v>
      </c>
      <c r="E3512" t="s">
        <v>4078</v>
      </c>
      <c r="F3512" t="s">
        <v>4079</v>
      </c>
    </row>
    <row r="3513" spans="1:6" x14ac:dyDescent="0.25">
      <c r="A3513">
        <v>3401</v>
      </c>
      <c r="B3513" t="s">
        <v>4092</v>
      </c>
      <c r="C3513">
        <v>25</v>
      </c>
      <c r="D3513" t="s">
        <v>4102</v>
      </c>
      <c r="E3513" t="s">
        <v>4103</v>
      </c>
      <c r="F3513" t="s">
        <v>4075</v>
      </c>
    </row>
    <row r="3514" spans="1:6" x14ac:dyDescent="0.25">
      <c r="A3514">
        <v>3401</v>
      </c>
      <c r="B3514" t="s">
        <v>4092</v>
      </c>
      <c r="C3514">
        <v>30</v>
      </c>
      <c r="D3514" t="s">
        <v>4102</v>
      </c>
      <c r="E3514" t="s">
        <v>4103</v>
      </c>
      <c r="F3514" t="s">
        <v>4076</v>
      </c>
    </row>
    <row r="3515" spans="1:6" x14ac:dyDescent="0.25">
      <c r="A3515">
        <v>3401</v>
      </c>
      <c r="B3515" t="s">
        <v>4092</v>
      </c>
      <c r="C3515">
        <v>50</v>
      </c>
      <c r="D3515" t="s">
        <v>4102</v>
      </c>
      <c r="E3515" t="s">
        <v>4103</v>
      </c>
      <c r="F3515" t="s">
        <v>4079</v>
      </c>
    </row>
    <row r="3516" spans="1:6" x14ac:dyDescent="0.25">
      <c r="A3516">
        <v>3402</v>
      </c>
      <c r="B3516" t="s">
        <v>4072</v>
      </c>
      <c r="C3516">
        <v>6</v>
      </c>
      <c r="D3516" t="s">
        <v>4073</v>
      </c>
      <c r="E3516" t="s">
        <v>4074</v>
      </c>
      <c r="F3516" t="s">
        <v>4075</v>
      </c>
    </row>
    <row r="3517" spans="1:6" x14ac:dyDescent="0.25">
      <c r="A3517">
        <v>3402</v>
      </c>
      <c r="B3517" t="s">
        <v>4072</v>
      </c>
      <c r="C3517">
        <v>19</v>
      </c>
      <c r="D3517" t="s">
        <v>4073</v>
      </c>
      <c r="E3517" t="s">
        <v>4074</v>
      </c>
      <c r="F3517" t="s">
        <v>4076</v>
      </c>
    </row>
    <row r="3518" spans="1:6" x14ac:dyDescent="0.25">
      <c r="A3518">
        <v>3402</v>
      </c>
      <c r="B3518" t="s">
        <v>4072</v>
      </c>
      <c r="C3518">
        <v>39</v>
      </c>
      <c r="D3518" t="s">
        <v>4073</v>
      </c>
      <c r="E3518" t="s">
        <v>4074</v>
      </c>
      <c r="F3518" t="s">
        <v>4079</v>
      </c>
    </row>
    <row r="3519" spans="1:6" x14ac:dyDescent="0.25">
      <c r="A3519">
        <v>3403</v>
      </c>
      <c r="B3519" t="s">
        <v>4092</v>
      </c>
      <c r="C3519">
        <v>23</v>
      </c>
      <c r="D3519" t="s">
        <v>2757</v>
      </c>
      <c r="E3519" t="s">
        <v>4093</v>
      </c>
      <c r="F3519" t="s">
        <v>4075</v>
      </c>
    </row>
    <row r="3520" spans="1:6" x14ac:dyDescent="0.25">
      <c r="A3520">
        <v>3403</v>
      </c>
      <c r="B3520" t="s">
        <v>4092</v>
      </c>
      <c r="C3520">
        <v>28</v>
      </c>
      <c r="D3520" t="s">
        <v>2757</v>
      </c>
      <c r="E3520" t="s">
        <v>4093</v>
      </c>
      <c r="F3520" t="s">
        <v>4076</v>
      </c>
    </row>
    <row r="3521" spans="1:6" x14ac:dyDescent="0.25">
      <c r="A3521">
        <v>3403</v>
      </c>
      <c r="B3521" t="s">
        <v>4092</v>
      </c>
      <c r="C3521">
        <v>48</v>
      </c>
      <c r="D3521" t="s">
        <v>2757</v>
      </c>
      <c r="E3521" t="s">
        <v>4093</v>
      </c>
      <c r="F3521" t="s">
        <v>4079</v>
      </c>
    </row>
    <row r="3522" spans="1:6" x14ac:dyDescent="0.25">
      <c r="A3522">
        <v>3404</v>
      </c>
      <c r="B3522" t="s">
        <v>4092</v>
      </c>
      <c r="C3522">
        <v>33</v>
      </c>
      <c r="D3522" t="s">
        <v>4109</v>
      </c>
      <c r="E3522" t="s">
        <v>4110</v>
      </c>
      <c r="F3522" t="s">
        <v>4075</v>
      </c>
    </row>
    <row r="3523" spans="1:6" x14ac:dyDescent="0.25">
      <c r="A3523">
        <v>3404</v>
      </c>
      <c r="B3523" t="s">
        <v>4092</v>
      </c>
      <c r="C3523">
        <v>34</v>
      </c>
      <c r="D3523" t="s">
        <v>4109</v>
      </c>
      <c r="E3523" t="s">
        <v>4110</v>
      </c>
      <c r="F3523" t="s">
        <v>4076</v>
      </c>
    </row>
    <row r="3524" spans="1:6" x14ac:dyDescent="0.25">
      <c r="A3524">
        <v>3404</v>
      </c>
      <c r="B3524" t="s">
        <v>4092</v>
      </c>
      <c r="C3524">
        <v>51</v>
      </c>
      <c r="D3524" t="s">
        <v>4109</v>
      </c>
      <c r="E3524" t="s">
        <v>4111</v>
      </c>
      <c r="F3524" t="s">
        <v>4079</v>
      </c>
    </row>
    <row r="3525" spans="1:6" x14ac:dyDescent="0.25">
      <c r="A3525">
        <v>3405</v>
      </c>
      <c r="B3525" t="s">
        <v>4072</v>
      </c>
      <c r="C3525">
        <v>5</v>
      </c>
      <c r="D3525" t="s">
        <v>4087</v>
      </c>
      <c r="E3525" t="s">
        <v>4088</v>
      </c>
      <c r="F3525" t="s">
        <v>4075</v>
      </c>
    </row>
    <row r="3526" spans="1:6" x14ac:dyDescent="0.25">
      <c r="A3526">
        <v>3405</v>
      </c>
      <c r="B3526" t="s">
        <v>4072</v>
      </c>
      <c r="C3526">
        <v>15</v>
      </c>
      <c r="D3526" t="s">
        <v>4080</v>
      </c>
      <c r="E3526" t="s">
        <v>4081</v>
      </c>
      <c r="F3526" t="s">
        <v>4076</v>
      </c>
    </row>
    <row r="3527" spans="1:6" x14ac:dyDescent="0.25">
      <c r="A3527">
        <v>3405</v>
      </c>
      <c r="B3527" t="s">
        <v>4072</v>
      </c>
      <c r="C3527">
        <v>40</v>
      </c>
      <c r="D3527" t="s">
        <v>4080</v>
      </c>
      <c r="E3527" t="s">
        <v>4081</v>
      </c>
      <c r="F3527" t="s">
        <v>4079</v>
      </c>
    </row>
    <row r="3528" spans="1:6" x14ac:dyDescent="0.25">
      <c r="A3528">
        <v>3406</v>
      </c>
      <c r="B3528" t="s">
        <v>4092</v>
      </c>
      <c r="C3528">
        <v>23</v>
      </c>
      <c r="D3528" t="s">
        <v>2757</v>
      </c>
      <c r="E3528" t="s">
        <v>4093</v>
      </c>
      <c r="F3528" t="s">
        <v>4075</v>
      </c>
    </row>
    <row r="3529" spans="1:6" x14ac:dyDescent="0.25">
      <c r="A3529">
        <v>3406</v>
      </c>
      <c r="B3529" t="s">
        <v>4092</v>
      </c>
      <c r="C3529">
        <v>28</v>
      </c>
      <c r="D3529" t="s">
        <v>2757</v>
      </c>
      <c r="E3529" t="s">
        <v>4093</v>
      </c>
      <c r="F3529" t="s">
        <v>4076</v>
      </c>
    </row>
    <row r="3530" spans="1:6" x14ac:dyDescent="0.25">
      <c r="A3530">
        <v>3406</v>
      </c>
      <c r="B3530" t="s">
        <v>4092</v>
      </c>
      <c r="C3530">
        <v>48</v>
      </c>
      <c r="D3530" t="s">
        <v>2757</v>
      </c>
      <c r="E3530" t="s">
        <v>4093</v>
      </c>
      <c r="F3530" t="s">
        <v>4079</v>
      </c>
    </row>
    <row r="3531" spans="1:6" x14ac:dyDescent="0.25">
      <c r="A3531">
        <v>3407</v>
      </c>
      <c r="B3531" t="s">
        <v>4092</v>
      </c>
      <c r="C3531">
        <v>24</v>
      </c>
      <c r="D3531" t="s">
        <v>2760</v>
      </c>
      <c r="E3531" t="s">
        <v>4108</v>
      </c>
      <c r="F3531" t="s">
        <v>4075</v>
      </c>
    </row>
    <row r="3532" spans="1:6" x14ac:dyDescent="0.25">
      <c r="A3532">
        <v>3407</v>
      </c>
      <c r="B3532" t="s">
        <v>4092</v>
      </c>
      <c r="C3532">
        <v>29</v>
      </c>
      <c r="D3532" t="s">
        <v>2760</v>
      </c>
      <c r="E3532" t="s">
        <v>4108</v>
      </c>
      <c r="F3532" t="s">
        <v>4076</v>
      </c>
    </row>
    <row r="3533" spans="1:6" x14ac:dyDescent="0.25">
      <c r="A3533">
        <v>3407</v>
      </c>
      <c r="B3533" t="s">
        <v>4092</v>
      </c>
      <c r="C3533">
        <v>49</v>
      </c>
      <c r="D3533" t="s">
        <v>2760</v>
      </c>
      <c r="E3533" t="s">
        <v>4108</v>
      </c>
      <c r="F3533" t="s">
        <v>4079</v>
      </c>
    </row>
    <row r="3534" spans="1:6" x14ac:dyDescent="0.25">
      <c r="A3534">
        <v>3408</v>
      </c>
      <c r="B3534" t="s">
        <v>4072</v>
      </c>
      <c r="C3534">
        <v>6</v>
      </c>
      <c r="D3534" t="s">
        <v>4073</v>
      </c>
      <c r="E3534" t="s">
        <v>4074</v>
      </c>
      <c r="F3534" t="s">
        <v>4075</v>
      </c>
    </row>
    <row r="3535" spans="1:6" x14ac:dyDescent="0.25">
      <c r="A3535">
        <v>3408</v>
      </c>
      <c r="B3535" t="s">
        <v>4072</v>
      </c>
      <c r="C3535">
        <v>19</v>
      </c>
      <c r="D3535" t="s">
        <v>4073</v>
      </c>
      <c r="E3535" t="s">
        <v>4074</v>
      </c>
      <c r="F3535" t="s">
        <v>4076</v>
      </c>
    </row>
    <row r="3536" spans="1:6" x14ac:dyDescent="0.25">
      <c r="A3536">
        <v>3408</v>
      </c>
      <c r="B3536" t="s">
        <v>4072</v>
      </c>
      <c r="C3536">
        <v>39</v>
      </c>
      <c r="D3536" t="s">
        <v>4073</v>
      </c>
      <c r="E3536" t="s">
        <v>4074</v>
      </c>
      <c r="F3536" t="s">
        <v>4079</v>
      </c>
    </row>
    <row r="3537" spans="1:6" x14ac:dyDescent="0.25">
      <c r="A3537">
        <v>3409</v>
      </c>
      <c r="B3537" t="s">
        <v>4092</v>
      </c>
      <c r="C3537">
        <v>23</v>
      </c>
      <c r="D3537" t="s">
        <v>2757</v>
      </c>
      <c r="E3537" t="s">
        <v>4093</v>
      </c>
      <c r="F3537" t="s">
        <v>4075</v>
      </c>
    </row>
    <row r="3538" spans="1:6" x14ac:dyDescent="0.25">
      <c r="A3538">
        <v>3409</v>
      </c>
      <c r="B3538" t="s">
        <v>4092</v>
      </c>
      <c r="C3538">
        <v>28</v>
      </c>
      <c r="D3538" t="s">
        <v>2757</v>
      </c>
      <c r="E3538" t="s">
        <v>4093</v>
      </c>
      <c r="F3538" t="s">
        <v>4076</v>
      </c>
    </row>
    <row r="3539" spans="1:6" x14ac:dyDescent="0.25">
      <c r="A3539">
        <v>3409</v>
      </c>
      <c r="B3539" t="s">
        <v>4092</v>
      </c>
      <c r="C3539">
        <v>48</v>
      </c>
      <c r="D3539" t="s">
        <v>2757</v>
      </c>
      <c r="E3539" t="s">
        <v>4093</v>
      </c>
      <c r="F3539" t="s">
        <v>4079</v>
      </c>
    </row>
    <row r="3540" spans="1:6" x14ac:dyDescent="0.25">
      <c r="A3540">
        <v>3410</v>
      </c>
      <c r="B3540" t="s">
        <v>4092</v>
      </c>
      <c r="C3540">
        <v>23</v>
      </c>
      <c r="D3540" t="s">
        <v>2757</v>
      </c>
      <c r="E3540" t="s">
        <v>4093</v>
      </c>
      <c r="F3540" t="s">
        <v>4075</v>
      </c>
    </row>
    <row r="3541" spans="1:6" x14ac:dyDescent="0.25">
      <c r="A3541">
        <v>3410</v>
      </c>
      <c r="B3541" t="s">
        <v>4092</v>
      </c>
      <c r="C3541">
        <v>28</v>
      </c>
      <c r="D3541" t="s">
        <v>2757</v>
      </c>
      <c r="E3541" t="s">
        <v>4093</v>
      </c>
      <c r="F3541" t="s">
        <v>4076</v>
      </c>
    </row>
    <row r="3542" spans="1:6" x14ac:dyDescent="0.25">
      <c r="A3542">
        <v>3410</v>
      </c>
      <c r="B3542" t="s">
        <v>4092</v>
      </c>
      <c r="C3542">
        <v>48</v>
      </c>
      <c r="D3542" t="s">
        <v>2757</v>
      </c>
      <c r="E3542" t="s">
        <v>4093</v>
      </c>
      <c r="F3542" t="s">
        <v>4079</v>
      </c>
    </row>
    <row r="3543" spans="1:6" x14ac:dyDescent="0.25">
      <c r="A3543">
        <v>3411</v>
      </c>
      <c r="B3543" t="s">
        <v>4092</v>
      </c>
      <c r="C3543">
        <v>33</v>
      </c>
      <c r="D3543" t="s">
        <v>4109</v>
      </c>
      <c r="E3543" t="s">
        <v>4110</v>
      </c>
      <c r="F3543" t="s">
        <v>4075</v>
      </c>
    </row>
    <row r="3544" spans="1:6" x14ac:dyDescent="0.25">
      <c r="A3544">
        <v>3411</v>
      </c>
      <c r="B3544" t="s">
        <v>4092</v>
      </c>
      <c r="C3544">
        <v>34</v>
      </c>
      <c r="D3544" t="s">
        <v>4109</v>
      </c>
      <c r="E3544" t="s">
        <v>4110</v>
      </c>
      <c r="F3544" t="s">
        <v>4076</v>
      </c>
    </row>
    <row r="3545" spans="1:6" x14ac:dyDescent="0.25">
      <c r="A3545">
        <v>3411</v>
      </c>
      <c r="B3545" t="s">
        <v>4092</v>
      </c>
      <c r="C3545">
        <v>51</v>
      </c>
      <c r="D3545" t="s">
        <v>4109</v>
      </c>
      <c r="E3545" t="s">
        <v>4111</v>
      </c>
      <c r="F3545" t="s">
        <v>4079</v>
      </c>
    </row>
    <row r="3546" spans="1:6" x14ac:dyDescent="0.25">
      <c r="A3546">
        <v>3412</v>
      </c>
      <c r="B3546" t="s">
        <v>4092</v>
      </c>
      <c r="C3546">
        <v>25</v>
      </c>
      <c r="D3546" t="s">
        <v>4102</v>
      </c>
      <c r="E3546" t="s">
        <v>4103</v>
      </c>
      <c r="F3546" t="s">
        <v>4075</v>
      </c>
    </row>
    <row r="3547" spans="1:6" x14ac:dyDescent="0.25">
      <c r="A3547">
        <v>3412</v>
      </c>
      <c r="B3547" t="s">
        <v>4092</v>
      </c>
      <c r="C3547">
        <v>30</v>
      </c>
      <c r="D3547" t="s">
        <v>4102</v>
      </c>
      <c r="E3547" t="s">
        <v>4103</v>
      </c>
      <c r="F3547" t="s">
        <v>4076</v>
      </c>
    </row>
    <row r="3548" spans="1:6" x14ac:dyDescent="0.25">
      <c r="A3548">
        <v>3412</v>
      </c>
      <c r="B3548" t="s">
        <v>4092</v>
      </c>
      <c r="C3548">
        <v>50</v>
      </c>
      <c r="D3548" t="s">
        <v>4102</v>
      </c>
      <c r="E3548" t="s">
        <v>4103</v>
      </c>
      <c r="F3548" t="s">
        <v>4079</v>
      </c>
    </row>
    <row r="3549" spans="1:6" x14ac:dyDescent="0.25">
      <c r="A3549">
        <v>3413</v>
      </c>
      <c r="B3549" t="s">
        <v>4072</v>
      </c>
      <c r="C3549">
        <v>2</v>
      </c>
      <c r="D3549" t="s">
        <v>4082</v>
      </c>
      <c r="E3549" t="s">
        <v>4083</v>
      </c>
      <c r="F3549" t="s">
        <v>4075</v>
      </c>
    </row>
    <row r="3550" spans="1:6" x14ac:dyDescent="0.25">
      <c r="A3550">
        <v>3413</v>
      </c>
      <c r="B3550" t="s">
        <v>4072</v>
      </c>
      <c r="C3550">
        <v>17</v>
      </c>
      <c r="D3550" t="s">
        <v>4082</v>
      </c>
      <c r="E3550" t="s">
        <v>4084</v>
      </c>
      <c r="F3550" t="s">
        <v>4076</v>
      </c>
    </row>
    <row r="3551" spans="1:6" x14ac:dyDescent="0.25">
      <c r="A3551">
        <v>3413</v>
      </c>
      <c r="B3551" t="s">
        <v>4072</v>
      </c>
      <c r="C3551">
        <v>42</v>
      </c>
      <c r="D3551" t="s">
        <v>4082</v>
      </c>
      <c r="E3551" t="s">
        <v>4083</v>
      </c>
      <c r="F3551" t="s">
        <v>4079</v>
      </c>
    </row>
    <row r="3552" spans="1:6" x14ac:dyDescent="0.25">
      <c r="A3552">
        <v>3414</v>
      </c>
      <c r="B3552" t="s">
        <v>4072</v>
      </c>
      <c r="C3552">
        <v>2</v>
      </c>
      <c r="D3552" t="s">
        <v>4082</v>
      </c>
      <c r="E3552" t="s">
        <v>4083</v>
      </c>
      <c r="F3552" t="s">
        <v>4075</v>
      </c>
    </row>
    <row r="3553" spans="1:6" x14ac:dyDescent="0.25">
      <c r="A3553">
        <v>3414</v>
      </c>
      <c r="B3553" t="s">
        <v>4072</v>
      </c>
      <c r="C3553">
        <v>17</v>
      </c>
      <c r="D3553" t="s">
        <v>4082</v>
      </c>
      <c r="E3553" t="s">
        <v>4084</v>
      </c>
      <c r="F3553" t="s">
        <v>4076</v>
      </c>
    </row>
    <row r="3554" spans="1:6" x14ac:dyDescent="0.25">
      <c r="A3554">
        <v>3414</v>
      </c>
      <c r="B3554" t="s">
        <v>4072</v>
      </c>
      <c r="C3554">
        <v>42</v>
      </c>
      <c r="D3554" t="s">
        <v>4082</v>
      </c>
      <c r="E3554" t="s">
        <v>4083</v>
      </c>
      <c r="F3554" t="s">
        <v>4079</v>
      </c>
    </row>
    <row r="3555" spans="1:6" x14ac:dyDescent="0.25">
      <c r="A3555">
        <v>3415</v>
      </c>
      <c r="B3555" t="s">
        <v>4072</v>
      </c>
      <c r="C3555">
        <v>1</v>
      </c>
      <c r="D3555" t="s">
        <v>2761</v>
      </c>
      <c r="E3555" t="s">
        <v>4089</v>
      </c>
      <c r="F3555" t="s">
        <v>4075</v>
      </c>
    </row>
    <row r="3556" spans="1:6" x14ac:dyDescent="0.25">
      <c r="A3556">
        <v>3415</v>
      </c>
      <c r="B3556" t="s">
        <v>4072</v>
      </c>
      <c r="C3556">
        <v>17</v>
      </c>
      <c r="D3556" t="s">
        <v>4082</v>
      </c>
      <c r="E3556" t="s">
        <v>4084</v>
      </c>
      <c r="F3556" t="s">
        <v>4076</v>
      </c>
    </row>
    <row r="3557" spans="1:6" x14ac:dyDescent="0.25">
      <c r="A3557">
        <v>3415</v>
      </c>
      <c r="B3557" t="s">
        <v>4072</v>
      </c>
      <c r="C3557">
        <v>42</v>
      </c>
      <c r="D3557" t="s">
        <v>4082</v>
      </c>
      <c r="E3557" t="s">
        <v>4083</v>
      </c>
      <c r="F3557" t="s">
        <v>4079</v>
      </c>
    </row>
    <row r="3558" spans="1:6" x14ac:dyDescent="0.25">
      <c r="A3558">
        <v>3416</v>
      </c>
      <c r="B3558" t="s">
        <v>4072</v>
      </c>
      <c r="C3558">
        <v>6</v>
      </c>
      <c r="D3558" t="s">
        <v>4073</v>
      </c>
      <c r="E3558" t="s">
        <v>4074</v>
      </c>
      <c r="F3558" t="s">
        <v>4075</v>
      </c>
    </row>
    <row r="3559" spans="1:6" x14ac:dyDescent="0.25">
      <c r="A3559">
        <v>3416</v>
      </c>
      <c r="B3559" t="s">
        <v>4072</v>
      </c>
      <c r="C3559">
        <v>19</v>
      </c>
      <c r="D3559" t="s">
        <v>4073</v>
      </c>
      <c r="E3559" t="s">
        <v>4074</v>
      </c>
      <c r="F3559" t="s">
        <v>4076</v>
      </c>
    </row>
    <row r="3560" spans="1:6" x14ac:dyDescent="0.25">
      <c r="A3560">
        <v>3416</v>
      </c>
      <c r="B3560" t="s">
        <v>4072</v>
      </c>
      <c r="C3560">
        <v>39</v>
      </c>
      <c r="D3560" t="s">
        <v>4073</v>
      </c>
      <c r="E3560" t="s">
        <v>4074</v>
      </c>
      <c r="F3560" t="s">
        <v>4079</v>
      </c>
    </row>
    <row r="3561" spans="1:6" x14ac:dyDescent="0.25">
      <c r="A3561">
        <v>3417</v>
      </c>
      <c r="B3561" t="s">
        <v>4072</v>
      </c>
      <c r="C3561">
        <v>4</v>
      </c>
      <c r="D3561" t="s">
        <v>4077</v>
      </c>
      <c r="E3561" t="s">
        <v>4078</v>
      </c>
      <c r="F3561" t="s">
        <v>4075</v>
      </c>
    </row>
    <row r="3562" spans="1:6" x14ac:dyDescent="0.25">
      <c r="A3562">
        <v>3417</v>
      </c>
      <c r="B3562" t="s">
        <v>4072</v>
      </c>
      <c r="C3562">
        <v>5</v>
      </c>
      <c r="D3562" t="s">
        <v>4087</v>
      </c>
      <c r="E3562" t="s">
        <v>4088</v>
      </c>
      <c r="F3562" t="s">
        <v>4075</v>
      </c>
    </row>
    <row r="3563" spans="1:6" x14ac:dyDescent="0.25">
      <c r="A3563">
        <v>3417</v>
      </c>
      <c r="B3563" t="s">
        <v>4072</v>
      </c>
      <c r="C3563">
        <v>15</v>
      </c>
      <c r="D3563" t="s">
        <v>4080</v>
      </c>
      <c r="E3563" t="s">
        <v>4081</v>
      </c>
      <c r="F3563" t="s">
        <v>4076</v>
      </c>
    </row>
    <row r="3564" spans="1:6" x14ac:dyDescent="0.25">
      <c r="A3564">
        <v>3417</v>
      </c>
      <c r="B3564" t="s">
        <v>4072</v>
      </c>
      <c r="C3564">
        <v>16</v>
      </c>
      <c r="D3564" t="s">
        <v>4077</v>
      </c>
      <c r="E3564" t="s">
        <v>4078</v>
      </c>
      <c r="F3564" t="s">
        <v>4076</v>
      </c>
    </row>
    <row r="3565" spans="1:6" x14ac:dyDescent="0.25">
      <c r="A3565">
        <v>3417</v>
      </c>
      <c r="B3565" t="s">
        <v>4072</v>
      </c>
      <c r="C3565">
        <v>40</v>
      </c>
      <c r="D3565" t="s">
        <v>4080</v>
      </c>
      <c r="E3565" t="s">
        <v>4081</v>
      </c>
      <c r="F3565" t="s">
        <v>4079</v>
      </c>
    </row>
    <row r="3566" spans="1:6" x14ac:dyDescent="0.25">
      <c r="A3566">
        <v>3417</v>
      </c>
      <c r="B3566" t="s">
        <v>4072</v>
      </c>
      <c r="C3566">
        <v>44</v>
      </c>
      <c r="D3566" t="s">
        <v>4077</v>
      </c>
      <c r="E3566" t="s">
        <v>4078</v>
      </c>
      <c r="F3566" t="s">
        <v>4079</v>
      </c>
    </row>
    <row r="3567" spans="1:6" x14ac:dyDescent="0.25">
      <c r="A3567">
        <v>3418</v>
      </c>
      <c r="B3567" t="s">
        <v>4092</v>
      </c>
      <c r="C3567">
        <v>24</v>
      </c>
      <c r="D3567" t="s">
        <v>2760</v>
      </c>
      <c r="E3567" t="s">
        <v>4108</v>
      </c>
      <c r="F3567" t="s">
        <v>4075</v>
      </c>
    </row>
    <row r="3568" spans="1:6" x14ac:dyDescent="0.25">
      <c r="A3568">
        <v>3418</v>
      </c>
      <c r="B3568" t="s">
        <v>4092</v>
      </c>
      <c r="C3568">
        <v>29</v>
      </c>
      <c r="D3568" t="s">
        <v>2760</v>
      </c>
      <c r="E3568" t="s">
        <v>4108</v>
      </c>
      <c r="F3568" t="s">
        <v>4076</v>
      </c>
    </row>
    <row r="3569" spans="1:6" x14ac:dyDescent="0.25">
      <c r="A3569">
        <v>3418</v>
      </c>
      <c r="B3569" t="s">
        <v>4092</v>
      </c>
      <c r="C3569">
        <v>49</v>
      </c>
      <c r="D3569" t="s">
        <v>2760</v>
      </c>
      <c r="E3569" t="s">
        <v>4108</v>
      </c>
      <c r="F3569" t="s">
        <v>4079</v>
      </c>
    </row>
    <row r="3570" spans="1:6" x14ac:dyDescent="0.25">
      <c r="A3570">
        <v>3419</v>
      </c>
      <c r="B3570" t="s">
        <v>4072</v>
      </c>
      <c r="C3570">
        <v>2</v>
      </c>
      <c r="D3570" t="s">
        <v>4082</v>
      </c>
      <c r="E3570" t="s">
        <v>4083</v>
      </c>
      <c r="F3570" t="s">
        <v>4075</v>
      </c>
    </row>
    <row r="3571" spans="1:6" x14ac:dyDescent="0.25">
      <c r="A3571">
        <v>3419</v>
      </c>
      <c r="B3571" t="s">
        <v>4072</v>
      </c>
      <c r="C3571">
        <v>17</v>
      </c>
      <c r="D3571" t="s">
        <v>4082</v>
      </c>
      <c r="E3571" t="s">
        <v>4084</v>
      </c>
      <c r="F3571" t="s">
        <v>4076</v>
      </c>
    </row>
    <row r="3572" spans="1:6" x14ac:dyDescent="0.25">
      <c r="A3572">
        <v>3419</v>
      </c>
      <c r="B3572" t="s">
        <v>4072</v>
      </c>
      <c r="C3572">
        <v>42</v>
      </c>
      <c r="D3572" t="s">
        <v>4082</v>
      </c>
      <c r="E3572" t="s">
        <v>4083</v>
      </c>
      <c r="F3572" t="s">
        <v>4079</v>
      </c>
    </row>
    <row r="3573" spans="1:6" x14ac:dyDescent="0.25">
      <c r="A3573">
        <v>3420</v>
      </c>
      <c r="B3573" t="s">
        <v>4072</v>
      </c>
      <c r="C3573">
        <v>5</v>
      </c>
      <c r="D3573" t="s">
        <v>4087</v>
      </c>
      <c r="E3573" t="s">
        <v>4088</v>
      </c>
      <c r="F3573" t="s">
        <v>4075</v>
      </c>
    </row>
    <row r="3574" spans="1:6" x14ac:dyDescent="0.25">
      <c r="A3574">
        <v>3420</v>
      </c>
      <c r="B3574" t="s">
        <v>4072</v>
      </c>
      <c r="C3574">
        <v>15</v>
      </c>
      <c r="D3574" t="s">
        <v>4080</v>
      </c>
      <c r="E3574" t="s">
        <v>4081</v>
      </c>
      <c r="F3574" t="s">
        <v>4076</v>
      </c>
    </row>
    <row r="3575" spans="1:6" x14ac:dyDescent="0.25">
      <c r="A3575">
        <v>3420</v>
      </c>
      <c r="B3575" t="s">
        <v>4072</v>
      </c>
      <c r="C3575">
        <v>40</v>
      </c>
      <c r="D3575" t="s">
        <v>4080</v>
      </c>
      <c r="E3575" t="s">
        <v>4081</v>
      </c>
      <c r="F3575" t="s">
        <v>4079</v>
      </c>
    </row>
    <row r="3576" spans="1:6" x14ac:dyDescent="0.25">
      <c r="A3576">
        <v>3421</v>
      </c>
      <c r="B3576" t="s">
        <v>4072</v>
      </c>
      <c r="C3576">
        <v>5</v>
      </c>
      <c r="D3576" t="s">
        <v>4087</v>
      </c>
      <c r="E3576" t="s">
        <v>4088</v>
      </c>
      <c r="F3576" t="s">
        <v>4075</v>
      </c>
    </row>
    <row r="3577" spans="1:6" x14ac:dyDescent="0.25">
      <c r="A3577">
        <v>3421</v>
      </c>
      <c r="B3577" t="s">
        <v>4072</v>
      </c>
      <c r="C3577">
        <v>15</v>
      </c>
      <c r="D3577" t="s">
        <v>4080</v>
      </c>
      <c r="E3577" t="s">
        <v>4081</v>
      </c>
      <c r="F3577" t="s">
        <v>4076</v>
      </c>
    </row>
    <row r="3578" spans="1:6" x14ac:dyDescent="0.25">
      <c r="A3578">
        <v>3421</v>
      </c>
      <c r="B3578" t="s">
        <v>4072</v>
      </c>
      <c r="C3578">
        <v>40</v>
      </c>
      <c r="D3578" t="s">
        <v>4080</v>
      </c>
      <c r="E3578" t="s">
        <v>4081</v>
      </c>
      <c r="F3578" t="s">
        <v>4079</v>
      </c>
    </row>
    <row r="3579" spans="1:6" x14ac:dyDescent="0.25">
      <c r="A3579">
        <v>3422</v>
      </c>
      <c r="B3579" t="s">
        <v>4072</v>
      </c>
      <c r="C3579">
        <v>10</v>
      </c>
      <c r="D3579" t="s">
        <v>4095</v>
      </c>
      <c r="E3579" t="s">
        <v>4096</v>
      </c>
      <c r="F3579" t="s">
        <v>4075</v>
      </c>
    </row>
    <row r="3580" spans="1:6" x14ac:dyDescent="0.25">
      <c r="A3580">
        <v>3423</v>
      </c>
      <c r="B3580" t="s">
        <v>4092</v>
      </c>
      <c r="C3580">
        <v>25</v>
      </c>
      <c r="D3580" t="s">
        <v>4102</v>
      </c>
      <c r="E3580" t="s">
        <v>4103</v>
      </c>
      <c r="F3580" t="s">
        <v>4075</v>
      </c>
    </row>
    <row r="3581" spans="1:6" x14ac:dyDescent="0.25">
      <c r="A3581">
        <v>3423</v>
      </c>
      <c r="B3581" t="s">
        <v>4092</v>
      </c>
      <c r="C3581">
        <v>30</v>
      </c>
      <c r="D3581" t="s">
        <v>4102</v>
      </c>
      <c r="E3581" t="s">
        <v>4103</v>
      </c>
      <c r="F3581" t="s">
        <v>4076</v>
      </c>
    </row>
    <row r="3582" spans="1:6" x14ac:dyDescent="0.25">
      <c r="A3582">
        <v>3423</v>
      </c>
      <c r="B3582" t="s">
        <v>4092</v>
      </c>
      <c r="C3582">
        <v>50</v>
      </c>
      <c r="D3582" t="s">
        <v>4102</v>
      </c>
      <c r="E3582" t="s">
        <v>4103</v>
      </c>
      <c r="F3582" t="s">
        <v>4079</v>
      </c>
    </row>
    <row r="3583" spans="1:6" x14ac:dyDescent="0.25">
      <c r="A3583">
        <v>3424</v>
      </c>
      <c r="B3583" t="s">
        <v>4092</v>
      </c>
      <c r="C3583">
        <v>23</v>
      </c>
      <c r="D3583" t="s">
        <v>2757</v>
      </c>
      <c r="E3583" t="s">
        <v>4093</v>
      </c>
      <c r="F3583" t="s">
        <v>4075</v>
      </c>
    </row>
    <row r="3584" spans="1:6" x14ac:dyDescent="0.25">
      <c r="A3584">
        <v>3424</v>
      </c>
      <c r="B3584" t="s">
        <v>4092</v>
      </c>
      <c r="C3584">
        <v>28</v>
      </c>
      <c r="D3584" t="s">
        <v>2757</v>
      </c>
      <c r="E3584" t="s">
        <v>4093</v>
      </c>
      <c r="F3584" t="s">
        <v>4076</v>
      </c>
    </row>
    <row r="3585" spans="1:6" x14ac:dyDescent="0.25">
      <c r="A3585">
        <v>3424</v>
      </c>
      <c r="B3585" t="s">
        <v>4092</v>
      </c>
      <c r="C3585">
        <v>48</v>
      </c>
      <c r="D3585" t="s">
        <v>2757</v>
      </c>
      <c r="E3585" t="s">
        <v>4093</v>
      </c>
      <c r="F3585" t="s">
        <v>4079</v>
      </c>
    </row>
    <row r="3586" spans="1:6" x14ac:dyDescent="0.25">
      <c r="A3586">
        <v>3425</v>
      </c>
      <c r="B3586" t="s">
        <v>4092</v>
      </c>
      <c r="C3586">
        <v>23</v>
      </c>
      <c r="D3586" t="s">
        <v>2757</v>
      </c>
      <c r="E3586" t="s">
        <v>4093</v>
      </c>
      <c r="F3586" t="s">
        <v>4075</v>
      </c>
    </row>
    <row r="3587" spans="1:6" x14ac:dyDescent="0.25">
      <c r="A3587">
        <v>3425</v>
      </c>
      <c r="B3587" t="s">
        <v>4092</v>
      </c>
      <c r="C3587">
        <v>28</v>
      </c>
      <c r="D3587" t="s">
        <v>2757</v>
      </c>
      <c r="E3587" t="s">
        <v>4093</v>
      </c>
      <c r="F3587" t="s">
        <v>4076</v>
      </c>
    </row>
    <row r="3588" spans="1:6" x14ac:dyDescent="0.25">
      <c r="A3588">
        <v>3425</v>
      </c>
      <c r="B3588" t="s">
        <v>4092</v>
      </c>
      <c r="C3588">
        <v>48</v>
      </c>
      <c r="D3588" t="s">
        <v>2757</v>
      </c>
      <c r="E3588" t="s">
        <v>4093</v>
      </c>
      <c r="F3588" t="s">
        <v>4079</v>
      </c>
    </row>
    <row r="3589" spans="1:6" x14ac:dyDescent="0.25">
      <c r="A3589">
        <v>3426</v>
      </c>
      <c r="B3589" t="s">
        <v>4092</v>
      </c>
      <c r="C3589">
        <v>33</v>
      </c>
      <c r="D3589" t="s">
        <v>4109</v>
      </c>
      <c r="E3589" t="s">
        <v>4110</v>
      </c>
      <c r="F3589" t="s">
        <v>4075</v>
      </c>
    </row>
    <row r="3590" spans="1:6" x14ac:dyDescent="0.25">
      <c r="A3590">
        <v>3426</v>
      </c>
      <c r="B3590" t="s">
        <v>4092</v>
      </c>
      <c r="C3590">
        <v>34</v>
      </c>
      <c r="D3590" t="s">
        <v>4109</v>
      </c>
      <c r="E3590" t="s">
        <v>4110</v>
      </c>
      <c r="F3590" t="s">
        <v>4076</v>
      </c>
    </row>
    <row r="3591" spans="1:6" x14ac:dyDescent="0.25">
      <c r="A3591">
        <v>3426</v>
      </c>
      <c r="B3591" t="s">
        <v>4092</v>
      </c>
      <c r="C3591">
        <v>51</v>
      </c>
      <c r="D3591" t="s">
        <v>4109</v>
      </c>
      <c r="E3591" t="s">
        <v>4111</v>
      </c>
      <c r="F3591" t="s">
        <v>4079</v>
      </c>
    </row>
    <row r="3592" spans="1:6" x14ac:dyDescent="0.25">
      <c r="A3592">
        <v>3427</v>
      </c>
      <c r="B3592" t="s">
        <v>4072</v>
      </c>
      <c r="C3592">
        <v>1</v>
      </c>
      <c r="D3592" t="s">
        <v>2761</v>
      </c>
      <c r="E3592" t="s">
        <v>4089</v>
      </c>
      <c r="F3592" t="s">
        <v>4075</v>
      </c>
    </row>
    <row r="3593" spans="1:6" x14ac:dyDescent="0.25">
      <c r="A3593">
        <v>3427</v>
      </c>
      <c r="B3593" t="s">
        <v>4072</v>
      </c>
      <c r="C3593">
        <v>17</v>
      </c>
      <c r="D3593" t="s">
        <v>4082</v>
      </c>
      <c r="E3593" t="s">
        <v>4084</v>
      </c>
      <c r="F3593" t="s">
        <v>4076</v>
      </c>
    </row>
    <row r="3594" spans="1:6" x14ac:dyDescent="0.25">
      <c r="A3594">
        <v>3427</v>
      </c>
      <c r="B3594" t="s">
        <v>4072</v>
      </c>
      <c r="C3594">
        <v>42</v>
      </c>
      <c r="D3594" t="s">
        <v>4082</v>
      </c>
      <c r="E3594" t="s">
        <v>4083</v>
      </c>
      <c r="F3594" t="s">
        <v>4079</v>
      </c>
    </row>
    <row r="3595" spans="1:6" x14ac:dyDescent="0.25">
      <c r="A3595">
        <v>3428</v>
      </c>
      <c r="B3595" t="s">
        <v>4072</v>
      </c>
      <c r="C3595">
        <v>2</v>
      </c>
      <c r="D3595" t="s">
        <v>4082</v>
      </c>
      <c r="E3595" t="s">
        <v>4083</v>
      </c>
      <c r="F3595" t="s">
        <v>4075</v>
      </c>
    </row>
    <row r="3596" spans="1:6" x14ac:dyDescent="0.25">
      <c r="A3596">
        <v>3428</v>
      </c>
      <c r="B3596" t="s">
        <v>4072</v>
      </c>
      <c r="C3596">
        <v>17</v>
      </c>
      <c r="D3596" t="s">
        <v>4082</v>
      </c>
      <c r="E3596" t="s">
        <v>4084</v>
      </c>
      <c r="F3596" t="s">
        <v>4076</v>
      </c>
    </row>
    <row r="3597" spans="1:6" x14ac:dyDescent="0.25">
      <c r="A3597">
        <v>3428</v>
      </c>
      <c r="B3597" t="s">
        <v>4072</v>
      </c>
      <c r="C3597">
        <v>42</v>
      </c>
      <c r="D3597" t="s">
        <v>4082</v>
      </c>
      <c r="E3597" t="s">
        <v>4083</v>
      </c>
      <c r="F3597" t="s">
        <v>4079</v>
      </c>
    </row>
    <row r="3598" spans="1:6" x14ac:dyDescent="0.25">
      <c r="A3598">
        <v>3429</v>
      </c>
      <c r="B3598" t="s">
        <v>4072</v>
      </c>
      <c r="C3598">
        <v>3</v>
      </c>
      <c r="D3598" t="s">
        <v>4085</v>
      </c>
      <c r="E3598" t="s">
        <v>4086</v>
      </c>
      <c r="F3598" t="s">
        <v>4075</v>
      </c>
    </row>
    <row r="3599" spans="1:6" x14ac:dyDescent="0.25">
      <c r="A3599">
        <v>3429</v>
      </c>
      <c r="B3599" t="s">
        <v>4072</v>
      </c>
      <c r="C3599">
        <v>4</v>
      </c>
      <c r="D3599" t="s">
        <v>4077</v>
      </c>
      <c r="E3599" t="s">
        <v>4078</v>
      </c>
      <c r="F3599" t="s">
        <v>4075</v>
      </c>
    </row>
    <row r="3600" spans="1:6" x14ac:dyDescent="0.25">
      <c r="A3600">
        <v>3429</v>
      </c>
      <c r="B3600" t="s">
        <v>4072</v>
      </c>
      <c r="C3600">
        <v>5</v>
      </c>
      <c r="D3600" t="s">
        <v>4087</v>
      </c>
      <c r="E3600" t="s">
        <v>4088</v>
      </c>
      <c r="F3600" t="s">
        <v>4075</v>
      </c>
    </row>
    <row r="3601" spans="1:6" x14ac:dyDescent="0.25">
      <c r="A3601">
        <v>3429</v>
      </c>
      <c r="B3601" t="s">
        <v>4072</v>
      </c>
      <c r="C3601">
        <v>15</v>
      </c>
      <c r="D3601" t="s">
        <v>4080</v>
      </c>
      <c r="E3601" t="s">
        <v>4081</v>
      </c>
      <c r="F3601" t="s">
        <v>4076</v>
      </c>
    </row>
    <row r="3602" spans="1:6" x14ac:dyDescent="0.25">
      <c r="A3602">
        <v>3429</v>
      </c>
      <c r="B3602" t="s">
        <v>4072</v>
      </c>
      <c r="C3602">
        <v>16</v>
      </c>
      <c r="D3602" t="s">
        <v>4077</v>
      </c>
      <c r="E3602" t="s">
        <v>4078</v>
      </c>
      <c r="F3602" t="s">
        <v>4076</v>
      </c>
    </row>
    <row r="3603" spans="1:6" x14ac:dyDescent="0.25">
      <c r="A3603">
        <v>3429</v>
      </c>
      <c r="B3603" t="s">
        <v>4072</v>
      </c>
      <c r="C3603">
        <v>40</v>
      </c>
      <c r="D3603" t="s">
        <v>4080</v>
      </c>
      <c r="E3603" t="s">
        <v>4081</v>
      </c>
      <c r="F3603" t="s">
        <v>4079</v>
      </c>
    </row>
    <row r="3604" spans="1:6" x14ac:dyDescent="0.25">
      <c r="A3604">
        <v>3429</v>
      </c>
      <c r="B3604" t="s">
        <v>4072</v>
      </c>
      <c r="C3604">
        <v>44</v>
      </c>
      <c r="D3604" t="s">
        <v>4077</v>
      </c>
      <c r="E3604" t="s">
        <v>4078</v>
      </c>
      <c r="F3604" t="s">
        <v>4079</v>
      </c>
    </row>
    <row r="3605" spans="1:6" x14ac:dyDescent="0.25">
      <c r="A3605">
        <v>3431</v>
      </c>
      <c r="B3605" t="s">
        <v>4092</v>
      </c>
      <c r="C3605">
        <v>25</v>
      </c>
      <c r="D3605" t="s">
        <v>4102</v>
      </c>
      <c r="E3605" t="s">
        <v>4103</v>
      </c>
      <c r="F3605" t="s">
        <v>4075</v>
      </c>
    </row>
    <row r="3606" spans="1:6" x14ac:dyDescent="0.25">
      <c r="A3606">
        <v>3431</v>
      </c>
      <c r="B3606" t="s">
        <v>4092</v>
      </c>
      <c r="C3606">
        <v>30</v>
      </c>
      <c r="D3606" t="s">
        <v>4102</v>
      </c>
      <c r="E3606" t="s">
        <v>4103</v>
      </c>
      <c r="F3606" t="s">
        <v>4076</v>
      </c>
    </row>
    <row r="3607" spans="1:6" x14ac:dyDescent="0.25">
      <c r="A3607">
        <v>3431</v>
      </c>
      <c r="B3607" t="s">
        <v>4092</v>
      </c>
      <c r="C3607">
        <v>50</v>
      </c>
      <c r="D3607" t="s">
        <v>4102</v>
      </c>
      <c r="E3607" t="s">
        <v>4103</v>
      </c>
      <c r="F3607" t="s">
        <v>4079</v>
      </c>
    </row>
    <row r="3608" spans="1:6" x14ac:dyDescent="0.25">
      <c r="A3608">
        <v>3432</v>
      </c>
      <c r="B3608" t="s">
        <v>4092</v>
      </c>
      <c r="C3608">
        <v>33</v>
      </c>
      <c r="D3608" t="s">
        <v>4109</v>
      </c>
      <c r="E3608" t="s">
        <v>4110</v>
      </c>
      <c r="F3608" t="s">
        <v>4075</v>
      </c>
    </row>
    <row r="3609" spans="1:6" x14ac:dyDescent="0.25">
      <c r="A3609">
        <v>3435</v>
      </c>
      <c r="B3609" t="s">
        <v>4072</v>
      </c>
      <c r="C3609">
        <v>4</v>
      </c>
      <c r="D3609" t="s">
        <v>4077</v>
      </c>
      <c r="E3609" t="s">
        <v>4078</v>
      </c>
      <c r="F3609" t="s">
        <v>4075</v>
      </c>
    </row>
    <row r="3610" spans="1:6" x14ac:dyDescent="0.25">
      <c r="A3610">
        <v>3435</v>
      </c>
      <c r="B3610" t="s">
        <v>4072</v>
      </c>
      <c r="C3610">
        <v>16</v>
      </c>
      <c r="D3610" t="s">
        <v>4077</v>
      </c>
      <c r="E3610" t="s">
        <v>4078</v>
      </c>
      <c r="F3610" t="s">
        <v>4076</v>
      </c>
    </row>
    <row r="3611" spans="1:6" x14ac:dyDescent="0.25">
      <c r="A3611">
        <v>3435</v>
      </c>
      <c r="B3611" t="s">
        <v>4072</v>
      </c>
      <c r="C3611">
        <v>44</v>
      </c>
      <c r="D3611" t="s">
        <v>4077</v>
      </c>
      <c r="E3611" t="s">
        <v>4078</v>
      </c>
      <c r="F3611" t="s">
        <v>4079</v>
      </c>
    </row>
    <row r="3612" spans="1:6" x14ac:dyDescent="0.25">
      <c r="A3612">
        <v>3436</v>
      </c>
      <c r="B3612" t="s">
        <v>4092</v>
      </c>
      <c r="C3612">
        <v>33</v>
      </c>
      <c r="D3612" t="s">
        <v>4109</v>
      </c>
      <c r="E3612" t="s">
        <v>4110</v>
      </c>
      <c r="F3612" t="s">
        <v>4075</v>
      </c>
    </row>
    <row r="3613" spans="1:6" x14ac:dyDescent="0.25">
      <c r="A3613">
        <v>3437</v>
      </c>
      <c r="B3613" t="s">
        <v>4092</v>
      </c>
      <c r="C3613">
        <v>23</v>
      </c>
      <c r="D3613" t="s">
        <v>2757</v>
      </c>
      <c r="E3613" t="s">
        <v>4093</v>
      </c>
      <c r="F3613" t="s">
        <v>4075</v>
      </c>
    </row>
    <row r="3614" spans="1:6" x14ac:dyDescent="0.25">
      <c r="A3614">
        <v>3437</v>
      </c>
      <c r="B3614" t="s">
        <v>4092</v>
      </c>
      <c r="C3614">
        <v>28</v>
      </c>
      <c r="D3614" t="s">
        <v>2757</v>
      </c>
      <c r="E3614" t="s">
        <v>4093</v>
      </c>
      <c r="F3614" t="s">
        <v>4076</v>
      </c>
    </row>
    <row r="3615" spans="1:6" x14ac:dyDescent="0.25">
      <c r="A3615">
        <v>3437</v>
      </c>
      <c r="B3615" t="s">
        <v>4092</v>
      </c>
      <c r="C3615">
        <v>48</v>
      </c>
      <c r="D3615" t="s">
        <v>2757</v>
      </c>
      <c r="E3615" t="s">
        <v>4093</v>
      </c>
      <c r="F3615" t="s">
        <v>4079</v>
      </c>
    </row>
    <row r="3616" spans="1:6" x14ac:dyDescent="0.25">
      <c r="A3616">
        <v>3446</v>
      </c>
      <c r="B3616" t="s">
        <v>4072</v>
      </c>
      <c r="C3616">
        <v>10</v>
      </c>
      <c r="D3616" t="s">
        <v>4095</v>
      </c>
      <c r="E3616" t="s">
        <v>4096</v>
      </c>
      <c r="F3616" t="s">
        <v>4075</v>
      </c>
    </row>
    <row r="3617" spans="1:6" x14ac:dyDescent="0.25">
      <c r="A3617">
        <v>3447</v>
      </c>
      <c r="B3617" t="s">
        <v>4092</v>
      </c>
      <c r="C3617">
        <v>25</v>
      </c>
      <c r="D3617" t="s">
        <v>4102</v>
      </c>
      <c r="E3617" t="s">
        <v>4103</v>
      </c>
      <c r="F3617" t="s">
        <v>4075</v>
      </c>
    </row>
    <row r="3618" spans="1:6" x14ac:dyDescent="0.25">
      <c r="A3618">
        <v>3447</v>
      </c>
      <c r="B3618" t="s">
        <v>4092</v>
      </c>
      <c r="C3618">
        <v>30</v>
      </c>
      <c r="D3618" t="s">
        <v>4102</v>
      </c>
      <c r="E3618" t="s">
        <v>4103</v>
      </c>
      <c r="F3618" t="s">
        <v>4076</v>
      </c>
    </row>
    <row r="3619" spans="1:6" x14ac:dyDescent="0.25">
      <c r="A3619">
        <v>3448</v>
      </c>
      <c r="B3619" t="s">
        <v>4072</v>
      </c>
      <c r="C3619">
        <v>2</v>
      </c>
      <c r="D3619" t="s">
        <v>4082</v>
      </c>
      <c r="E3619" t="s">
        <v>4083</v>
      </c>
      <c r="F3619" t="s">
        <v>4075</v>
      </c>
    </row>
    <row r="3620" spans="1:6" x14ac:dyDescent="0.25">
      <c r="A3620">
        <v>3448</v>
      </c>
      <c r="B3620" t="s">
        <v>4072</v>
      </c>
      <c r="C3620">
        <v>17</v>
      </c>
      <c r="D3620" t="s">
        <v>4082</v>
      </c>
      <c r="E3620" t="s">
        <v>4084</v>
      </c>
      <c r="F3620" t="s">
        <v>4076</v>
      </c>
    </row>
    <row r="3621" spans="1:6" x14ac:dyDescent="0.25">
      <c r="A3621">
        <v>3450</v>
      </c>
      <c r="B3621" t="s">
        <v>4072</v>
      </c>
      <c r="C3621">
        <v>6</v>
      </c>
      <c r="D3621" t="s">
        <v>4073</v>
      </c>
      <c r="E3621" t="s">
        <v>4074</v>
      </c>
      <c r="F3621" t="s">
        <v>4075</v>
      </c>
    </row>
    <row r="3622" spans="1:6" x14ac:dyDescent="0.25">
      <c r="A3622">
        <v>3450</v>
      </c>
      <c r="B3622" t="s">
        <v>4072</v>
      </c>
      <c r="C3622">
        <v>19</v>
      </c>
      <c r="D3622" t="s">
        <v>4073</v>
      </c>
      <c r="E3622" t="s">
        <v>4074</v>
      </c>
      <c r="F3622" t="s">
        <v>4076</v>
      </c>
    </row>
    <row r="3623" spans="1:6" x14ac:dyDescent="0.25">
      <c r="A3623">
        <v>3451</v>
      </c>
      <c r="B3623" t="s">
        <v>4072</v>
      </c>
      <c r="C3623">
        <v>6</v>
      </c>
      <c r="D3623" t="s">
        <v>4073</v>
      </c>
      <c r="E3623" t="s">
        <v>4074</v>
      </c>
      <c r="F3623" t="s">
        <v>4075</v>
      </c>
    </row>
    <row r="3624" spans="1:6" x14ac:dyDescent="0.25">
      <c r="A3624">
        <v>3451</v>
      </c>
      <c r="B3624" t="s">
        <v>4072</v>
      </c>
      <c r="C3624">
        <v>19</v>
      </c>
      <c r="D3624" t="s">
        <v>4073</v>
      </c>
      <c r="E3624" t="s">
        <v>4074</v>
      </c>
      <c r="F3624" t="s">
        <v>4076</v>
      </c>
    </row>
    <row r="3625" spans="1:6" x14ac:dyDescent="0.25">
      <c r="A3625">
        <v>3451</v>
      </c>
      <c r="B3625" t="s">
        <v>4072</v>
      </c>
      <c r="C3625">
        <v>39</v>
      </c>
      <c r="D3625" t="s">
        <v>4073</v>
      </c>
      <c r="E3625" t="s">
        <v>4074</v>
      </c>
      <c r="F3625" t="s">
        <v>4079</v>
      </c>
    </row>
    <row r="3626" spans="1:6" x14ac:dyDescent="0.25">
      <c r="A3626">
        <v>3452</v>
      </c>
      <c r="B3626" t="s">
        <v>4072</v>
      </c>
      <c r="C3626">
        <v>2</v>
      </c>
      <c r="D3626" t="s">
        <v>4082</v>
      </c>
      <c r="E3626" t="s">
        <v>4083</v>
      </c>
      <c r="F3626" t="s">
        <v>4075</v>
      </c>
    </row>
    <row r="3627" spans="1:6" x14ac:dyDescent="0.25">
      <c r="A3627">
        <v>3452</v>
      </c>
      <c r="B3627" t="s">
        <v>4072</v>
      </c>
      <c r="C3627">
        <v>17</v>
      </c>
      <c r="D3627" t="s">
        <v>4082</v>
      </c>
      <c r="E3627" t="s">
        <v>4084</v>
      </c>
      <c r="F3627" t="s">
        <v>4076</v>
      </c>
    </row>
    <row r="3628" spans="1:6" x14ac:dyDescent="0.25">
      <c r="A3628">
        <v>3453</v>
      </c>
      <c r="B3628" t="s">
        <v>4072</v>
      </c>
      <c r="C3628">
        <v>3</v>
      </c>
      <c r="D3628" t="s">
        <v>4085</v>
      </c>
      <c r="E3628" t="s">
        <v>4086</v>
      </c>
      <c r="F3628" t="s">
        <v>4075</v>
      </c>
    </row>
    <row r="3629" spans="1:6" x14ac:dyDescent="0.25">
      <c r="A3629">
        <v>3453</v>
      </c>
      <c r="B3629" t="s">
        <v>4072</v>
      </c>
      <c r="C3629">
        <v>15</v>
      </c>
      <c r="D3629" t="s">
        <v>4080</v>
      </c>
      <c r="E3629" t="s">
        <v>4081</v>
      </c>
      <c r="F3629" t="s">
        <v>4076</v>
      </c>
    </row>
    <row r="3630" spans="1:6" x14ac:dyDescent="0.25">
      <c r="A3630">
        <v>3454</v>
      </c>
      <c r="B3630" t="s">
        <v>4092</v>
      </c>
      <c r="C3630">
        <v>23</v>
      </c>
      <c r="D3630" t="s">
        <v>2757</v>
      </c>
      <c r="E3630" t="s">
        <v>4093</v>
      </c>
      <c r="F3630" t="s">
        <v>4075</v>
      </c>
    </row>
    <row r="3631" spans="1:6" x14ac:dyDescent="0.25">
      <c r="A3631">
        <v>3454</v>
      </c>
      <c r="B3631" t="s">
        <v>4092</v>
      </c>
      <c r="C3631">
        <v>28</v>
      </c>
      <c r="D3631" t="s">
        <v>2757</v>
      </c>
      <c r="E3631" t="s">
        <v>4093</v>
      </c>
      <c r="F3631" t="s">
        <v>4076</v>
      </c>
    </row>
    <row r="3632" spans="1:6" x14ac:dyDescent="0.25">
      <c r="A3632">
        <v>3454</v>
      </c>
      <c r="B3632" t="s">
        <v>4092</v>
      </c>
      <c r="C3632">
        <v>48</v>
      </c>
      <c r="D3632" t="s">
        <v>2757</v>
      </c>
      <c r="E3632" t="s">
        <v>4093</v>
      </c>
      <c r="F3632" t="s">
        <v>4079</v>
      </c>
    </row>
    <row r="3633" spans="1:6" x14ac:dyDescent="0.25">
      <c r="A3633">
        <v>3455</v>
      </c>
      <c r="B3633" t="s">
        <v>4072</v>
      </c>
      <c r="C3633">
        <v>1</v>
      </c>
      <c r="D3633" t="s">
        <v>2761</v>
      </c>
      <c r="E3633" t="s">
        <v>4089</v>
      </c>
      <c r="F3633" t="s">
        <v>4075</v>
      </c>
    </row>
    <row r="3634" spans="1:6" x14ac:dyDescent="0.25">
      <c r="A3634">
        <v>3455</v>
      </c>
      <c r="B3634" t="s">
        <v>4072</v>
      </c>
      <c r="C3634">
        <v>38</v>
      </c>
      <c r="D3634" t="s">
        <v>2761</v>
      </c>
      <c r="E3634" t="s">
        <v>4089</v>
      </c>
      <c r="F3634" t="s">
        <v>4076</v>
      </c>
    </row>
    <row r="3635" spans="1:6" x14ac:dyDescent="0.25">
      <c r="A3635">
        <v>3455</v>
      </c>
      <c r="B3635" t="s">
        <v>4072</v>
      </c>
      <c r="C3635">
        <v>43</v>
      </c>
      <c r="D3635" t="s">
        <v>2761</v>
      </c>
      <c r="E3635" t="s">
        <v>4089</v>
      </c>
      <c r="F3635" t="s">
        <v>4079</v>
      </c>
    </row>
    <row r="3636" spans="1:6" x14ac:dyDescent="0.25">
      <c r="A3636">
        <v>3456</v>
      </c>
      <c r="B3636" t="s">
        <v>4092</v>
      </c>
      <c r="C3636">
        <v>23</v>
      </c>
      <c r="D3636" t="s">
        <v>2757</v>
      </c>
      <c r="E3636" t="s">
        <v>4093</v>
      </c>
      <c r="F3636" t="s">
        <v>4075</v>
      </c>
    </row>
    <row r="3637" spans="1:6" x14ac:dyDescent="0.25">
      <c r="A3637">
        <v>3456</v>
      </c>
      <c r="B3637" t="s">
        <v>4092</v>
      </c>
      <c r="C3637">
        <v>28</v>
      </c>
      <c r="D3637" t="s">
        <v>2757</v>
      </c>
      <c r="E3637" t="s">
        <v>4093</v>
      </c>
      <c r="F3637" t="s">
        <v>4076</v>
      </c>
    </row>
    <row r="3638" spans="1:6" x14ac:dyDescent="0.25">
      <c r="A3638">
        <v>3456</v>
      </c>
      <c r="B3638" t="s">
        <v>4092</v>
      </c>
      <c r="C3638">
        <v>48</v>
      </c>
      <c r="D3638" t="s">
        <v>2757</v>
      </c>
      <c r="E3638" t="s">
        <v>4093</v>
      </c>
      <c r="F3638" t="s">
        <v>4079</v>
      </c>
    </row>
    <row r="3639" spans="1:6" x14ac:dyDescent="0.25">
      <c r="A3639">
        <v>3457</v>
      </c>
      <c r="B3639" t="s">
        <v>4072</v>
      </c>
      <c r="C3639">
        <v>2</v>
      </c>
      <c r="D3639" t="s">
        <v>4082</v>
      </c>
      <c r="E3639" t="s">
        <v>4083</v>
      </c>
      <c r="F3639" t="s">
        <v>4075</v>
      </c>
    </row>
    <row r="3640" spans="1:6" x14ac:dyDescent="0.25">
      <c r="A3640">
        <v>3457</v>
      </c>
      <c r="B3640" t="s">
        <v>4072</v>
      </c>
      <c r="C3640">
        <v>17</v>
      </c>
      <c r="D3640" t="s">
        <v>4082</v>
      </c>
      <c r="E3640" t="s">
        <v>4084</v>
      </c>
      <c r="F3640" t="s">
        <v>4076</v>
      </c>
    </row>
    <row r="3641" spans="1:6" x14ac:dyDescent="0.25">
      <c r="A3641">
        <v>3457</v>
      </c>
      <c r="B3641" t="s">
        <v>4072</v>
      </c>
      <c r="C3641">
        <v>42</v>
      </c>
      <c r="D3641" t="s">
        <v>4082</v>
      </c>
      <c r="E3641" t="s">
        <v>4083</v>
      </c>
      <c r="F3641" t="s">
        <v>4079</v>
      </c>
    </row>
    <row r="3642" spans="1:6" x14ac:dyDescent="0.25">
      <c r="A3642">
        <v>3458</v>
      </c>
      <c r="B3642" t="s">
        <v>4092</v>
      </c>
      <c r="C3642">
        <v>23</v>
      </c>
      <c r="D3642" t="s">
        <v>2757</v>
      </c>
      <c r="E3642" t="s">
        <v>4093</v>
      </c>
      <c r="F3642" t="s">
        <v>4075</v>
      </c>
    </row>
    <row r="3643" spans="1:6" x14ac:dyDescent="0.25">
      <c r="A3643">
        <v>3458</v>
      </c>
      <c r="B3643" t="s">
        <v>4092</v>
      </c>
      <c r="C3643">
        <v>28</v>
      </c>
      <c r="D3643" t="s">
        <v>2757</v>
      </c>
      <c r="E3643" t="s">
        <v>4093</v>
      </c>
      <c r="F3643" t="s">
        <v>4076</v>
      </c>
    </row>
    <row r="3644" spans="1:6" x14ac:dyDescent="0.25">
      <c r="A3644">
        <v>3458</v>
      </c>
      <c r="B3644" t="s">
        <v>4092</v>
      </c>
      <c r="C3644">
        <v>48</v>
      </c>
      <c r="D3644" t="s">
        <v>2757</v>
      </c>
      <c r="E3644" t="s">
        <v>4093</v>
      </c>
      <c r="F3644" t="s">
        <v>4079</v>
      </c>
    </row>
    <row r="3645" spans="1:6" x14ac:dyDescent="0.25">
      <c r="A3645">
        <v>3459</v>
      </c>
      <c r="B3645" t="s">
        <v>4072</v>
      </c>
      <c r="C3645">
        <v>5</v>
      </c>
      <c r="D3645" t="s">
        <v>4087</v>
      </c>
      <c r="E3645" t="s">
        <v>4088</v>
      </c>
      <c r="F3645" t="s">
        <v>4075</v>
      </c>
    </row>
    <row r="3646" spans="1:6" x14ac:dyDescent="0.25">
      <c r="A3646">
        <v>3459</v>
      </c>
      <c r="B3646" t="s">
        <v>4072</v>
      </c>
      <c r="C3646">
        <v>15</v>
      </c>
      <c r="D3646" t="s">
        <v>4080</v>
      </c>
      <c r="E3646" t="s">
        <v>4081</v>
      </c>
      <c r="F3646" t="s">
        <v>4076</v>
      </c>
    </row>
    <row r="3647" spans="1:6" x14ac:dyDescent="0.25">
      <c r="A3647">
        <v>3459</v>
      </c>
      <c r="B3647" t="s">
        <v>4072</v>
      </c>
      <c r="C3647">
        <v>40</v>
      </c>
      <c r="D3647" t="s">
        <v>4080</v>
      </c>
      <c r="E3647" t="s">
        <v>4081</v>
      </c>
      <c r="F3647" t="s">
        <v>4079</v>
      </c>
    </row>
    <row r="3648" spans="1:6" x14ac:dyDescent="0.25">
      <c r="A3648">
        <v>3460</v>
      </c>
      <c r="B3648" t="s">
        <v>4072</v>
      </c>
      <c r="C3648">
        <v>3</v>
      </c>
      <c r="D3648" t="s">
        <v>4085</v>
      </c>
      <c r="E3648" t="s">
        <v>4086</v>
      </c>
      <c r="F3648" t="s">
        <v>4075</v>
      </c>
    </row>
    <row r="3649" spans="1:6" x14ac:dyDescent="0.25">
      <c r="A3649">
        <v>3460</v>
      </c>
      <c r="B3649" t="s">
        <v>4072</v>
      </c>
      <c r="C3649">
        <v>15</v>
      </c>
      <c r="D3649" t="s">
        <v>4080</v>
      </c>
      <c r="E3649" t="s">
        <v>4081</v>
      </c>
      <c r="F3649" t="s">
        <v>4076</v>
      </c>
    </row>
    <row r="3650" spans="1:6" x14ac:dyDescent="0.25">
      <c r="A3650">
        <v>3460</v>
      </c>
      <c r="B3650" t="s">
        <v>4072</v>
      </c>
      <c r="C3650">
        <v>40</v>
      </c>
      <c r="D3650" t="s">
        <v>4080</v>
      </c>
      <c r="E3650" t="s">
        <v>4081</v>
      </c>
      <c r="F3650" t="s">
        <v>4079</v>
      </c>
    </row>
    <row r="3651" spans="1:6" x14ac:dyDescent="0.25">
      <c r="A3651">
        <v>3461</v>
      </c>
      <c r="B3651" t="s">
        <v>4072</v>
      </c>
      <c r="C3651">
        <v>4</v>
      </c>
      <c r="D3651" t="s">
        <v>4077</v>
      </c>
      <c r="E3651" t="s">
        <v>4078</v>
      </c>
      <c r="F3651" t="s">
        <v>4075</v>
      </c>
    </row>
    <row r="3652" spans="1:6" x14ac:dyDescent="0.25">
      <c r="A3652">
        <v>3461</v>
      </c>
      <c r="B3652" t="s">
        <v>4072</v>
      </c>
      <c r="C3652">
        <v>16</v>
      </c>
      <c r="D3652" t="s">
        <v>4077</v>
      </c>
      <c r="E3652" t="s">
        <v>4078</v>
      </c>
      <c r="F3652" t="s">
        <v>4076</v>
      </c>
    </row>
    <row r="3653" spans="1:6" x14ac:dyDescent="0.25">
      <c r="A3653">
        <v>3461</v>
      </c>
      <c r="B3653" t="s">
        <v>4072</v>
      </c>
      <c r="C3653">
        <v>44</v>
      </c>
      <c r="D3653" t="s">
        <v>4077</v>
      </c>
      <c r="E3653" t="s">
        <v>4078</v>
      </c>
      <c r="F3653" t="s">
        <v>4079</v>
      </c>
    </row>
    <row r="3654" spans="1:6" x14ac:dyDescent="0.25">
      <c r="A3654">
        <v>3470</v>
      </c>
      <c r="B3654" t="s">
        <v>4072</v>
      </c>
      <c r="C3654">
        <v>6</v>
      </c>
      <c r="D3654" t="s">
        <v>4073</v>
      </c>
      <c r="E3654" t="s">
        <v>4074</v>
      </c>
      <c r="F3654" t="s">
        <v>4075</v>
      </c>
    </row>
    <row r="3655" spans="1:6" x14ac:dyDescent="0.25">
      <c r="A3655">
        <v>3470</v>
      </c>
      <c r="B3655" t="s">
        <v>4072</v>
      </c>
      <c r="C3655">
        <v>19</v>
      </c>
      <c r="D3655" t="s">
        <v>4073</v>
      </c>
      <c r="E3655" t="s">
        <v>4074</v>
      </c>
      <c r="F3655" t="s">
        <v>4076</v>
      </c>
    </row>
    <row r="3656" spans="1:6" x14ac:dyDescent="0.25">
      <c r="A3656">
        <v>3470</v>
      </c>
      <c r="B3656" t="s">
        <v>4072</v>
      </c>
      <c r="C3656">
        <v>39</v>
      </c>
      <c r="D3656" t="s">
        <v>4073</v>
      </c>
      <c r="E3656" t="s">
        <v>4074</v>
      </c>
      <c r="F3656" t="s">
        <v>4079</v>
      </c>
    </row>
    <row r="3657" spans="1:6" x14ac:dyDescent="0.25">
      <c r="A3657">
        <v>3471</v>
      </c>
      <c r="B3657" t="s">
        <v>4092</v>
      </c>
      <c r="C3657">
        <v>33</v>
      </c>
      <c r="D3657" t="s">
        <v>4109</v>
      </c>
      <c r="E3657" t="s">
        <v>4110</v>
      </c>
      <c r="F3657" t="s">
        <v>4075</v>
      </c>
    </row>
    <row r="3658" spans="1:6" x14ac:dyDescent="0.25">
      <c r="A3658">
        <v>3471</v>
      </c>
      <c r="B3658" t="s">
        <v>4092</v>
      </c>
      <c r="C3658">
        <v>34</v>
      </c>
      <c r="D3658" t="s">
        <v>4109</v>
      </c>
      <c r="E3658" t="s">
        <v>4110</v>
      </c>
      <c r="F3658" t="s">
        <v>4076</v>
      </c>
    </row>
    <row r="3659" spans="1:6" x14ac:dyDescent="0.25">
      <c r="A3659">
        <v>3471</v>
      </c>
      <c r="B3659" t="s">
        <v>4092</v>
      </c>
      <c r="C3659">
        <v>51</v>
      </c>
      <c r="D3659" t="s">
        <v>4109</v>
      </c>
      <c r="E3659" t="s">
        <v>4111</v>
      </c>
      <c r="F3659" t="s">
        <v>4079</v>
      </c>
    </row>
    <row r="3660" spans="1:6" x14ac:dyDescent="0.25">
      <c r="A3660">
        <v>3474</v>
      </c>
      <c r="B3660" t="s">
        <v>4072</v>
      </c>
      <c r="C3660">
        <v>5</v>
      </c>
      <c r="D3660" t="s">
        <v>4087</v>
      </c>
      <c r="E3660" t="s">
        <v>4088</v>
      </c>
      <c r="F3660" t="s">
        <v>4075</v>
      </c>
    </row>
    <row r="3661" spans="1:6" x14ac:dyDescent="0.25">
      <c r="A3661">
        <v>3474</v>
      </c>
      <c r="B3661" t="s">
        <v>4072</v>
      </c>
      <c r="C3661">
        <v>15</v>
      </c>
      <c r="D3661" t="s">
        <v>4080</v>
      </c>
      <c r="E3661" t="s">
        <v>4081</v>
      </c>
      <c r="F3661" t="s">
        <v>4076</v>
      </c>
    </row>
    <row r="3662" spans="1:6" x14ac:dyDescent="0.25">
      <c r="A3662">
        <v>3474</v>
      </c>
      <c r="B3662" t="s">
        <v>4072</v>
      </c>
      <c r="C3662">
        <v>40</v>
      </c>
      <c r="D3662" t="s">
        <v>4080</v>
      </c>
      <c r="E3662" t="s">
        <v>4081</v>
      </c>
      <c r="F3662" t="s">
        <v>4079</v>
      </c>
    </row>
    <row r="3663" spans="1:6" x14ac:dyDescent="0.25">
      <c r="A3663">
        <v>3475</v>
      </c>
      <c r="B3663" t="s">
        <v>4072</v>
      </c>
      <c r="C3663">
        <v>3</v>
      </c>
      <c r="D3663" t="s">
        <v>4085</v>
      </c>
      <c r="E3663" t="s">
        <v>4086</v>
      </c>
      <c r="F3663" t="s">
        <v>4075</v>
      </c>
    </row>
    <row r="3664" spans="1:6" x14ac:dyDescent="0.25">
      <c r="A3664">
        <v>3475</v>
      </c>
      <c r="B3664" t="s">
        <v>4072</v>
      </c>
      <c r="C3664">
        <v>15</v>
      </c>
      <c r="D3664" t="s">
        <v>4080</v>
      </c>
      <c r="E3664" t="s">
        <v>4081</v>
      </c>
      <c r="F3664" t="s">
        <v>4076</v>
      </c>
    </row>
    <row r="3665" spans="1:6" x14ac:dyDescent="0.25">
      <c r="A3665">
        <v>3475</v>
      </c>
      <c r="B3665" t="s">
        <v>4072</v>
      </c>
      <c r="C3665">
        <v>40</v>
      </c>
      <c r="D3665" t="s">
        <v>4080</v>
      </c>
      <c r="E3665" t="s">
        <v>4081</v>
      </c>
      <c r="F3665" t="s">
        <v>4079</v>
      </c>
    </row>
    <row r="3666" spans="1:6" x14ac:dyDescent="0.25">
      <c r="A3666">
        <v>3476</v>
      </c>
      <c r="B3666" t="s">
        <v>4072</v>
      </c>
      <c r="C3666">
        <v>4</v>
      </c>
      <c r="D3666" t="s">
        <v>4077</v>
      </c>
      <c r="E3666" t="s">
        <v>4078</v>
      </c>
      <c r="F3666" t="s">
        <v>4075</v>
      </c>
    </row>
    <row r="3667" spans="1:6" x14ac:dyDescent="0.25">
      <c r="A3667">
        <v>3476</v>
      </c>
      <c r="B3667" t="s">
        <v>4072</v>
      </c>
      <c r="C3667">
        <v>16</v>
      </c>
      <c r="D3667" t="s">
        <v>4077</v>
      </c>
      <c r="E3667" t="s">
        <v>4078</v>
      </c>
      <c r="F3667" t="s">
        <v>4076</v>
      </c>
    </row>
    <row r="3668" spans="1:6" x14ac:dyDescent="0.25">
      <c r="A3668">
        <v>3476</v>
      </c>
      <c r="B3668" t="s">
        <v>4072</v>
      </c>
      <c r="C3668">
        <v>44</v>
      </c>
      <c r="D3668" t="s">
        <v>4077</v>
      </c>
      <c r="E3668" t="s">
        <v>4078</v>
      </c>
      <c r="F3668" t="s">
        <v>4079</v>
      </c>
    </row>
    <row r="3669" spans="1:6" x14ac:dyDescent="0.25">
      <c r="A3669">
        <v>3477</v>
      </c>
      <c r="B3669" t="s">
        <v>4072</v>
      </c>
      <c r="C3669">
        <v>4</v>
      </c>
      <c r="D3669" t="s">
        <v>4077</v>
      </c>
      <c r="E3669" t="s">
        <v>4078</v>
      </c>
      <c r="F3669" t="s">
        <v>4075</v>
      </c>
    </row>
    <row r="3670" spans="1:6" x14ac:dyDescent="0.25">
      <c r="A3670">
        <v>3477</v>
      </c>
      <c r="B3670" t="s">
        <v>4072</v>
      </c>
      <c r="C3670">
        <v>16</v>
      </c>
      <c r="D3670" t="s">
        <v>4077</v>
      </c>
      <c r="E3670" t="s">
        <v>4078</v>
      </c>
      <c r="F3670" t="s">
        <v>4076</v>
      </c>
    </row>
    <row r="3671" spans="1:6" x14ac:dyDescent="0.25">
      <c r="A3671">
        <v>3477</v>
      </c>
      <c r="B3671" t="s">
        <v>4072</v>
      </c>
      <c r="C3671">
        <v>44</v>
      </c>
      <c r="D3671" t="s">
        <v>4077</v>
      </c>
      <c r="E3671" t="s">
        <v>4078</v>
      </c>
      <c r="F3671" t="s">
        <v>4079</v>
      </c>
    </row>
    <row r="3672" spans="1:6" x14ac:dyDescent="0.25">
      <c r="A3672">
        <v>3478</v>
      </c>
      <c r="B3672" t="s">
        <v>4072</v>
      </c>
      <c r="C3672">
        <v>6</v>
      </c>
      <c r="D3672" t="s">
        <v>4073</v>
      </c>
      <c r="E3672" t="s">
        <v>4074</v>
      </c>
      <c r="F3672" t="s">
        <v>4075</v>
      </c>
    </row>
    <row r="3673" spans="1:6" x14ac:dyDescent="0.25">
      <c r="A3673">
        <v>3478</v>
      </c>
      <c r="B3673" t="s">
        <v>4072</v>
      </c>
      <c r="C3673">
        <v>19</v>
      </c>
      <c r="D3673" t="s">
        <v>4073</v>
      </c>
      <c r="E3673" t="s">
        <v>4074</v>
      </c>
      <c r="F3673" t="s">
        <v>4076</v>
      </c>
    </row>
    <row r="3674" spans="1:6" x14ac:dyDescent="0.25">
      <c r="A3674">
        <v>3478</v>
      </c>
      <c r="B3674" t="s">
        <v>4072</v>
      </c>
      <c r="C3674">
        <v>39</v>
      </c>
      <c r="D3674" t="s">
        <v>4073</v>
      </c>
      <c r="E3674" t="s">
        <v>4074</v>
      </c>
      <c r="F3674" t="s">
        <v>4079</v>
      </c>
    </row>
    <row r="3675" spans="1:6" x14ac:dyDescent="0.25">
      <c r="A3675">
        <v>3479</v>
      </c>
      <c r="B3675" t="s">
        <v>4072</v>
      </c>
      <c r="C3675">
        <v>2</v>
      </c>
      <c r="D3675" t="s">
        <v>4082</v>
      </c>
      <c r="E3675" t="s">
        <v>4083</v>
      </c>
      <c r="F3675" t="s">
        <v>4075</v>
      </c>
    </row>
    <row r="3676" spans="1:6" x14ac:dyDescent="0.25">
      <c r="A3676">
        <v>3479</v>
      </c>
      <c r="B3676" t="s">
        <v>4072</v>
      </c>
      <c r="C3676">
        <v>17</v>
      </c>
      <c r="D3676" t="s">
        <v>4082</v>
      </c>
      <c r="E3676" t="s">
        <v>4084</v>
      </c>
      <c r="F3676" t="s">
        <v>4076</v>
      </c>
    </row>
    <row r="3677" spans="1:6" x14ac:dyDescent="0.25">
      <c r="A3677">
        <v>3479</v>
      </c>
      <c r="B3677" t="s">
        <v>4072</v>
      </c>
      <c r="C3677">
        <v>42</v>
      </c>
      <c r="D3677" t="s">
        <v>4082</v>
      </c>
      <c r="E3677" t="s">
        <v>4083</v>
      </c>
      <c r="F3677" t="s">
        <v>4079</v>
      </c>
    </row>
    <row r="3678" spans="1:6" x14ac:dyDescent="0.25">
      <c r="A3678">
        <v>3480</v>
      </c>
      <c r="B3678" t="s">
        <v>4092</v>
      </c>
      <c r="C3678">
        <v>23</v>
      </c>
      <c r="D3678" t="s">
        <v>2757</v>
      </c>
      <c r="E3678" t="s">
        <v>4093</v>
      </c>
      <c r="F3678" t="s">
        <v>4075</v>
      </c>
    </row>
    <row r="3679" spans="1:6" x14ac:dyDescent="0.25">
      <c r="A3679">
        <v>3480</v>
      </c>
      <c r="B3679" t="s">
        <v>4092</v>
      </c>
      <c r="C3679">
        <v>28</v>
      </c>
      <c r="D3679" t="s">
        <v>2757</v>
      </c>
      <c r="E3679" t="s">
        <v>4093</v>
      </c>
      <c r="F3679" t="s">
        <v>4076</v>
      </c>
    </row>
    <row r="3680" spans="1:6" x14ac:dyDescent="0.25">
      <c r="A3680">
        <v>3480</v>
      </c>
      <c r="B3680" t="s">
        <v>4092</v>
      </c>
      <c r="C3680">
        <v>48</v>
      </c>
      <c r="D3680" t="s">
        <v>2757</v>
      </c>
      <c r="E3680" t="s">
        <v>4093</v>
      </c>
      <c r="F3680" t="s">
        <v>4079</v>
      </c>
    </row>
    <row r="3681" spans="1:6" x14ac:dyDescent="0.25">
      <c r="A3681">
        <v>3481</v>
      </c>
      <c r="B3681" t="s">
        <v>4092</v>
      </c>
      <c r="C3681">
        <v>23</v>
      </c>
      <c r="D3681" t="s">
        <v>2757</v>
      </c>
      <c r="E3681" t="s">
        <v>4093</v>
      </c>
      <c r="F3681" t="s">
        <v>4075</v>
      </c>
    </row>
    <row r="3682" spans="1:6" x14ac:dyDescent="0.25">
      <c r="A3682">
        <v>3481</v>
      </c>
      <c r="B3682" t="s">
        <v>4092</v>
      </c>
      <c r="C3682">
        <v>28</v>
      </c>
      <c r="D3682" t="s">
        <v>2757</v>
      </c>
      <c r="E3682" t="s">
        <v>4093</v>
      </c>
      <c r="F3682" t="s">
        <v>4076</v>
      </c>
    </row>
    <row r="3683" spans="1:6" x14ac:dyDescent="0.25">
      <c r="A3683">
        <v>3481</v>
      </c>
      <c r="B3683" t="s">
        <v>4092</v>
      </c>
      <c r="C3683">
        <v>48</v>
      </c>
      <c r="D3683" t="s">
        <v>2757</v>
      </c>
      <c r="E3683" t="s">
        <v>4093</v>
      </c>
      <c r="F3683" t="s">
        <v>4079</v>
      </c>
    </row>
    <row r="3684" spans="1:6" x14ac:dyDescent="0.25">
      <c r="A3684">
        <v>3482</v>
      </c>
      <c r="B3684" t="s">
        <v>4092</v>
      </c>
      <c r="C3684">
        <v>23</v>
      </c>
      <c r="D3684" t="s">
        <v>2757</v>
      </c>
      <c r="E3684" t="s">
        <v>4093</v>
      </c>
      <c r="F3684" t="s">
        <v>4075</v>
      </c>
    </row>
    <row r="3685" spans="1:6" x14ac:dyDescent="0.25">
      <c r="A3685">
        <v>3482</v>
      </c>
      <c r="B3685" t="s">
        <v>4092</v>
      </c>
      <c r="C3685">
        <v>28</v>
      </c>
      <c r="D3685" t="s">
        <v>2757</v>
      </c>
      <c r="E3685" t="s">
        <v>4093</v>
      </c>
      <c r="F3685" t="s">
        <v>4076</v>
      </c>
    </row>
    <row r="3686" spans="1:6" x14ac:dyDescent="0.25">
      <c r="A3686">
        <v>3482</v>
      </c>
      <c r="B3686" t="s">
        <v>4092</v>
      </c>
      <c r="C3686">
        <v>48</v>
      </c>
      <c r="D3686" t="s">
        <v>2757</v>
      </c>
      <c r="E3686" t="s">
        <v>4093</v>
      </c>
      <c r="F3686" t="s">
        <v>4079</v>
      </c>
    </row>
    <row r="3687" spans="1:6" x14ac:dyDescent="0.25">
      <c r="A3687">
        <v>3483</v>
      </c>
      <c r="B3687" t="s">
        <v>4092</v>
      </c>
      <c r="C3687">
        <v>33</v>
      </c>
      <c r="D3687" t="s">
        <v>4109</v>
      </c>
      <c r="E3687" t="s">
        <v>4110</v>
      </c>
      <c r="F3687" t="s">
        <v>4075</v>
      </c>
    </row>
    <row r="3688" spans="1:6" x14ac:dyDescent="0.25">
      <c r="A3688">
        <v>3483</v>
      </c>
      <c r="B3688" t="s">
        <v>4092</v>
      </c>
      <c r="C3688">
        <v>34</v>
      </c>
      <c r="D3688" t="s">
        <v>4109</v>
      </c>
      <c r="E3688" t="s">
        <v>4110</v>
      </c>
      <c r="F3688" t="s">
        <v>4076</v>
      </c>
    </row>
    <row r="3689" spans="1:6" x14ac:dyDescent="0.25">
      <c r="A3689">
        <v>3483</v>
      </c>
      <c r="B3689" t="s">
        <v>4092</v>
      </c>
      <c r="C3689">
        <v>51</v>
      </c>
      <c r="D3689" t="s">
        <v>4109</v>
      </c>
      <c r="E3689" t="s">
        <v>4111</v>
      </c>
      <c r="F3689" t="s">
        <v>4079</v>
      </c>
    </row>
    <row r="3690" spans="1:6" x14ac:dyDescent="0.25">
      <c r="A3690">
        <v>3484</v>
      </c>
      <c r="B3690" t="s">
        <v>4072</v>
      </c>
      <c r="C3690">
        <v>6</v>
      </c>
      <c r="D3690" t="s">
        <v>4073</v>
      </c>
      <c r="E3690" t="s">
        <v>4074</v>
      </c>
      <c r="F3690" t="s">
        <v>4075</v>
      </c>
    </row>
    <row r="3691" spans="1:6" x14ac:dyDescent="0.25">
      <c r="A3691">
        <v>3484</v>
      </c>
      <c r="B3691" t="s">
        <v>4072</v>
      </c>
      <c r="C3691">
        <v>19</v>
      </c>
      <c r="D3691" t="s">
        <v>4073</v>
      </c>
      <c r="E3691" t="s">
        <v>4074</v>
      </c>
      <c r="F3691" t="s">
        <v>4076</v>
      </c>
    </row>
    <row r="3692" spans="1:6" x14ac:dyDescent="0.25">
      <c r="A3692">
        <v>3484</v>
      </c>
      <c r="B3692" t="s">
        <v>4072</v>
      </c>
      <c r="C3692">
        <v>39</v>
      </c>
      <c r="D3692" t="s">
        <v>4073</v>
      </c>
      <c r="E3692" t="s">
        <v>4074</v>
      </c>
      <c r="F3692" t="s">
        <v>4079</v>
      </c>
    </row>
    <row r="3693" spans="1:6" x14ac:dyDescent="0.25">
      <c r="A3693">
        <v>3485</v>
      </c>
      <c r="B3693" t="s">
        <v>4072</v>
      </c>
      <c r="C3693">
        <v>2</v>
      </c>
      <c r="D3693" t="s">
        <v>4082</v>
      </c>
      <c r="E3693" t="s">
        <v>4083</v>
      </c>
      <c r="F3693" t="s">
        <v>4075</v>
      </c>
    </row>
    <row r="3694" spans="1:6" x14ac:dyDescent="0.25">
      <c r="A3694">
        <v>3485</v>
      </c>
      <c r="B3694" t="s">
        <v>4072</v>
      </c>
      <c r="C3694">
        <v>17</v>
      </c>
      <c r="D3694" t="s">
        <v>4082</v>
      </c>
      <c r="E3694" t="s">
        <v>4084</v>
      </c>
      <c r="F3694" t="s">
        <v>4076</v>
      </c>
    </row>
    <row r="3695" spans="1:6" x14ac:dyDescent="0.25">
      <c r="A3695">
        <v>3485</v>
      </c>
      <c r="B3695" t="s">
        <v>4072</v>
      </c>
      <c r="C3695">
        <v>42</v>
      </c>
      <c r="D3695" t="s">
        <v>4082</v>
      </c>
      <c r="E3695" t="s">
        <v>4083</v>
      </c>
      <c r="F3695" t="s">
        <v>4079</v>
      </c>
    </row>
    <row r="3696" spans="1:6" x14ac:dyDescent="0.25">
      <c r="A3696">
        <v>3486</v>
      </c>
      <c r="B3696" t="s">
        <v>4072</v>
      </c>
      <c r="C3696">
        <v>2</v>
      </c>
      <c r="D3696" t="s">
        <v>4082</v>
      </c>
      <c r="E3696" t="s">
        <v>4083</v>
      </c>
      <c r="F3696" t="s">
        <v>4075</v>
      </c>
    </row>
    <row r="3697" spans="1:6" x14ac:dyDescent="0.25">
      <c r="A3697">
        <v>3486</v>
      </c>
      <c r="B3697" t="s">
        <v>4072</v>
      </c>
      <c r="C3697">
        <v>17</v>
      </c>
      <c r="D3697" t="s">
        <v>4082</v>
      </c>
      <c r="E3697" t="s">
        <v>4084</v>
      </c>
      <c r="F3697" t="s">
        <v>4076</v>
      </c>
    </row>
    <row r="3698" spans="1:6" x14ac:dyDescent="0.25">
      <c r="A3698">
        <v>3486</v>
      </c>
      <c r="B3698" t="s">
        <v>4072</v>
      </c>
      <c r="C3698">
        <v>42</v>
      </c>
      <c r="D3698" t="s">
        <v>4082</v>
      </c>
      <c r="E3698" t="s">
        <v>4083</v>
      </c>
      <c r="F3698" t="s">
        <v>4079</v>
      </c>
    </row>
    <row r="3699" spans="1:6" x14ac:dyDescent="0.25">
      <c r="A3699">
        <v>3487</v>
      </c>
      <c r="B3699" t="s">
        <v>4072</v>
      </c>
      <c r="C3699">
        <v>2</v>
      </c>
      <c r="D3699" t="s">
        <v>4082</v>
      </c>
      <c r="E3699" t="s">
        <v>4083</v>
      </c>
      <c r="F3699" t="s">
        <v>4075</v>
      </c>
    </row>
    <row r="3700" spans="1:6" x14ac:dyDescent="0.25">
      <c r="A3700">
        <v>3487</v>
      </c>
      <c r="B3700" t="s">
        <v>4072</v>
      </c>
      <c r="C3700">
        <v>17</v>
      </c>
      <c r="D3700" t="s">
        <v>4082</v>
      </c>
      <c r="E3700" t="s">
        <v>4084</v>
      </c>
      <c r="F3700" t="s">
        <v>4076</v>
      </c>
    </row>
    <row r="3701" spans="1:6" x14ac:dyDescent="0.25">
      <c r="A3701">
        <v>3487</v>
      </c>
      <c r="B3701" t="s">
        <v>4072</v>
      </c>
      <c r="C3701">
        <v>42</v>
      </c>
      <c r="D3701" t="s">
        <v>4082</v>
      </c>
      <c r="E3701" t="s">
        <v>4083</v>
      </c>
      <c r="F3701" t="s">
        <v>4079</v>
      </c>
    </row>
    <row r="3702" spans="1:6" x14ac:dyDescent="0.25">
      <c r="A3702">
        <v>3488</v>
      </c>
      <c r="B3702" t="s">
        <v>4072</v>
      </c>
      <c r="C3702">
        <v>1</v>
      </c>
      <c r="D3702" t="s">
        <v>2761</v>
      </c>
      <c r="E3702" t="s">
        <v>4089</v>
      </c>
      <c r="F3702" t="s">
        <v>4075</v>
      </c>
    </row>
    <row r="3703" spans="1:6" x14ac:dyDescent="0.25">
      <c r="A3703">
        <v>3488</v>
      </c>
      <c r="B3703" t="s">
        <v>4072</v>
      </c>
      <c r="C3703">
        <v>38</v>
      </c>
      <c r="D3703" t="s">
        <v>2761</v>
      </c>
      <c r="E3703" t="s">
        <v>4089</v>
      </c>
      <c r="F3703" t="s">
        <v>4076</v>
      </c>
    </row>
    <row r="3704" spans="1:6" x14ac:dyDescent="0.25">
      <c r="A3704">
        <v>3488</v>
      </c>
      <c r="B3704" t="s">
        <v>4072</v>
      </c>
      <c r="C3704">
        <v>43</v>
      </c>
      <c r="D3704" t="s">
        <v>2761</v>
      </c>
      <c r="E3704" t="s">
        <v>4089</v>
      </c>
      <c r="F3704" t="s">
        <v>4079</v>
      </c>
    </row>
    <row r="3705" spans="1:6" x14ac:dyDescent="0.25">
      <c r="A3705">
        <v>3489</v>
      </c>
      <c r="B3705" t="s">
        <v>4072</v>
      </c>
      <c r="C3705">
        <v>2</v>
      </c>
      <c r="D3705" t="s">
        <v>4082</v>
      </c>
      <c r="E3705" t="s">
        <v>4083</v>
      </c>
      <c r="F3705" t="s">
        <v>4075</v>
      </c>
    </row>
    <row r="3706" spans="1:6" x14ac:dyDescent="0.25">
      <c r="A3706">
        <v>3489</v>
      </c>
      <c r="B3706" t="s">
        <v>4072</v>
      </c>
      <c r="C3706">
        <v>17</v>
      </c>
      <c r="D3706" t="s">
        <v>4082</v>
      </c>
      <c r="E3706" t="s">
        <v>4084</v>
      </c>
      <c r="F3706" t="s">
        <v>4076</v>
      </c>
    </row>
    <row r="3707" spans="1:6" x14ac:dyDescent="0.25">
      <c r="A3707">
        <v>3489</v>
      </c>
      <c r="B3707" t="s">
        <v>4072</v>
      </c>
      <c r="C3707">
        <v>42</v>
      </c>
      <c r="D3707" t="s">
        <v>4082</v>
      </c>
      <c r="E3707" t="s">
        <v>4083</v>
      </c>
      <c r="F3707" t="s">
        <v>4079</v>
      </c>
    </row>
    <row r="3708" spans="1:6" x14ac:dyDescent="0.25">
      <c r="A3708">
        <v>3490</v>
      </c>
      <c r="B3708" t="s">
        <v>4072</v>
      </c>
      <c r="C3708">
        <v>1</v>
      </c>
      <c r="D3708" t="s">
        <v>2761</v>
      </c>
      <c r="E3708" t="s">
        <v>4089</v>
      </c>
      <c r="F3708" t="s">
        <v>4075</v>
      </c>
    </row>
    <row r="3709" spans="1:6" x14ac:dyDescent="0.25">
      <c r="A3709">
        <v>3490</v>
      </c>
      <c r="B3709" t="s">
        <v>4072</v>
      </c>
      <c r="C3709">
        <v>38</v>
      </c>
      <c r="D3709" t="s">
        <v>2761</v>
      </c>
      <c r="E3709" t="s">
        <v>4089</v>
      </c>
      <c r="F3709" t="s">
        <v>4076</v>
      </c>
    </row>
    <row r="3710" spans="1:6" x14ac:dyDescent="0.25">
      <c r="A3710">
        <v>3490</v>
      </c>
      <c r="B3710" t="s">
        <v>4072</v>
      </c>
      <c r="C3710">
        <v>43</v>
      </c>
      <c r="D3710" t="s">
        <v>2761</v>
      </c>
      <c r="E3710" t="s">
        <v>4089</v>
      </c>
      <c r="F3710" t="s">
        <v>4079</v>
      </c>
    </row>
    <row r="3711" spans="1:6" x14ac:dyDescent="0.25">
      <c r="A3711">
        <v>3491</v>
      </c>
      <c r="B3711" t="s">
        <v>4072</v>
      </c>
      <c r="C3711">
        <v>5</v>
      </c>
      <c r="D3711" t="s">
        <v>4087</v>
      </c>
      <c r="E3711" t="s">
        <v>4088</v>
      </c>
      <c r="F3711" t="s">
        <v>4075</v>
      </c>
    </row>
    <row r="3712" spans="1:6" x14ac:dyDescent="0.25">
      <c r="A3712">
        <v>3491</v>
      </c>
      <c r="B3712" t="s">
        <v>4072</v>
      </c>
      <c r="C3712">
        <v>15</v>
      </c>
      <c r="D3712" t="s">
        <v>4080</v>
      </c>
      <c r="E3712" t="s">
        <v>4081</v>
      </c>
      <c r="F3712" t="s">
        <v>4076</v>
      </c>
    </row>
    <row r="3713" spans="1:6" x14ac:dyDescent="0.25">
      <c r="A3713">
        <v>3491</v>
      </c>
      <c r="B3713" t="s">
        <v>4072</v>
      </c>
      <c r="C3713">
        <v>40</v>
      </c>
      <c r="D3713" t="s">
        <v>4080</v>
      </c>
      <c r="E3713" t="s">
        <v>4081</v>
      </c>
      <c r="F3713" t="s">
        <v>4079</v>
      </c>
    </row>
    <row r="3714" spans="1:6" x14ac:dyDescent="0.25">
      <c r="A3714">
        <v>3492</v>
      </c>
      <c r="B3714" t="s">
        <v>4072</v>
      </c>
      <c r="C3714">
        <v>3</v>
      </c>
      <c r="D3714" t="s">
        <v>4085</v>
      </c>
      <c r="E3714" t="s">
        <v>4086</v>
      </c>
      <c r="F3714" t="s">
        <v>4075</v>
      </c>
    </row>
    <row r="3715" spans="1:6" x14ac:dyDescent="0.25">
      <c r="A3715">
        <v>3492</v>
      </c>
      <c r="B3715" t="s">
        <v>4072</v>
      </c>
      <c r="C3715">
        <v>15</v>
      </c>
      <c r="D3715" t="s">
        <v>4080</v>
      </c>
      <c r="E3715" t="s">
        <v>4081</v>
      </c>
      <c r="F3715" t="s">
        <v>4076</v>
      </c>
    </row>
    <row r="3716" spans="1:6" x14ac:dyDescent="0.25">
      <c r="A3716">
        <v>3492</v>
      </c>
      <c r="B3716" t="s">
        <v>4072</v>
      </c>
      <c r="C3716">
        <v>40</v>
      </c>
      <c r="D3716" t="s">
        <v>4080</v>
      </c>
      <c r="E3716" t="s">
        <v>4081</v>
      </c>
      <c r="F3716" t="s">
        <v>4079</v>
      </c>
    </row>
    <row r="3717" spans="1:6" x14ac:dyDescent="0.25">
      <c r="A3717">
        <v>3493</v>
      </c>
      <c r="B3717" t="s">
        <v>4072</v>
      </c>
      <c r="C3717">
        <v>10</v>
      </c>
      <c r="D3717" t="s">
        <v>4095</v>
      </c>
      <c r="E3717" t="s">
        <v>4096</v>
      </c>
      <c r="F3717" t="s">
        <v>4075</v>
      </c>
    </row>
    <row r="3718" spans="1:6" x14ac:dyDescent="0.25">
      <c r="A3718">
        <v>3494</v>
      </c>
      <c r="B3718" t="s">
        <v>4092</v>
      </c>
      <c r="C3718">
        <v>25</v>
      </c>
      <c r="D3718" t="s">
        <v>4102</v>
      </c>
      <c r="E3718" t="s">
        <v>4103</v>
      </c>
      <c r="F3718" t="s">
        <v>4075</v>
      </c>
    </row>
    <row r="3719" spans="1:6" x14ac:dyDescent="0.25">
      <c r="A3719">
        <v>3494</v>
      </c>
      <c r="B3719" t="s">
        <v>4092</v>
      </c>
      <c r="C3719">
        <v>30</v>
      </c>
      <c r="D3719" t="s">
        <v>4102</v>
      </c>
      <c r="E3719" t="s">
        <v>4103</v>
      </c>
      <c r="F3719" t="s">
        <v>4076</v>
      </c>
    </row>
    <row r="3720" spans="1:6" x14ac:dyDescent="0.25">
      <c r="A3720">
        <v>3494</v>
      </c>
      <c r="B3720" t="s">
        <v>4092</v>
      </c>
      <c r="C3720">
        <v>50</v>
      </c>
      <c r="D3720" t="s">
        <v>4102</v>
      </c>
      <c r="E3720" t="s">
        <v>4103</v>
      </c>
      <c r="F3720" t="s">
        <v>4079</v>
      </c>
    </row>
    <row r="3721" spans="1:6" x14ac:dyDescent="0.25">
      <c r="A3721">
        <v>3495</v>
      </c>
      <c r="B3721" t="s">
        <v>4092</v>
      </c>
      <c r="C3721">
        <v>23</v>
      </c>
      <c r="D3721" t="s">
        <v>2757</v>
      </c>
      <c r="E3721" t="s">
        <v>4093</v>
      </c>
      <c r="F3721" t="s">
        <v>4075</v>
      </c>
    </row>
    <row r="3722" spans="1:6" x14ac:dyDescent="0.25">
      <c r="A3722">
        <v>3495</v>
      </c>
      <c r="B3722" t="s">
        <v>4092</v>
      </c>
      <c r="C3722">
        <v>28</v>
      </c>
      <c r="D3722" t="s">
        <v>2757</v>
      </c>
      <c r="E3722" t="s">
        <v>4093</v>
      </c>
      <c r="F3722" t="s">
        <v>4076</v>
      </c>
    </row>
    <row r="3723" spans="1:6" x14ac:dyDescent="0.25">
      <c r="A3723">
        <v>3495</v>
      </c>
      <c r="B3723" t="s">
        <v>4092</v>
      </c>
      <c r="C3723">
        <v>48</v>
      </c>
      <c r="D3723" t="s">
        <v>2757</v>
      </c>
      <c r="E3723" t="s">
        <v>4093</v>
      </c>
      <c r="F3723" t="s">
        <v>4079</v>
      </c>
    </row>
    <row r="3724" spans="1:6" x14ac:dyDescent="0.25">
      <c r="A3724">
        <v>3496</v>
      </c>
      <c r="B3724" t="s">
        <v>4092</v>
      </c>
      <c r="C3724">
        <v>23</v>
      </c>
      <c r="D3724" t="s">
        <v>2757</v>
      </c>
      <c r="E3724" t="s">
        <v>4093</v>
      </c>
      <c r="F3724" t="s">
        <v>4075</v>
      </c>
    </row>
    <row r="3725" spans="1:6" x14ac:dyDescent="0.25">
      <c r="A3725">
        <v>3496</v>
      </c>
      <c r="B3725" t="s">
        <v>4092</v>
      </c>
      <c r="C3725">
        <v>28</v>
      </c>
      <c r="D3725" t="s">
        <v>2757</v>
      </c>
      <c r="E3725" t="s">
        <v>4093</v>
      </c>
      <c r="F3725" t="s">
        <v>4076</v>
      </c>
    </row>
    <row r="3726" spans="1:6" x14ac:dyDescent="0.25">
      <c r="A3726">
        <v>3496</v>
      </c>
      <c r="B3726" t="s">
        <v>4092</v>
      </c>
      <c r="C3726">
        <v>48</v>
      </c>
      <c r="D3726" t="s">
        <v>2757</v>
      </c>
      <c r="E3726" t="s">
        <v>4093</v>
      </c>
      <c r="F3726" t="s">
        <v>4079</v>
      </c>
    </row>
    <row r="3727" spans="1:6" x14ac:dyDescent="0.25">
      <c r="A3727">
        <v>3497</v>
      </c>
      <c r="B3727" t="s">
        <v>4072</v>
      </c>
      <c r="C3727">
        <v>2</v>
      </c>
      <c r="D3727" t="s">
        <v>4082</v>
      </c>
      <c r="E3727" t="s">
        <v>4083</v>
      </c>
      <c r="F3727" t="s">
        <v>4075</v>
      </c>
    </row>
    <row r="3728" spans="1:6" x14ac:dyDescent="0.25">
      <c r="A3728">
        <v>3497</v>
      </c>
      <c r="B3728" t="s">
        <v>4072</v>
      </c>
      <c r="C3728">
        <v>17</v>
      </c>
      <c r="D3728" t="s">
        <v>4082</v>
      </c>
      <c r="E3728" t="s">
        <v>4084</v>
      </c>
      <c r="F3728" t="s">
        <v>4076</v>
      </c>
    </row>
    <row r="3729" spans="1:6" x14ac:dyDescent="0.25">
      <c r="A3729">
        <v>3497</v>
      </c>
      <c r="B3729" t="s">
        <v>4072</v>
      </c>
      <c r="C3729">
        <v>42</v>
      </c>
      <c r="D3729" t="s">
        <v>4082</v>
      </c>
      <c r="E3729" t="s">
        <v>4083</v>
      </c>
      <c r="F3729" t="s">
        <v>4079</v>
      </c>
    </row>
    <row r="3730" spans="1:6" x14ac:dyDescent="0.25">
      <c r="A3730">
        <v>3498</v>
      </c>
      <c r="B3730" t="s">
        <v>4072</v>
      </c>
      <c r="C3730">
        <v>1</v>
      </c>
      <c r="D3730" t="s">
        <v>2761</v>
      </c>
      <c r="E3730" t="s">
        <v>4089</v>
      </c>
      <c r="F3730" t="s">
        <v>4075</v>
      </c>
    </row>
    <row r="3731" spans="1:6" x14ac:dyDescent="0.25">
      <c r="A3731">
        <v>3498</v>
      </c>
      <c r="B3731" t="s">
        <v>4072</v>
      </c>
      <c r="C3731">
        <v>17</v>
      </c>
      <c r="D3731" t="s">
        <v>4082</v>
      </c>
      <c r="E3731" t="s">
        <v>4084</v>
      </c>
      <c r="F3731" t="s">
        <v>4076</v>
      </c>
    </row>
    <row r="3732" spans="1:6" x14ac:dyDescent="0.25">
      <c r="A3732">
        <v>3498</v>
      </c>
      <c r="B3732" t="s">
        <v>4072</v>
      </c>
      <c r="C3732">
        <v>42</v>
      </c>
      <c r="D3732" t="s">
        <v>4082</v>
      </c>
      <c r="E3732" t="s">
        <v>4083</v>
      </c>
      <c r="F3732" t="s">
        <v>4079</v>
      </c>
    </row>
    <row r="3733" spans="1:6" x14ac:dyDescent="0.25">
      <c r="A3733">
        <v>3499</v>
      </c>
      <c r="B3733" t="s">
        <v>4072</v>
      </c>
      <c r="C3733">
        <v>4</v>
      </c>
      <c r="D3733" t="s">
        <v>4077</v>
      </c>
      <c r="E3733" t="s">
        <v>4078</v>
      </c>
      <c r="F3733" t="s">
        <v>4075</v>
      </c>
    </row>
    <row r="3734" spans="1:6" x14ac:dyDescent="0.25">
      <c r="A3734">
        <v>3499</v>
      </c>
      <c r="B3734" t="s">
        <v>4072</v>
      </c>
      <c r="C3734">
        <v>5</v>
      </c>
      <c r="D3734" t="s">
        <v>4087</v>
      </c>
      <c r="E3734" t="s">
        <v>4088</v>
      </c>
      <c r="F3734" t="s">
        <v>4075</v>
      </c>
    </row>
    <row r="3735" spans="1:6" x14ac:dyDescent="0.25">
      <c r="A3735">
        <v>3499</v>
      </c>
      <c r="B3735" t="s">
        <v>4072</v>
      </c>
      <c r="C3735">
        <v>15</v>
      </c>
      <c r="D3735" t="s">
        <v>4080</v>
      </c>
      <c r="E3735" t="s">
        <v>4081</v>
      </c>
      <c r="F3735" t="s">
        <v>4076</v>
      </c>
    </row>
    <row r="3736" spans="1:6" x14ac:dyDescent="0.25">
      <c r="A3736">
        <v>3499</v>
      </c>
      <c r="B3736" t="s">
        <v>4072</v>
      </c>
      <c r="C3736">
        <v>16</v>
      </c>
      <c r="D3736" t="s">
        <v>4077</v>
      </c>
      <c r="E3736" t="s">
        <v>4078</v>
      </c>
      <c r="F3736" t="s">
        <v>4076</v>
      </c>
    </row>
    <row r="3737" spans="1:6" x14ac:dyDescent="0.25">
      <c r="A3737">
        <v>3499</v>
      </c>
      <c r="B3737" t="s">
        <v>4072</v>
      </c>
      <c r="C3737">
        <v>40</v>
      </c>
      <c r="D3737" t="s">
        <v>4080</v>
      </c>
      <c r="E3737" t="s">
        <v>4081</v>
      </c>
      <c r="F3737" t="s">
        <v>4079</v>
      </c>
    </row>
    <row r="3738" spans="1:6" x14ac:dyDescent="0.25">
      <c r="A3738">
        <v>3499</v>
      </c>
      <c r="B3738" t="s">
        <v>4072</v>
      </c>
      <c r="C3738">
        <v>44</v>
      </c>
      <c r="D3738" t="s">
        <v>4077</v>
      </c>
      <c r="E3738" t="s">
        <v>4078</v>
      </c>
      <c r="F3738" t="s">
        <v>4079</v>
      </c>
    </row>
    <row r="3739" spans="1:6" x14ac:dyDescent="0.25">
      <c r="A3739">
        <v>3500</v>
      </c>
      <c r="B3739" t="s">
        <v>4072</v>
      </c>
      <c r="C3739">
        <v>6</v>
      </c>
      <c r="D3739" t="s">
        <v>4073</v>
      </c>
      <c r="E3739" t="s">
        <v>4074</v>
      </c>
      <c r="F3739" t="s">
        <v>4075</v>
      </c>
    </row>
    <row r="3740" spans="1:6" x14ac:dyDescent="0.25">
      <c r="A3740">
        <v>3500</v>
      </c>
      <c r="B3740" t="s">
        <v>4072</v>
      </c>
      <c r="C3740">
        <v>19</v>
      </c>
      <c r="D3740" t="s">
        <v>4073</v>
      </c>
      <c r="E3740" t="s">
        <v>4074</v>
      </c>
      <c r="F3740" t="s">
        <v>4076</v>
      </c>
    </row>
    <row r="3741" spans="1:6" x14ac:dyDescent="0.25">
      <c r="A3741">
        <v>3500</v>
      </c>
      <c r="B3741" t="s">
        <v>4072</v>
      </c>
      <c r="C3741">
        <v>39</v>
      </c>
      <c r="D3741" t="s">
        <v>4073</v>
      </c>
      <c r="E3741" t="s">
        <v>4074</v>
      </c>
      <c r="F3741" t="s">
        <v>4079</v>
      </c>
    </row>
    <row r="3742" spans="1:6" x14ac:dyDescent="0.25">
      <c r="A3742">
        <v>3501</v>
      </c>
      <c r="B3742" t="s">
        <v>4092</v>
      </c>
      <c r="C3742">
        <v>23</v>
      </c>
      <c r="D3742" t="s">
        <v>2757</v>
      </c>
      <c r="E3742" t="s">
        <v>4093</v>
      </c>
      <c r="F3742" t="s">
        <v>4075</v>
      </c>
    </row>
    <row r="3743" spans="1:6" x14ac:dyDescent="0.25">
      <c r="A3743">
        <v>3501</v>
      </c>
      <c r="B3743" t="s">
        <v>4092</v>
      </c>
      <c r="C3743">
        <v>28</v>
      </c>
      <c r="D3743" t="s">
        <v>2757</v>
      </c>
      <c r="E3743" t="s">
        <v>4093</v>
      </c>
      <c r="F3743" t="s">
        <v>4076</v>
      </c>
    </row>
    <row r="3744" spans="1:6" x14ac:dyDescent="0.25">
      <c r="A3744">
        <v>3501</v>
      </c>
      <c r="B3744" t="s">
        <v>4092</v>
      </c>
      <c r="C3744">
        <v>33</v>
      </c>
      <c r="D3744" t="s">
        <v>4109</v>
      </c>
      <c r="E3744" t="s">
        <v>4110</v>
      </c>
      <c r="F3744" t="s">
        <v>4075</v>
      </c>
    </row>
    <row r="3745" spans="1:6" x14ac:dyDescent="0.25">
      <c r="A3745">
        <v>3501</v>
      </c>
      <c r="B3745" t="s">
        <v>4092</v>
      </c>
      <c r="C3745">
        <v>34</v>
      </c>
      <c r="D3745" t="s">
        <v>4109</v>
      </c>
      <c r="E3745" t="s">
        <v>4110</v>
      </c>
      <c r="F3745" t="s">
        <v>4076</v>
      </c>
    </row>
    <row r="3746" spans="1:6" x14ac:dyDescent="0.25">
      <c r="A3746">
        <v>3501</v>
      </c>
      <c r="B3746" t="s">
        <v>4092</v>
      </c>
      <c r="C3746">
        <v>48</v>
      </c>
      <c r="D3746" t="s">
        <v>2757</v>
      </c>
      <c r="E3746" t="s">
        <v>4093</v>
      </c>
      <c r="F3746" t="s">
        <v>4079</v>
      </c>
    </row>
    <row r="3747" spans="1:6" x14ac:dyDescent="0.25">
      <c r="A3747">
        <v>3501</v>
      </c>
      <c r="B3747" t="s">
        <v>4092</v>
      </c>
      <c r="C3747">
        <v>51</v>
      </c>
      <c r="D3747" t="s">
        <v>4109</v>
      </c>
      <c r="E3747" t="s">
        <v>4111</v>
      </c>
      <c r="F3747" t="s">
        <v>4079</v>
      </c>
    </row>
    <row r="3748" spans="1:6" x14ac:dyDescent="0.25">
      <c r="A3748">
        <v>3502</v>
      </c>
      <c r="B3748" t="s">
        <v>4072</v>
      </c>
      <c r="C3748">
        <v>3</v>
      </c>
      <c r="D3748" t="s">
        <v>4085</v>
      </c>
      <c r="E3748" t="s">
        <v>4086</v>
      </c>
      <c r="F3748" t="s">
        <v>4075</v>
      </c>
    </row>
    <row r="3749" spans="1:6" x14ac:dyDescent="0.25">
      <c r="A3749">
        <v>3502</v>
      </c>
      <c r="B3749" t="s">
        <v>4072</v>
      </c>
      <c r="C3749">
        <v>15</v>
      </c>
      <c r="D3749" t="s">
        <v>4080</v>
      </c>
      <c r="E3749" t="s">
        <v>4081</v>
      </c>
      <c r="F3749" t="s">
        <v>4076</v>
      </c>
    </row>
    <row r="3750" spans="1:6" x14ac:dyDescent="0.25">
      <c r="A3750">
        <v>3502</v>
      </c>
      <c r="B3750" t="s">
        <v>4072</v>
      </c>
      <c r="C3750">
        <v>40</v>
      </c>
      <c r="D3750" t="s">
        <v>4080</v>
      </c>
      <c r="E3750" t="s">
        <v>4081</v>
      </c>
      <c r="F3750" t="s">
        <v>4079</v>
      </c>
    </row>
    <row r="3751" spans="1:6" x14ac:dyDescent="0.25">
      <c r="A3751">
        <v>3503</v>
      </c>
      <c r="B3751" t="s">
        <v>4072</v>
      </c>
      <c r="C3751">
        <v>5</v>
      </c>
      <c r="D3751" t="s">
        <v>4087</v>
      </c>
      <c r="E3751" t="s">
        <v>4088</v>
      </c>
      <c r="F3751" t="s">
        <v>4075</v>
      </c>
    </row>
    <row r="3752" spans="1:6" x14ac:dyDescent="0.25">
      <c r="A3752">
        <v>3503</v>
      </c>
      <c r="B3752" t="s">
        <v>4072</v>
      </c>
      <c r="C3752">
        <v>15</v>
      </c>
      <c r="D3752" t="s">
        <v>4080</v>
      </c>
      <c r="E3752" t="s">
        <v>4081</v>
      </c>
      <c r="F3752" t="s">
        <v>4076</v>
      </c>
    </row>
    <row r="3753" spans="1:6" x14ac:dyDescent="0.25">
      <c r="A3753">
        <v>3503</v>
      </c>
      <c r="B3753" t="s">
        <v>4072</v>
      </c>
      <c r="C3753">
        <v>40</v>
      </c>
      <c r="D3753" t="s">
        <v>4080</v>
      </c>
      <c r="E3753" t="s">
        <v>4081</v>
      </c>
      <c r="F3753" t="s">
        <v>4079</v>
      </c>
    </row>
    <row r="3754" spans="1:6" x14ac:dyDescent="0.25">
      <c r="A3754">
        <v>3504</v>
      </c>
      <c r="B3754" t="s">
        <v>4092</v>
      </c>
      <c r="C3754">
        <v>33</v>
      </c>
      <c r="D3754" t="s">
        <v>4109</v>
      </c>
      <c r="E3754" t="s">
        <v>4110</v>
      </c>
      <c r="F3754" t="s">
        <v>4075</v>
      </c>
    </row>
    <row r="3755" spans="1:6" x14ac:dyDescent="0.25">
      <c r="A3755">
        <v>3505</v>
      </c>
      <c r="B3755" t="s">
        <v>4092</v>
      </c>
      <c r="C3755">
        <v>25</v>
      </c>
      <c r="D3755" t="s">
        <v>4102</v>
      </c>
      <c r="E3755" t="s">
        <v>4103</v>
      </c>
      <c r="F3755" t="s">
        <v>4075</v>
      </c>
    </row>
    <row r="3756" spans="1:6" x14ac:dyDescent="0.25">
      <c r="A3756">
        <v>3505</v>
      </c>
      <c r="B3756" t="s">
        <v>4092</v>
      </c>
      <c r="C3756">
        <v>30</v>
      </c>
      <c r="D3756" t="s">
        <v>4102</v>
      </c>
      <c r="E3756" t="s">
        <v>4103</v>
      </c>
      <c r="F3756" t="s">
        <v>4076</v>
      </c>
    </row>
    <row r="3757" spans="1:6" x14ac:dyDescent="0.25">
      <c r="A3757">
        <v>3505</v>
      </c>
      <c r="B3757" t="s">
        <v>4092</v>
      </c>
      <c r="C3757">
        <v>50</v>
      </c>
      <c r="D3757" t="s">
        <v>4102</v>
      </c>
      <c r="E3757" t="s">
        <v>4103</v>
      </c>
      <c r="F3757" t="s">
        <v>4079</v>
      </c>
    </row>
    <row r="3758" spans="1:6" x14ac:dyDescent="0.25">
      <c r="A3758">
        <v>3506</v>
      </c>
      <c r="B3758" t="s">
        <v>4092</v>
      </c>
      <c r="C3758">
        <v>23</v>
      </c>
      <c r="D3758" t="s">
        <v>2757</v>
      </c>
      <c r="E3758" t="s">
        <v>4093</v>
      </c>
      <c r="F3758" t="s">
        <v>4075</v>
      </c>
    </row>
    <row r="3759" spans="1:6" x14ac:dyDescent="0.25">
      <c r="A3759">
        <v>3506</v>
      </c>
      <c r="B3759" t="s">
        <v>4092</v>
      </c>
      <c r="C3759">
        <v>28</v>
      </c>
      <c r="D3759" t="s">
        <v>2757</v>
      </c>
      <c r="E3759" t="s">
        <v>4093</v>
      </c>
      <c r="F3759" t="s">
        <v>4076</v>
      </c>
    </row>
    <row r="3760" spans="1:6" x14ac:dyDescent="0.25">
      <c r="A3760">
        <v>3506</v>
      </c>
      <c r="B3760" t="s">
        <v>4092</v>
      </c>
      <c r="C3760">
        <v>48</v>
      </c>
      <c r="D3760" t="s">
        <v>2757</v>
      </c>
      <c r="E3760" t="s">
        <v>4093</v>
      </c>
      <c r="F3760" t="s">
        <v>4079</v>
      </c>
    </row>
    <row r="3761" spans="1:6" x14ac:dyDescent="0.25">
      <c r="A3761">
        <v>3516</v>
      </c>
      <c r="B3761" t="s">
        <v>4072</v>
      </c>
      <c r="C3761">
        <v>2</v>
      </c>
      <c r="D3761" t="s">
        <v>4082</v>
      </c>
      <c r="E3761" t="s">
        <v>4083</v>
      </c>
      <c r="F3761" t="s">
        <v>4075</v>
      </c>
    </row>
    <row r="3762" spans="1:6" x14ac:dyDescent="0.25">
      <c r="A3762">
        <v>3516</v>
      </c>
      <c r="B3762" t="s">
        <v>4072</v>
      </c>
      <c r="C3762">
        <v>17</v>
      </c>
      <c r="D3762" t="s">
        <v>4082</v>
      </c>
      <c r="E3762" t="s">
        <v>4084</v>
      </c>
      <c r="F3762" t="s">
        <v>4076</v>
      </c>
    </row>
    <row r="3763" spans="1:6" x14ac:dyDescent="0.25">
      <c r="A3763">
        <v>3516</v>
      </c>
      <c r="B3763" t="s">
        <v>4072</v>
      </c>
      <c r="C3763">
        <v>42</v>
      </c>
      <c r="D3763" t="s">
        <v>4082</v>
      </c>
      <c r="E3763" t="s">
        <v>4083</v>
      </c>
      <c r="F3763" t="s">
        <v>4079</v>
      </c>
    </row>
    <row r="3764" spans="1:6" x14ac:dyDescent="0.25">
      <c r="A3764">
        <v>3517</v>
      </c>
      <c r="B3764" t="s">
        <v>4072</v>
      </c>
      <c r="C3764">
        <v>1</v>
      </c>
      <c r="D3764" t="s">
        <v>2761</v>
      </c>
      <c r="E3764" t="s">
        <v>4089</v>
      </c>
      <c r="F3764" t="s">
        <v>4075</v>
      </c>
    </row>
    <row r="3765" spans="1:6" x14ac:dyDescent="0.25">
      <c r="A3765">
        <v>3517</v>
      </c>
      <c r="B3765" t="s">
        <v>4072</v>
      </c>
      <c r="C3765">
        <v>38</v>
      </c>
      <c r="D3765" t="s">
        <v>2761</v>
      </c>
      <c r="E3765" t="s">
        <v>4089</v>
      </c>
      <c r="F3765" t="s">
        <v>4076</v>
      </c>
    </row>
    <row r="3766" spans="1:6" x14ac:dyDescent="0.25">
      <c r="A3766">
        <v>3517</v>
      </c>
      <c r="B3766" t="s">
        <v>4072</v>
      </c>
      <c r="C3766">
        <v>43</v>
      </c>
      <c r="D3766" t="s">
        <v>2761</v>
      </c>
      <c r="E3766" t="s">
        <v>4089</v>
      </c>
      <c r="F3766" t="s">
        <v>4079</v>
      </c>
    </row>
    <row r="3767" spans="1:6" x14ac:dyDescent="0.25">
      <c r="A3767">
        <v>3518</v>
      </c>
      <c r="B3767" t="s">
        <v>4072</v>
      </c>
      <c r="C3767">
        <v>5</v>
      </c>
      <c r="D3767" t="s">
        <v>4087</v>
      </c>
      <c r="E3767" t="s">
        <v>4088</v>
      </c>
      <c r="F3767" t="s">
        <v>4075</v>
      </c>
    </row>
    <row r="3768" spans="1:6" x14ac:dyDescent="0.25">
      <c r="A3768">
        <v>3518</v>
      </c>
      <c r="B3768" t="s">
        <v>4072</v>
      </c>
      <c r="C3768">
        <v>15</v>
      </c>
      <c r="D3768" t="s">
        <v>4080</v>
      </c>
      <c r="E3768" t="s">
        <v>4081</v>
      </c>
      <c r="F3768" t="s">
        <v>4076</v>
      </c>
    </row>
    <row r="3769" spans="1:6" x14ac:dyDescent="0.25">
      <c r="A3769">
        <v>3518</v>
      </c>
      <c r="B3769" t="s">
        <v>4072</v>
      </c>
      <c r="C3769">
        <v>40</v>
      </c>
      <c r="D3769" t="s">
        <v>4080</v>
      </c>
      <c r="E3769" t="s">
        <v>4081</v>
      </c>
      <c r="F3769" t="s">
        <v>4079</v>
      </c>
    </row>
    <row r="3770" spans="1:6" x14ac:dyDescent="0.25">
      <c r="A3770">
        <v>3519</v>
      </c>
      <c r="B3770" t="s">
        <v>4072</v>
      </c>
      <c r="C3770">
        <v>4</v>
      </c>
      <c r="D3770" t="s">
        <v>4077</v>
      </c>
      <c r="E3770" t="s">
        <v>4078</v>
      </c>
      <c r="F3770" t="s">
        <v>4075</v>
      </c>
    </row>
    <row r="3771" spans="1:6" x14ac:dyDescent="0.25">
      <c r="A3771">
        <v>3519</v>
      </c>
      <c r="B3771" t="s">
        <v>4072</v>
      </c>
      <c r="C3771">
        <v>16</v>
      </c>
      <c r="D3771" t="s">
        <v>4077</v>
      </c>
      <c r="E3771" t="s">
        <v>4078</v>
      </c>
      <c r="F3771" t="s">
        <v>4076</v>
      </c>
    </row>
    <row r="3772" spans="1:6" x14ac:dyDescent="0.25">
      <c r="A3772">
        <v>3519</v>
      </c>
      <c r="B3772" t="s">
        <v>4072</v>
      </c>
      <c r="C3772">
        <v>44</v>
      </c>
      <c r="D3772" t="s">
        <v>4077</v>
      </c>
      <c r="E3772" t="s">
        <v>4078</v>
      </c>
      <c r="F3772" t="s">
        <v>4079</v>
      </c>
    </row>
    <row r="3773" spans="1:6" x14ac:dyDescent="0.25">
      <c r="A3773">
        <v>3520</v>
      </c>
      <c r="B3773" t="s">
        <v>4072</v>
      </c>
      <c r="C3773">
        <v>2</v>
      </c>
      <c r="D3773" t="s">
        <v>4082</v>
      </c>
      <c r="E3773" t="s">
        <v>4083</v>
      </c>
      <c r="F3773" t="s">
        <v>4075</v>
      </c>
    </row>
    <row r="3774" spans="1:6" x14ac:dyDescent="0.25">
      <c r="A3774">
        <v>3520</v>
      </c>
      <c r="B3774" t="s">
        <v>4072</v>
      </c>
      <c r="C3774">
        <v>17</v>
      </c>
      <c r="D3774" t="s">
        <v>4082</v>
      </c>
      <c r="E3774" t="s">
        <v>4084</v>
      </c>
      <c r="F3774" t="s">
        <v>4076</v>
      </c>
    </row>
    <row r="3775" spans="1:6" x14ac:dyDescent="0.25">
      <c r="A3775">
        <v>3520</v>
      </c>
      <c r="B3775" t="s">
        <v>4072</v>
      </c>
      <c r="C3775">
        <v>42</v>
      </c>
      <c r="D3775" t="s">
        <v>4082</v>
      </c>
      <c r="E3775" t="s">
        <v>4083</v>
      </c>
      <c r="F3775" t="s">
        <v>4079</v>
      </c>
    </row>
    <row r="3776" spans="1:6" x14ac:dyDescent="0.25">
      <c r="A3776">
        <v>3521</v>
      </c>
      <c r="B3776" t="s">
        <v>4072</v>
      </c>
      <c r="C3776">
        <v>1</v>
      </c>
      <c r="D3776" t="s">
        <v>2761</v>
      </c>
      <c r="E3776" t="s">
        <v>4089</v>
      </c>
      <c r="F3776" t="s">
        <v>4075</v>
      </c>
    </row>
    <row r="3777" spans="1:6" x14ac:dyDescent="0.25">
      <c r="A3777">
        <v>3521</v>
      </c>
      <c r="B3777" t="s">
        <v>4072</v>
      </c>
      <c r="C3777">
        <v>17</v>
      </c>
      <c r="D3777" t="s">
        <v>4082</v>
      </c>
      <c r="E3777" t="s">
        <v>4084</v>
      </c>
      <c r="F3777" t="s">
        <v>4076</v>
      </c>
    </row>
    <row r="3778" spans="1:6" x14ac:dyDescent="0.25">
      <c r="A3778">
        <v>3521</v>
      </c>
      <c r="B3778" t="s">
        <v>4072</v>
      </c>
      <c r="C3778">
        <v>42</v>
      </c>
      <c r="D3778" t="s">
        <v>4082</v>
      </c>
      <c r="E3778" t="s">
        <v>4083</v>
      </c>
      <c r="F3778" t="s">
        <v>4079</v>
      </c>
    </row>
    <row r="3779" spans="1:6" x14ac:dyDescent="0.25">
      <c r="A3779">
        <v>3522</v>
      </c>
      <c r="B3779" t="s">
        <v>4072</v>
      </c>
      <c r="C3779">
        <v>5</v>
      </c>
      <c r="D3779" t="s">
        <v>4087</v>
      </c>
      <c r="E3779" t="s">
        <v>4088</v>
      </c>
      <c r="F3779" t="s">
        <v>4075</v>
      </c>
    </row>
    <row r="3780" spans="1:6" x14ac:dyDescent="0.25">
      <c r="A3780">
        <v>3522</v>
      </c>
      <c r="B3780" t="s">
        <v>4072</v>
      </c>
      <c r="C3780">
        <v>15</v>
      </c>
      <c r="D3780" t="s">
        <v>4080</v>
      </c>
      <c r="E3780" t="s">
        <v>4081</v>
      </c>
      <c r="F3780" t="s">
        <v>4076</v>
      </c>
    </row>
    <row r="3781" spans="1:6" x14ac:dyDescent="0.25">
      <c r="A3781">
        <v>3522</v>
      </c>
      <c r="B3781" t="s">
        <v>4072</v>
      </c>
      <c r="C3781">
        <v>40</v>
      </c>
      <c r="D3781" t="s">
        <v>4080</v>
      </c>
      <c r="E3781" t="s">
        <v>4081</v>
      </c>
      <c r="F3781" t="s">
        <v>4079</v>
      </c>
    </row>
    <row r="3782" spans="1:6" x14ac:dyDescent="0.25">
      <c r="A3782">
        <v>3523</v>
      </c>
      <c r="B3782" t="s">
        <v>4072</v>
      </c>
      <c r="C3782">
        <v>4</v>
      </c>
      <c r="D3782" t="s">
        <v>4077</v>
      </c>
      <c r="E3782" t="s">
        <v>4078</v>
      </c>
      <c r="F3782" t="s">
        <v>4075</v>
      </c>
    </row>
    <row r="3783" spans="1:6" x14ac:dyDescent="0.25">
      <c r="A3783">
        <v>3523</v>
      </c>
      <c r="B3783" t="s">
        <v>4072</v>
      </c>
      <c r="C3783">
        <v>16</v>
      </c>
      <c r="D3783" t="s">
        <v>4077</v>
      </c>
      <c r="E3783" t="s">
        <v>4078</v>
      </c>
      <c r="F3783" t="s">
        <v>4076</v>
      </c>
    </row>
    <row r="3784" spans="1:6" x14ac:dyDescent="0.25">
      <c r="A3784">
        <v>3523</v>
      </c>
      <c r="B3784" t="s">
        <v>4072</v>
      </c>
      <c r="C3784">
        <v>44</v>
      </c>
      <c r="D3784" t="s">
        <v>4077</v>
      </c>
      <c r="E3784" t="s">
        <v>4078</v>
      </c>
      <c r="F3784" t="s">
        <v>4079</v>
      </c>
    </row>
    <row r="3785" spans="1:6" x14ac:dyDescent="0.25">
      <c r="A3785">
        <v>3524</v>
      </c>
      <c r="B3785" t="s">
        <v>4072</v>
      </c>
      <c r="C3785">
        <v>6</v>
      </c>
      <c r="D3785" t="s">
        <v>4073</v>
      </c>
      <c r="E3785" t="s">
        <v>4074</v>
      </c>
      <c r="F3785" t="s">
        <v>4075</v>
      </c>
    </row>
    <row r="3786" spans="1:6" x14ac:dyDescent="0.25">
      <c r="A3786">
        <v>3524</v>
      </c>
      <c r="B3786" t="s">
        <v>4072</v>
      </c>
      <c r="C3786">
        <v>19</v>
      </c>
      <c r="D3786" t="s">
        <v>4073</v>
      </c>
      <c r="E3786" t="s">
        <v>4074</v>
      </c>
      <c r="F3786" t="s">
        <v>4076</v>
      </c>
    </row>
    <row r="3787" spans="1:6" x14ac:dyDescent="0.25">
      <c r="A3787">
        <v>3524</v>
      </c>
      <c r="B3787" t="s">
        <v>4072</v>
      </c>
      <c r="C3787">
        <v>39</v>
      </c>
      <c r="D3787" t="s">
        <v>4073</v>
      </c>
      <c r="E3787" t="s">
        <v>4074</v>
      </c>
      <c r="F3787" t="s">
        <v>4079</v>
      </c>
    </row>
    <row r="3788" spans="1:6" x14ac:dyDescent="0.25">
      <c r="A3788">
        <v>3550</v>
      </c>
      <c r="B3788" t="s">
        <v>4072</v>
      </c>
      <c r="C3788">
        <v>3</v>
      </c>
      <c r="D3788" t="s">
        <v>4085</v>
      </c>
      <c r="E3788" t="s">
        <v>4086</v>
      </c>
      <c r="F3788" t="s">
        <v>4075</v>
      </c>
    </row>
    <row r="3789" spans="1:6" x14ac:dyDescent="0.25">
      <c r="A3789">
        <v>3550</v>
      </c>
      <c r="B3789" t="s">
        <v>4072</v>
      </c>
      <c r="C3789">
        <v>15</v>
      </c>
      <c r="D3789" t="s">
        <v>4080</v>
      </c>
      <c r="E3789" t="s">
        <v>4081</v>
      </c>
      <c r="F3789" t="s">
        <v>4076</v>
      </c>
    </row>
    <row r="3790" spans="1:6" x14ac:dyDescent="0.25">
      <c r="A3790">
        <v>3550</v>
      </c>
      <c r="B3790" t="s">
        <v>4072</v>
      </c>
      <c r="C3790">
        <v>40</v>
      </c>
      <c r="D3790" t="s">
        <v>4080</v>
      </c>
      <c r="E3790" t="s">
        <v>4081</v>
      </c>
      <c r="F3790" t="s">
        <v>4079</v>
      </c>
    </row>
    <row r="3791" spans="1:6" x14ac:dyDescent="0.25">
      <c r="A3791">
        <v>3551</v>
      </c>
      <c r="B3791" t="s">
        <v>4072</v>
      </c>
      <c r="C3791">
        <v>5</v>
      </c>
      <c r="D3791" t="s">
        <v>4087</v>
      </c>
      <c r="E3791" t="s">
        <v>4088</v>
      </c>
      <c r="F3791" t="s">
        <v>4075</v>
      </c>
    </row>
    <row r="3792" spans="1:6" x14ac:dyDescent="0.25">
      <c r="A3792">
        <v>3551</v>
      </c>
      <c r="B3792" t="s">
        <v>4072</v>
      </c>
      <c r="C3792">
        <v>15</v>
      </c>
      <c r="D3792" t="s">
        <v>4080</v>
      </c>
      <c r="E3792" t="s">
        <v>4081</v>
      </c>
      <c r="F3792" t="s">
        <v>4076</v>
      </c>
    </row>
    <row r="3793" spans="1:6" x14ac:dyDescent="0.25">
      <c r="A3793">
        <v>3551</v>
      </c>
      <c r="B3793" t="s">
        <v>4072</v>
      </c>
      <c r="C3793">
        <v>40</v>
      </c>
      <c r="D3793" t="s">
        <v>4080</v>
      </c>
      <c r="E3793" t="s">
        <v>4081</v>
      </c>
      <c r="F3793" t="s">
        <v>4079</v>
      </c>
    </row>
    <row r="3794" spans="1:6" x14ac:dyDescent="0.25">
      <c r="A3794">
        <v>3552</v>
      </c>
      <c r="B3794" t="s">
        <v>4072</v>
      </c>
      <c r="C3794">
        <v>5</v>
      </c>
      <c r="D3794" t="s">
        <v>4087</v>
      </c>
      <c r="E3794" t="s">
        <v>4088</v>
      </c>
      <c r="F3794" t="s">
        <v>4075</v>
      </c>
    </row>
    <row r="3795" spans="1:6" x14ac:dyDescent="0.25">
      <c r="A3795">
        <v>3552</v>
      </c>
      <c r="B3795" t="s">
        <v>4072</v>
      </c>
      <c r="C3795">
        <v>15</v>
      </c>
      <c r="D3795" t="s">
        <v>4080</v>
      </c>
      <c r="E3795" t="s">
        <v>4081</v>
      </c>
      <c r="F3795" t="s">
        <v>4076</v>
      </c>
    </row>
    <row r="3796" spans="1:6" x14ac:dyDescent="0.25">
      <c r="A3796">
        <v>3552</v>
      </c>
      <c r="B3796" t="s">
        <v>4072</v>
      </c>
      <c r="C3796">
        <v>40</v>
      </c>
      <c r="D3796" t="s">
        <v>4080</v>
      </c>
      <c r="E3796" t="s">
        <v>4081</v>
      </c>
      <c r="F3796" t="s">
        <v>4079</v>
      </c>
    </row>
    <row r="3797" spans="1:6" x14ac:dyDescent="0.25">
      <c r="A3797">
        <v>3553</v>
      </c>
      <c r="B3797" t="s">
        <v>4072</v>
      </c>
      <c r="C3797">
        <v>2</v>
      </c>
      <c r="D3797" t="s">
        <v>4082</v>
      </c>
      <c r="E3797" t="s">
        <v>4083</v>
      </c>
      <c r="F3797" t="s">
        <v>4075</v>
      </c>
    </row>
    <row r="3798" spans="1:6" x14ac:dyDescent="0.25">
      <c r="A3798">
        <v>3553</v>
      </c>
      <c r="B3798" t="s">
        <v>4072</v>
      </c>
      <c r="C3798">
        <v>17</v>
      </c>
      <c r="D3798" t="s">
        <v>4082</v>
      </c>
      <c r="E3798" t="s">
        <v>4084</v>
      </c>
      <c r="F3798" t="s">
        <v>4076</v>
      </c>
    </row>
    <row r="3799" spans="1:6" x14ac:dyDescent="0.25">
      <c r="A3799">
        <v>3553</v>
      </c>
      <c r="B3799" t="s">
        <v>4072</v>
      </c>
      <c r="C3799">
        <v>42</v>
      </c>
      <c r="D3799" t="s">
        <v>4082</v>
      </c>
      <c r="E3799" t="s">
        <v>4083</v>
      </c>
      <c r="F3799" t="s">
        <v>4079</v>
      </c>
    </row>
    <row r="3800" spans="1:6" x14ac:dyDescent="0.25">
      <c r="A3800">
        <v>3554</v>
      </c>
      <c r="B3800" t="s">
        <v>4072</v>
      </c>
      <c r="C3800">
        <v>4</v>
      </c>
      <c r="D3800" t="s">
        <v>4077</v>
      </c>
      <c r="E3800" t="s">
        <v>4078</v>
      </c>
      <c r="F3800" t="s">
        <v>4075</v>
      </c>
    </row>
    <row r="3801" spans="1:6" x14ac:dyDescent="0.25">
      <c r="A3801">
        <v>3554</v>
      </c>
      <c r="B3801" t="s">
        <v>4072</v>
      </c>
      <c r="C3801">
        <v>16</v>
      </c>
      <c r="D3801" t="s">
        <v>4077</v>
      </c>
      <c r="E3801" t="s">
        <v>4078</v>
      </c>
      <c r="F3801" t="s">
        <v>4076</v>
      </c>
    </row>
    <row r="3802" spans="1:6" x14ac:dyDescent="0.25">
      <c r="A3802">
        <v>3554</v>
      </c>
      <c r="B3802" t="s">
        <v>4072</v>
      </c>
      <c r="C3802">
        <v>44</v>
      </c>
      <c r="D3802" t="s">
        <v>4077</v>
      </c>
      <c r="E3802" t="s">
        <v>4078</v>
      </c>
      <c r="F3802" t="s">
        <v>4079</v>
      </c>
    </row>
    <row r="3803" spans="1:6" x14ac:dyDescent="0.25">
      <c r="A3803">
        <v>3555</v>
      </c>
      <c r="B3803" t="s">
        <v>4072</v>
      </c>
      <c r="C3803">
        <v>5</v>
      </c>
      <c r="D3803" t="s">
        <v>4087</v>
      </c>
      <c r="E3803" t="s">
        <v>4088</v>
      </c>
      <c r="F3803" t="s">
        <v>4075</v>
      </c>
    </row>
    <row r="3804" spans="1:6" x14ac:dyDescent="0.25">
      <c r="A3804">
        <v>3555</v>
      </c>
      <c r="B3804" t="s">
        <v>4072</v>
      </c>
      <c r="C3804">
        <v>15</v>
      </c>
      <c r="D3804" t="s">
        <v>4080</v>
      </c>
      <c r="E3804" t="s">
        <v>4081</v>
      </c>
      <c r="F3804" t="s">
        <v>4076</v>
      </c>
    </row>
    <row r="3805" spans="1:6" x14ac:dyDescent="0.25">
      <c r="A3805">
        <v>3555</v>
      </c>
      <c r="B3805" t="s">
        <v>4072</v>
      </c>
      <c r="C3805">
        <v>40</v>
      </c>
      <c r="D3805" t="s">
        <v>4080</v>
      </c>
      <c r="E3805" t="s">
        <v>4081</v>
      </c>
      <c r="F3805" t="s">
        <v>4079</v>
      </c>
    </row>
    <row r="3806" spans="1:6" x14ac:dyDescent="0.25">
      <c r="A3806">
        <v>3556</v>
      </c>
      <c r="B3806" t="s">
        <v>4072</v>
      </c>
      <c r="C3806">
        <v>5</v>
      </c>
      <c r="D3806" t="s">
        <v>4087</v>
      </c>
      <c r="E3806" t="s">
        <v>4088</v>
      </c>
      <c r="F3806" t="s">
        <v>4075</v>
      </c>
    </row>
    <row r="3807" spans="1:6" x14ac:dyDescent="0.25">
      <c r="A3807">
        <v>3557</v>
      </c>
      <c r="B3807" t="s">
        <v>4092</v>
      </c>
      <c r="C3807">
        <v>23</v>
      </c>
      <c r="D3807" t="s">
        <v>2757</v>
      </c>
      <c r="E3807" t="s">
        <v>4093</v>
      </c>
      <c r="F3807" t="s">
        <v>4075</v>
      </c>
    </row>
    <row r="3808" spans="1:6" x14ac:dyDescent="0.25">
      <c r="A3808">
        <v>3557</v>
      </c>
      <c r="B3808" t="s">
        <v>4092</v>
      </c>
      <c r="C3808">
        <v>28</v>
      </c>
      <c r="D3808" t="s">
        <v>2757</v>
      </c>
      <c r="E3808" t="s">
        <v>4093</v>
      </c>
      <c r="F3808" t="s">
        <v>4076</v>
      </c>
    </row>
    <row r="3809" spans="1:6" x14ac:dyDescent="0.25">
      <c r="A3809">
        <v>3557</v>
      </c>
      <c r="B3809" t="s">
        <v>4092</v>
      </c>
      <c r="C3809">
        <v>48</v>
      </c>
      <c r="D3809" t="s">
        <v>2757</v>
      </c>
      <c r="E3809" t="s">
        <v>4093</v>
      </c>
      <c r="F3809" t="s">
        <v>4079</v>
      </c>
    </row>
    <row r="3810" spans="1:6" x14ac:dyDescent="0.25">
      <c r="A3810">
        <v>3558</v>
      </c>
      <c r="B3810" t="s">
        <v>4072</v>
      </c>
      <c r="C3810">
        <v>10</v>
      </c>
      <c r="D3810" t="s">
        <v>4095</v>
      </c>
      <c r="E3810" t="s">
        <v>4096</v>
      </c>
      <c r="F3810" t="s">
        <v>4075</v>
      </c>
    </row>
    <row r="3811" spans="1:6" x14ac:dyDescent="0.25">
      <c r="A3811">
        <v>3559</v>
      </c>
      <c r="B3811" t="s">
        <v>4092</v>
      </c>
      <c r="C3811">
        <v>23</v>
      </c>
      <c r="D3811" t="s">
        <v>2757</v>
      </c>
      <c r="E3811" t="s">
        <v>4093</v>
      </c>
      <c r="F3811" t="s">
        <v>4075</v>
      </c>
    </row>
    <row r="3812" spans="1:6" x14ac:dyDescent="0.25">
      <c r="A3812">
        <v>3559</v>
      </c>
      <c r="B3812" t="s">
        <v>4092</v>
      </c>
      <c r="C3812">
        <v>28</v>
      </c>
      <c r="D3812" t="s">
        <v>2757</v>
      </c>
      <c r="E3812" t="s">
        <v>4093</v>
      </c>
      <c r="F3812" t="s">
        <v>4076</v>
      </c>
    </row>
    <row r="3813" spans="1:6" x14ac:dyDescent="0.25">
      <c r="A3813">
        <v>3559</v>
      </c>
      <c r="B3813" t="s">
        <v>4092</v>
      </c>
      <c r="C3813">
        <v>48</v>
      </c>
      <c r="D3813" t="s">
        <v>2757</v>
      </c>
      <c r="E3813" t="s">
        <v>4093</v>
      </c>
      <c r="F3813" t="s">
        <v>4079</v>
      </c>
    </row>
    <row r="3814" spans="1:6" x14ac:dyDescent="0.25">
      <c r="A3814">
        <v>3560</v>
      </c>
      <c r="B3814" t="s">
        <v>4092</v>
      </c>
      <c r="C3814">
        <v>25</v>
      </c>
      <c r="D3814" t="s">
        <v>4102</v>
      </c>
      <c r="E3814" t="s">
        <v>4103</v>
      </c>
      <c r="F3814" t="s">
        <v>4075</v>
      </c>
    </row>
    <row r="3815" spans="1:6" x14ac:dyDescent="0.25">
      <c r="A3815">
        <v>3560</v>
      </c>
      <c r="B3815" t="s">
        <v>4092</v>
      </c>
      <c r="C3815">
        <v>30</v>
      </c>
      <c r="D3815" t="s">
        <v>4102</v>
      </c>
      <c r="E3815" t="s">
        <v>4103</v>
      </c>
      <c r="F3815" t="s">
        <v>4076</v>
      </c>
    </row>
    <row r="3816" spans="1:6" x14ac:dyDescent="0.25">
      <c r="A3816">
        <v>3560</v>
      </c>
      <c r="B3816" t="s">
        <v>4092</v>
      </c>
      <c r="C3816">
        <v>50</v>
      </c>
      <c r="D3816" t="s">
        <v>4102</v>
      </c>
      <c r="E3816" t="s">
        <v>4103</v>
      </c>
      <c r="F3816" t="s">
        <v>4079</v>
      </c>
    </row>
    <row r="3817" spans="1:6" x14ac:dyDescent="0.25">
      <c r="A3817">
        <v>3561</v>
      </c>
      <c r="B3817" t="s">
        <v>4092</v>
      </c>
      <c r="C3817">
        <v>33</v>
      </c>
      <c r="D3817" t="s">
        <v>4109</v>
      </c>
      <c r="E3817" t="s">
        <v>4110</v>
      </c>
      <c r="F3817" t="s">
        <v>4075</v>
      </c>
    </row>
    <row r="3818" spans="1:6" x14ac:dyDescent="0.25">
      <c r="A3818">
        <v>3562</v>
      </c>
      <c r="B3818" t="s">
        <v>4072</v>
      </c>
      <c r="C3818">
        <v>2</v>
      </c>
      <c r="D3818" t="s">
        <v>4082</v>
      </c>
      <c r="E3818" t="s">
        <v>4083</v>
      </c>
      <c r="F3818" t="s">
        <v>4075</v>
      </c>
    </row>
    <row r="3819" spans="1:6" x14ac:dyDescent="0.25">
      <c r="A3819">
        <v>3562</v>
      </c>
      <c r="B3819" t="s">
        <v>4072</v>
      </c>
      <c r="C3819">
        <v>17</v>
      </c>
      <c r="D3819" t="s">
        <v>4082</v>
      </c>
      <c r="E3819" t="s">
        <v>4084</v>
      </c>
      <c r="F3819" t="s">
        <v>4076</v>
      </c>
    </row>
    <row r="3820" spans="1:6" x14ac:dyDescent="0.25">
      <c r="A3820">
        <v>3562</v>
      </c>
      <c r="B3820" t="s">
        <v>4072</v>
      </c>
      <c r="C3820">
        <v>42</v>
      </c>
      <c r="D3820" t="s">
        <v>4082</v>
      </c>
      <c r="E3820" t="s">
        <v>4083</v>
      </c>
      <c r="F3820" t="s">
        <v>4079</v>
      </c>
    </row>
    <row r="3821" spans="1:6" x14ac:dyDescent="0.25">
      <c r="A3821">
        <v>3563</v>
      </c>
      <c r="B3821" t="s">
        <v>4072</v>
      </c>
      <c r="C3821">
        <v>2</v>
      </c>
      <c r="D3821" t="s">
        <v>4082</v>
      </c>
      <c r="E3821" t="s">
        <v>4083</v>
      </c>
      <c r="F3821" t="s">
        <v>4075</v>
      </c>
    </row>
    <row r="3822" spans="1:6" x14ac:dyDescent="0.25">
      <c r="A3822">
        <v>3563</v>
      </c>
      <c r="B3822" t="s">
        <v>4072</v>
      </c>
      <c r="C3822">
        <v>17</v>
      </c>
      <c r="D3822" t="s">
        <v>4082</v>
      </c>
      <c r="E3822" t="s">
        <v>4084</v>
      </c>
      <c r="F3822" t="s">
        <v>4076</v>
      </c>
    </row>
    <row r="3823" spans="1:6" x14ac:dyDescent="0.25">
      <c r="A3823">
        <v>3563</v>
      </c>
      <c r="B3823" t="s">
        <v>4072</v>
      </c>
      <c r="C3823">
        <v>42</v>
      </c>
      <c r="D3823" t="s">
        <v>4082</v>
      </c>
      <c r="E3823" t="s">
        <v>4083</v>
      </c>
      <c r="F3823" t="s">
        <v>4079</v>
      </c>
    </row>
    <row r="3824" spans="1:6" x14ac:dyDescent="0.25">
      <c r="A3824">
        <v>3564</v>
      </c>
      <c r="B3824" t="s">
        <v>4072</v>
      </c>
      <c r="C3824">
        <v>4</v>
      </c>
      <c r="D3824" t="s">
        <v>4077</v>
      </c>
      <c r="E3824" t="s">
        <v>4078</v>
      </c>
      <c r="F3824" t="s">
        <v>4075</v>
      </c>
    </row>
    <row r="3825" spans="1:6" x14ac:dyDescent="0.25">
      <c r="A3825">
        <v>3564</v>
      </c>
      <c r="B3825" t="s">
        <v>4072</v>
      </c>
      <c r="C3825">
        <v>16</v>
      </c>
      <c r="D3825" t="s">
        <v>4077</v>
      </c>
      <c r="E3825" t="s">
        <v>4078</v>
      </c>
      <c r="F3825" t="s">
        <v>4076</v>
      </c>
    </row>
    <row r="3826" spans="1:6" x14ac:dyDescent="0.25">
      <c r="A3826">
        <v>3564</v>
      </c>
      <c r="B3826" t="s">
        <v>4072</v>
      </c>
      <c r="C3826">
        <v>44</v>
      </c>
      <c r="D3826" t="s">
        <v>4077</v>
      </c>
      <c r="E3826" t="s">
        <v>4078</v>
      </c>
      <c r="F3826" t="s">
        <v>4079</v>
      </c>
    </row>
    <row r="3827" spans="1:6" x14ac:dyDescent="0.25">
      <c r="A3827">
        <v>3565</v>
      </c>
      <c r="B3827" t="s">
        <v>4072</v>
      </c>
      <c r="C3827">
        <v>5</v>
      </c>
      <c r="D3827" t="s">
        <v>4087</v>
      </c>
      <c r="E3827" t="s">
        <v>4088</v>
      </c>
      <c r="F3827" t="s">
        <v>4075</v>
      </c>
    </row>
    <row r="3828" spans="1:6" x14ac:dyDescent="0.25">
      <c r="A3828">
        <v>3565</v>
      </c>
      <c r="B3828" t="s">
        <v>4072</v>
      </c>
      <c r="C3828">
        <v>15</v>
      </c>
      <c r="D3828" t="s">
        <v>4080</v>
      </c>
      <c r="E3828" t="s">
        <v>4081</v>
      </c>
      <c r="F3828" t="s">
        <v>4076</v>
      </c>
    </row>
    <row r="3829" spans="1:6" x14ac:dyDescent="0.25">
      <c r="A3829">
        <v>3565</v>
      </c>
      <c r="B3829" t="s">
        <v>4072</v>
      </c>
      <c r="C3829">
        <v>40</v>
      </c>
      <c r="D3829" t="s">
        <v>4080</v>
      </c>
      <c r="E3829" t="s">
        <v>4081</v>
      </c>
      <c r="F3829" t="s">
        <v>4079</v>
      </c>
    </row>
    <row r="3830" spans="1:6" x14ac:dyDescent="0.25">
      <c r="A3830">
        <v>3566</v>
      </c>
      <c r="B3830" t="s">
        <v>4072</v>
      </c>
      <c r="C3830">
        <v>6</v>
      </c>
      <c r="D3830" t="s">
        <v>4073</v>
      </c>
      <c r="E3830" t="s">
        <v>4074</v>
      </c>
      <c r="F3830" t="s">
        <v>4075</v>
      </c>
    </row>
    <row r="3831" spans="1:6" x14ac:dyDescent="0.25">
      <c r="A3831">
        <v>3566</v>
      </c>
      <c r="B3831" t="s">
        <v>4072</v>
      </c>
      <c r="C3831">
        <v>19</v>
      </c>
      <c r="D3831" t="s">
        <v>4073</v>
      </c>
      <c r="E3831" t="s">
        <v>4074</v>
      </c>
      <c r="F3831" t="s">
        <v>4076</v>
      </c>
    </row>
    <row r="3832" spans="1:6" x14ac:dyDescent="0.25">
      <c r="A3832">
        <v>3566</v>
      </c>
      <c r="B3832" t="s">
        <v>4072</v>
      </c>
      <c r="C3832">
        <v>39</v>
      </c>
      <c r="D3832" t="s">
        <v>4073</v>
      </c>
      <c r="E3832" t="s">
        <v>4074</v>
      </c>
      <c r="F3832" t="s">
        <v>4079</v>
      </c>
    </row>
    <row r="3833" spans="1:6" x14ac:dyDescent="0.25">
      <c r="A3833">
        <v>3578</v>
      </c>
      <c r="B3833" t="s">
        <v>4092</v>
      </c>
      <c r="C3833">
        <v>33</v>
      </c>
      <c r="D3833" t="s">
        <v>4109</v>
      </c>
      <c r="E3833" t="s">
        <v>4110</v>
      </c>
      <c r="F3833" t="s">
        <v>4075</v>
      </c>
    </row>
    <row r="3834" spans="1:6" x14ac:dyDescent="0.25">
      <c r="A3834">
        <v>3578</v>
      </c>
      <c r="B3834" t="s">
        <v>4092</v>
      </c>
      <c r="C3834">
        <v>34</v>
      </c>
      <c r="D3834" t="s">
        <v>4109</v>
      </c>
      <c r="E3834" t="s">
        <v>4110</v>
      </c>
      <c r="F3834" t="s">
        <v>4076</v>
      </c>
    </row>
    <row r="3835" spans="1:6" x14ac:dyDescent="0.25">
      <c r="A3835">
        <v>3578</v>
      </c>
      <c r="B3835" t="s">
        <v>4092</v>
      </c>
      <c r="C3835">
        <v>51</v>
      </c>
      <c r="D3835" t="s">
        <v>4109</v>
      </c>
      <c r="E3835" t="s">
        <v>4111</v>
      </c>
      <c r="F3835" t="s">
        <v>4079</v>
      </c>
    </row>
    <row r="3836" spans="1:6" x14ac:dyDescent="0.25">
      <c r="A3836">
        <v>3581</v>
      </c>
      <c r="B3836" t="s">
        <v>4072</v>
      </c>
      <c r="C3836">
        <v>6</v>
      </c>
      <c r="D3836" t="s">
        <v>4073</v>
      </c>
      <c r="E3836" t="s">
        <v>4074</v>
      </c>
      <c r="F3836" t="s">
        <v>4075</v>
      </c>
    </row>
    <row r="3837" spans="1:6" x14ac:dyDescent="0.25">
      <c r="A3837">
        <v>3581</v>
      </c>
      <c r="B3837" t="s">
        <v>4072</v>
      </c>
      <c r="C3837">
        <v>19</v>
      </c>
      <c r="D3837" t="s">
        <v>4073</v>
      </c>
      <c r="E3837" t="s">
        <v>4074</v>
      </c>
      <c r="F3837" t="s">
        <v>4076</v>
      </c>
    </row>
    <row r="3838" spans="1:6" x14ac:dyDescent="0.25">
      <c r="A3838">
        <v>3582</v>
      </c>
      <c r="B3838" t="s">
        <v>4092</v>
      </c>
      <c r="C3838">
        <v>23</v>
      </c>
      <c r="D3838" t="s">
        <v>2757</v>
      </c>
      <c r="E3838" t="s">
        <v>4093</v>
      </c>
      <c r="F3838" t="s">
        <v>4075</v>
      </c>
    </row>
    <row r="3839" spans="1:6" x14ac:dyDescent="0.25">
      <c r="A3839">
        <v>3582</v>
      </c>
      <c r="B3839" t="s">
        <v>4092</v>
      </c>
      <c r="C3839">
        <v>28</v>
      </c>
      <c r="D3839" t="s">
        <v>2757</v>
      </c>
      <c r="E3839" t="s">
        <v>4093</v>
      </c>
      <c r="F3839" t="s">
        <v>4076</v>
      </c>
    </row>
    <row r="3840" spans="1:6" x14ac:dyDescent="0.25">
      <c r="A3840">
        <v>3583</v>
      </c>
      <c r="B3840" t="s">
        <v>4092</v>
      </c>
      <c r="C3840">
        <v>25</v>
      </c>
      <c r="D3840" t="s">
        <v>4102</v>
      </c>
      <c r="E3840" t="s">
        <v>4103</v>
      </c>
      <c r="F3840" t="s">
        <v>4075</v>
      </c>
    </row>
    <row r="3841" spans="1:6" x14ac:dyDescent="0.25">
      <c r="A3841">
        <v>3583</v>
      </c>
      <c r="B3841" t="s">
        <v>4092</v>
      </c>
      <c r="C3841">
        <v>30</v>
      </c>
      <c r="D3841" t="s">
        <v>4102</v>
      </c>
      <c r="E3841" t="s">
        <v>4103</v>
      </c>
      <c r="F3841" t="s">
        <v>4076</v>
      </c>
    </row>
    <row r="3842" spans="1:6" x14ac:dyDescent="0.25">
      <c r="A3842">
        <v>3589</v>
      </c>
      <c r="B3842" t="s">
        <v>4072</v>
      </c>
      <c r="C3842">
        <v>1</v>
      </c>
      <c r="D3842" t="s">
        <v>2761</v>
      </c>
      <c r="E3842" t="s">
        <v>4089</v>
      </c>
      <c r="F3842" t="s">
        <v>4075</v>
      </c>
    </row>
    <row r="3843" spans="1:6" x14ac:dyDescent="0.25">
      <c r="A3843">
        <v>3589</v>
      </c>
      <c r="B3843" t="s">
        <v>4072</v>
      </c>
      <c r="C3843">
        <v>2</v>
      </c>
      <c r="D3843" t="s">
        <v>4082</v>
      </c>
      <c r="E3843" t="s">
        <v>4083</v>
      </c>
      <c r="F3843" t="s">
        <v>4075</v>
      </c>
    </row>
    <row r="3844" spans="1:6" x14ac:dyDescent="0.25">
      <c r="A3844">
        <v>3589</v>
      </c>
      <c r="B3844" t="s">
        <v>4072</v>
      </c>
      <c r="C3844">
        <v>17</v>
      </c>
      <c r="D3844" t="s">
        <v>4082</v>
      </c>
      <c r="E3844" t="s">
        <v>4084</v>
      </c>
      <c r="F3844" t="s">
        <v>4076</v>
      </c>
    </row>
    <row r="3845" spans="1:6" x14ac:dyDescent="0.25">
      <c r="A3845">
        <v>3589</v>
      </c>
      <c r="B3845" t="s">
        <v>4072</v>
      </c>
      <c r="C3845">
        <v>38</v>
      </c>
      <c r="D3845" t="s">
        <v>2761</v>
      </c>
      <c r="E3845" t="s">
        <v>4089</v>
      </c>
      <c r="F3845" t="s">
        <v>4076</v>
      </c>
    </row>
    <row r="3846" spans="1:6" x14ac:dyDescent="0.25">
      <c r="A3846">
        <v>3589</v>
      </c>
      <c r="B3846" t="s">
        <v>4072</v>
      </c>
      <c r="C3846">
        <v>42</v>
      </c>
      <c r="D3846" t="s">
        <v>4082</v>
      </c>
      <c r="E3846" t="s">
        <v>4083</v>
      </c>
      <c r="F3846" t="s">
        <v>4079</v>
      </c>
    </row>
    <row r="3847" spans="1:6" x14ac:dyDescent="0.25">
      <c r="A3847">
        <v>3589</v>
      </c>
      <c r="B3847" t="s">
        <v>4072</v>
      </c>
      <c r="C3847">
        <v>43</v>
      </c>
      <c r="D3847" t="s">
        <v>2761</v>
      </c>
      <c r="E3847" t="s">
        <v>4089</v>
      </c>
      <c r="F3847" t="s">
        <v>4079</v>
      </c>
    </row>
    <row r="3848" spans="1:6" x14ac:dyDescent="0.25">
      <c r="A3848">
        <v>3590</v>
      </c>
      <c r="B3848" t="s">
        <v>4072</v>
      </c>
      <c r="C3848">
        <v>4</v>
      </c>
      <c r="D3848" t="s">
        <v>4077</v>
      </c>
      <c r="E3848" t="s">
        <v>4078</v>
      </c>
      <c r="F3848" t="s">
        <v>4075</v>
      </c>
    </row>
    <row r="3849" spans="1:6" x14ac:dyDescent="0.25">
      <c r="A3849">
        <v>3590</v>
      </c>
      <c r="B3849" t="s">
        <v>4072</v>
      </c>
      <c r="C3849">
        <v>5</v>
      </c>
      <c r="D3849" t="s">
        <v>4087</v>
      </c>
      <c r="E3849" t="s">
        <v>4088</v>
      </c>
      <c r="F3849" t="s">
        <v>4075</v>
      </c>
    </row>
    <row r="3850" spans="1:6" x14ac:dyDescent="0.25">
      <c r="A3850">
        <v>3590</v>
      </c>
      <c r="B3850" t="s">
        <v>4072</v>
      </c>
      <c r="C3850">
        <v>15</v>
      </c>
      <c r="D3850" t="s">
        <v>4080</v>
      </c>
      <c r="E3850" t="s">
        <v>4081</v>
      </c>
      <c r="F3850" t="s">
        <v>4076</v>
      </c>
    </row>
    <row r="3851" spans="1:6" x14ac:dyDescent="0.25">
      <c r="A3851">
        <v>3590</v>
      </c>
      <c r="B3851" t="s">
        <v>4072</v>
      </c>
      <c r="C3851">
        <v>16</v>
      </c>
      <c r="D3851" t="s">
        <v>4077</v>
      </c>
      <c r="E3851" t="s">
        <v>4078</v>
      </c>
      <c r="F3851" t="s">
        <v>4076</v>
      </c>
    </row>
    <row r="3852" spans="1:6" x14ac:dyDescent="0.25">
      <c r="A3852">
        <v>3590</v>
      </c>
      <c r="B3852" t="s">
        <v>4072</v>
      </c>
      <c r="C3852">
        <v>40</v>
      </c>
      <c r="D3852" t="s">
        <v>4080</v>
      </c>
      <c r="E3852" t="s">
        <v>4081</v>
      </c>
      <c r="F3852" t="s">
        <v>4079</v>
      </c>
    </row>
    <row r="3853" spans="1:6" x14ac:dyDescent="0.25">
      <c r="A3853">
        <v>3590</v>
      </c>
      <c r="B3853" t="s">
        <v>4072</v>
      </c>
      <c r="C3853">
        <v>44</v>
      </c>
      <c r="D3853" t="s">
        <v>4077</v>
      </c>
      <c r="E3853" t="s">
        <v>4078</v>
      </c>
      <c r="F3853" t="s">
        <v>4079</v>
      </c>
    </row>
    <row r="3854" spans="1:6" x14ac:dyDescent="0.25">
      <c r="A3854">
        <v>3591</v>
      </c>
      <c r="B3854" t="s">
        <v>4092</v>
      </c>
      <c r="C3854">
        <v>23</v>
      </c>
      <c r="D3854" t="s">
        <v>2757</v>
      </c>
      <c r="E3854" t="s">
        <v>4093</v>
      </c>
      <c r="F3854" t="s">
        <v>4075</v>
      </c>
    </row>
    <row r="3855" spans="1:6" x14ac:dyDescent="0.25">
      <c r="A3855">
        <v>3591</v>
      </c>
      <c r="B3855" t="s">
        <v>4092</v>
      </c>
      <c r="C3855">
        <v>28</v>
      </c>
      <c r="D3855" t="s">
        <v>2757</v>
      </c>
      <c r="E3855" t="s">
        <v>4093</v>
      </c>
      <c r="F3855" t="s">
        <v>4076</v>
      </c>
    </row>
    <row r="3856" spans="1:6" x14ac:dyDescent="0.25">
      <c r="A3856">
        <v>3591</v>
      </c>
      <c r="B3856" t="s">
        <v>4092</v>
      </c>
      <c r="C3856">
        <v>48</v>
      </c>
      <c r="D3856" t="s">
        <v>2757</v>
      </c>
      <c r="E3856" t="s">
        <v>4093</v>
      </c>
      <c r="F3856" t="s">
        <v>4079</v>
      </c>
    </row>
    <row r="3857" spans="1:6" x14ac:dyDescent="0.25">
      <c r="A3857">
        <v>3592</v>
      </c>
      <c r="B3857" t="s">
        <v>4072</v>
      </c>
      <c r="C3857">
        <v>6</v>
      </c>
      <c r="D3857" t="s">
        <v>4073</v>
      </c>
      <c r="E3857" t="s">
        <v>4074</v>
      </c>
      <c r="F3857" t="s">
        <v>4075</v>
      </c>
    </row>
    <row r="3858" spans="1:6" x14ac:dyDescent="0.25">
      <c r="A3858">
        <v>3592</v>
      </c>
      <c r="B3858" t="s">
        <v>4072</v>
      </c>
      <c r="C3858">
        <v>19</v>
      </c>
      <c r="D3858" t="s">
        <v>4073</v>
      </c>
      <c r="E3858" t="s">
        <v>4074</v>
      </c>
      <c r="F3858" t="s">
        <v>4076</v>
      </c>
    </row>
    <row r="3859" spans="1:6" x14ac:dyDescent="0.25">
      <c r="A3859">
        <v>3593</v>
      </c>
      <c r="B3859" t="s">
        <v>4072</v>
      </c>
      <c r="C3859">
        <v>2</v>
      </c>
      <c r="D3859" t="s">
        <v>4082</v>
      </c>
      <c r="E3859" t="s">
        <v>4083</v>
      </c>
      <c r="F3859" t="s">
        <v>4075</v>
      </c>
    </row>
    <row r="3860" spans="1:6" x14ac:dyDescent="0.25">
      <c r="A3860">
        <v>3593</v>
      </c>
      <c r="B3860" t="s">
        <v>4072</v>
      </c>
      <c r="C3860">
        <v>17</v>
      </c>
      <c r="D3860" t="s">
        <v>4082</v>
      </c>
      <c r="E3860" t="s">
        <v>4084</v>
      </c>
      <c r="F3860" t="s">
        <v>4076</v>
      </c>
    </row>
    <row r="3861" spans="1:6" x14ac:dyDescent="0.25">
      <c r="A3861">
        <v>3594</v>
      </c>
      <c r="B3861" t="s">
        <v>4072</v>
      </c>
      <c r="C3861">
        <v>1</v>
      </c>
      <c r="D3861" t="s">
        <v>2761</v>
      </c>
      <c r="E3861" t="s">
        <v>4089</v>
      </c>
      <c r="F3861" t="s">
        <v>4075</v>
      </c>
    </row>
    <row r="3862" spans="1:6" x14ac:dyDescent="0.25">
      <c r="A3862">
        <v>3594</v>
      </c>
      <c r="B3862" t="s">
        <v>4072</v>
      </c>
      <c r="C3862">
        <v>17</v>
      </c>
      <c r="D3862" t="s">
        <v>4082</v>
      </c>
      <c r="E3862" t="s">
        <v>4084</v>
      </c>
      <c r="F3862" t="s">
        <v>4076</v>
      </c>
    </row>
    <row r="3863" spans="1:6" x14ac:dyDescent="0.25">
      <c r="A3863">
        <v>3595</v>
      </c>
      <c r="B3863" t="s">
        <v>4072</v>
      </c>
      <c r="C3863">
        <v>3</v>
      </c>
      <c r="D3863" t="s">
        <v>4085</v>
      </c>
      <c r="E3863" t="s">
        <v>4086</v>
      </c>
      <c r="F3863" t="s">
        <v>4075</v>
      </c>
    </row>
    <row r="3864" spans="1:6" x14ac:dyDescent="0.25">
      <c r="A3864">
        <v>3595</v>
      </c>
      <c r="B3864" t="s">
        <v>4072</v>
      </c>
      <c r="C3864">
        <v>15</v>
      </c>
      <c r="D3864" t="s">
        <v>4080</v>
      </c>
      <c r="E3864" t="s">
        <v>4081</v>
      </c>
      <c r="F3864" t="s">
        <v>4076</v>
      </c>
    </row>
    <row r="3865" spans="1:6" x14ac:dyDescent="0.25">
      <c r="A3865">
        <v>3596</v>
      </c>
      <c r="B3865" t="s">
        <v>4072</v>
      </c>
      <c r="C3865">
        <v>5</v>
      </c>
      <c r="D3865" t="s">
        <v>4087</v>
      </c>
      <c r="E3865" t="s">
        <v>4088</v>
      </c>
      <c r="F3865" t="s">
        <v>4075</v>
      </c>
    </row>
    <row r="3866" spans="1:6" x14ac:dyDescent="0.25">
      <c r="A3866">
        <v>3596</v>
      </c>
      <c r="B3866" t="s">
        <v>4072</v>
      </c>
      <c r="C3866">
        <v>15</v>
      </c>
      <c r="D3866" t="s">
        <v>4080</v>
      </c>
      <c r="E3866" t="s">
        <v>4081</v>
      </c>
      <c r="F3866" t="s">
        <v>4076</v>
      </c>
    </row>
    <row r="3867" spans="1:6" x14ac:dyDescent="0.25">
      <c r="A3867">
        <v>3597</v>
      </c>
      <c r="B3867" t="s">
        <v>4072</v>
      </c>
      <c r="C3867">
        <v>13</v>
      </c>
      <c r="D3867" t="s">
        <v>4097</v>
      </c>
      <c r="E3867" t="s">
        <v>4098</v>
      </c>
      <c r="F3867" t="s">
        <v>4076</v>
      </c>
    </row>
    <row r="3868" spans="1:6" x14ac:dyDescent="0.25">
      <c r="A3868">
        <v>3598</v>
      </c>
      <c r="B3868" t="s">
        <v>4072</v>
      </c>
      <c r="C3868">
        <v>4</v>
      </c>
      <c r="D3868" t="s">
        <v>4077</v>
      </c>
      <c r="E3868" t="s">
        <v>4078</v>
      </c>
      <c r="F3868" t="s">
        <v>4075</v>
      </c>
    </row>
    <row r="3869" spans="1:6" x14ac:dyDescent="0.25">
      <c r="A3869">
        <v>3598</v>
      </c>
      <c r="B3869" t="s">
        <v>4072</v>
      </c>
      <c r="C3869">
        <v>16</v>
      </c>
      <c r="D3869" t="s">
        <v>4077</v>
      </c>
      <c r="E3869" t="s">
        <v>4078</v>
      </c>
      <c r="F3869" t="s">
        <v>4076</v>
      </c>
    </row>
    <row r="3870" spans="1:6" x14ac:dyDescent="0.25">
      <c r="A3870">
        <v>3599</v>
      </c>
      <c r="B3870" t="s">
        <v>4072</v>
      </c>
      <c r="C3870">
        <v>10</v>
      </c>
      <c r="D3870" t="s">
        <v>4095</v>
      </c>
      <c r="E3870" t="s">
        <v>4096</v>
      </c>
      <c r="F3870" t="s">
        <v>4075</v>
      </c>
    </row>
    <row r="3871" spans="1:6" x14ac:dyDescent="0.25">
      <c r="A3871">
        <v>3600</v>
      </c>
      <c r="B3871" t="s">
        <v>4092</v>
      </c>
      <c r="C3871">
        <v>23</v>
      </c>
      <c r="D3871" t="s">
        <v>2757</v>
      </c>
      <c r="E3871" t="s">
        <v>4093</v>
      </c>
      <c r="F3871" t="s">
        <v>4075</v>
      </c>
    </row>
    <row r="3872" spans="1:6" x14ac:dyDescent="0.25">
      <c r="A3872">
        <v>3600</v>
      </c>
      <c r="B3872" t="s">
        <v>4092</v>
      </c>
      <c r="C3872">
        <v>28</v>
      </c>
      <c r="D3872" t="s">
        <v>2757</v>
      </c>
      <c r="E3872" t="s">
        <v>4093</v>
      </c>
      <c r="F3872" t="s">
        <v>4076</v>
      </c>
    </row>
    <row r="3873" spans="1:6" x14ac:dyDescent="0.25">
      <c r="A3873">
        <v>3601</v>
      </c>
      <c r="B3873" t="s">
        <v>4072</v>
      </c>
      <c r="C3873">
        <v>2</v>
      </c>
      <c r="D3873" t="s">
        <v>4082</v>
      </c>
      <c r="E3873" t="s">
        <v>4083</v>
      </c>
      <c r="F3873" t="s">
        <v>4075</v>
      </c>
    </row>
    <row r="3874" spans="1:6" x14ac:dyDescent="0.25">
      <c r="A3874">
        <v>3601</v>
      </c>
      <c r="B3874" t="s">
        <v>4072</v>
      </c>
      <c r="C3874">
        <v>17</v>
      </c>
      <c r="D3874" t="s">
        <v>4082</v>
      </c>
      <c r="E3874" t="s">
        <v>4084</v>
      </c>
      <c r="F3874" t="s">
        <v>4076</v>
      </c>
    </row>
    <row r="3875" spans="1:6" x14ac:dyDescent="0.25">
      <c r="A3875">
        <v>3602</v>
      </c>
      <c r="B3875" t="s">
        <v>4072</v>
      </c>
      <c r="C3875">
        <v>2</v>
      </c>
      <c r="D3875" t="s">
        <v>4082</v>
      </c>
      <c r="E3875" t="s">
        <v>4083</v>
      </c>
      <c r="F3875" t="s">
        <v>4075</v>
      </c>
    </row>
    <row r="3876" spans="1:6" x14ac:dyDescent="0.25">
      <c r="A3876">
        <v>3602</v>
      </c>
      <c r="B3876" t="s">
        <v>4072</v>
      </c>
      <c r="C3876">
        <v>17</v>
      </c>
      <c r="D3876" t="s">
        <v>4082</v>
      </c>
      <c r="E3876" t="s">
        <v>4084</v>
      </c>
      <c r="F3876" t="s">
        <v>4076</v>
      </c>
    </row>
    <row r="3877" spans="1:6" x14ac:dyDescent="0.25">
      <c r="A3877">
        <v>3603</v>
      </c>
      <c r="B3877" t="s">
        <v>4072</v>
      </c>
      <c r="C3877">
        <v>1</v>
      </c>
      <c r="D3877" t="s">
        <v>2761</v>
      </c>
      <c r="E3877" t="s">
        <v>4089</v>
      </c>
      <c r="F3877" t="s">
        <v>4075</v>
      </c>
    </row>
    <row r="3878" spans="1:6" x14ac:dyDescent="0.25">
      <c r="A3878">
        <v>3603</v>
      </c>
      <c r="B3878" t="s">
        <v>4072</v>
      </c>
      <c r="C3878">
        <v>17</v>
      </c>
      <c r="D3878" t="s">
        <v>4082</v>
      </c>
      <c r="E3878" t="s">
        <v>4084</v>
      </c>
      <c r="F3878" t="s">
        <v>4076</v>
      </c>
    </row>
    <row r="3879" spans="1:6" x14ac:dyDescent="0.25">
      <c r="A3879">
        <v>3605</v>
      </c>
      <c r="B3879" t="s">
        <v>4072</v>
      </c>
      <c r="C3879">
        <v>5</v>
      </c>
      <c r="D3879" t="s">
        <v>4087</v>
      </c>
      <c r="E3879" t="s">
        <v>4088</v>
      </c>
      <c r="F3879" t="s">
        <v>4075</v>
      </c>
    </row>
    <row r="3880" spans="1:6" x14ac:dyDescent="0.25">
      <c r="A3880">
        <v>3605</v>
      </c>
      <c r="B3880" t="s">
        <v>4072</v>
      </c>
      <c r="C3880">
        <v>15</v>
      </c>
      <c r="D3880" t="s">
        <v>4080</v>
      </c>
      <c r="E3880" t="s">
        <v>4081</v>
      </c>
      <c r="F3880" t="s">
        <v>4076</v>
      </c>
    </row>
    <row r="3881" spans="1:6" x14ac:dyDescent="0.25">
      <c r="A3881">
        <v>3606</v>
      </c>
      <c r="B3881" t="s">
        <v>4072</v>
      </c>
      <c r="C3881">
        <v>4</v>
      </c>
      <c r="D3881" t="s">
        <v>4077</v>
      </c>
      <c r="E3881" t="s">
        <v>4078</v>
      </c>
      <c r="F3881" t="s">
        <v>4075</v>
      </c>
    </row>
    <row r="3882" spans="1:6" x14ac:dyDescent="0.25">
      <c r="A3882">
        <v>3606</v>
      </c>
      <c r="B3882" t="s">
        <v>4072</v>
      </c>
      <c r="C3882">
        <v>16</v>
      </c>
      <c r="D3882" t="s">
        <v>4077</v>
      </c>
      <c r="E3882" t="s">
        <v>4078</v>
      </c>
      <c r="F3882" t="s">
        <v>4076</v>
      </c>
    </row>
    <row r="3883" spans="1:6" x14ac:dyDescent="0.25">
      <c r="A3883">
        <v>3607</v>
      </c>
      <c r="B3883" t="s">
        <v>4072</v>
      </c>
      <c r="C3883">
        <v>6</v>
      </c>
      <c r="D3883" t="s">
        <v>4073</v>
      </c>
      <c r="E3883" t="s">
        <v>4074</v>
      </c>
      <c r="F3883" t="s">
        <v>4075</v>
      </c>
    </row>
    <row r="3884" spans="1:6" x14ac:dyDescent="0.25">
      <c r="A3884">
        <v>3607</v>
      </c>
      <c r="B3884" t="s">
        <v>4072</v>
      </c>
      <c r="C3884">
        <v>19</v>
      </c>
      <c r="D3884" t="s">
        <v>4073</v>
      </c>
      <c r="E3884" t="s">
        <v>4074</v>
      </c>
      <c r="F3884" t="s">
        <v>4076</v>
      </c>
    </row>
    <row r="3885" spans="1:6" x14ac:dyDescent="0.25">
      <c r="A3885">
        <v>3608</v>
      </c>
      <c r="B3885" t="s">
        <v>4092</v>
      </c>
      <c r="C3885">
        <v>22</v>
      </c>
      <c r="D3885" t="s">
        <v>4104</v>
      </c>
      <c r="E3885" t="s">
        <v>4105</v>
      </c>
      <c r="F3885" t="s">
        <v>4075</v>
      </c>
    </row>
    <row r="3886" spans="1:6" x14ac:dyDescent="0.25">
      <c r="A3886">
        <v>3609</v>
      </c>
      <c r="B3886" t="s">
        <v>4072</v>
      </c>
      <c r="C3886">
        <v>19</v>
      </c>
      <c r="D3886" t="s">
        <v>4073</v>
      </c>
      <c r="E3886" t="s">
        <v>4074</v>
      </c>
      <c r="F3886" t="s">
        <v>4076</v>
      </c>
    </row>
    <row r="3887" spans="1:6" x14ac:dyDescent="0.25">
      <c r="A3887">
        <v>3609</v>
      </c>
      <c r="B3887" t="s">
        <v>4072</v>
      </c>
      <c r="C3887">
        <v>39</v>
      </c>
      <c r="D3887" t="s">
        <v>4073</v>
      </c>
      <c r="E3887" t="s">
        <v>4074</v>
      </c>
      <c r="F3887" t="s">
        <v>4079</v>
      </c>
    </row>
    <row r="3888" spans="1:6" x14ac:dyDescent="0.25">
      <c r="A3888">
        <v>3610</v>
      </c>
      <c r="B3888" t="s">
        <v>4072</v>
      </c>
      <c r="C3888">
        <v>6</v>
      </c>
      <c r="D3888" t="s">
        <v>4073</v>
      </c>
      <c r="E3888" t="s">
        <v>4074</v>
      </c>
      <c r="F3888" t="s">
        <v>4075</v>
      </c>
    </row>
    <row r="3889" spans="1:6" x14ac:dyDescent="0.25">
      <c r="A3889">
        <v>3612</v>
      </c>
      <c r="B3889" t="s">
        <v>4072</v>
      </c>
      <c r="C3889">
        <v>19</v>
      </c>
      <c r="D3889" t="s">
        <v>4073</v>
      </c>
      <c r="E3889" t="s">
        <v>4074</v>
      </c>
      <c r="F3889" t="s">
        <v>4076</v>
      </c>
    </row>
    <row r="3890" spans="1:6" x14ac:dyDescent="0.25">
      <c r="A3890">
        <v>3613</v>
      </c>
      <c r="B3890" t="s">
        <v>4072</v>
      </c>
      <c r="C3890">
        <v>6</v>
      </c>
      <c r="D3890" t="s">
        <v>4073</v>
      </c>
      <c r="E3890" t="s">
        <v>4074</v>
      </c>
      <c r="F3890" t="s">
        <v>4075</v>
      </c>
    </row>
    <row r="3891" spans="1:6" x14ac:dyDescent="0.25">
      <c r="A3891">
        <v>3613</v>
      </c>
      <c r="B3891" t="s">
        <v>4072</v>
      </c>
      <c r="C3891">
        <v>19</v>
      </c>
      <c r="D3891" t="s">
        <v>4073</v>
      </c>
      <c r="E3891" t="s">
        <v>4074</v>
      </c>
      <c r="F3891" t="s">
        <v>4076</v>
      </c>
    </row>
    <row r="3892" spans="1:6" x14ac:dyDescent="0.25">
      <c r="A3892">
        <v>3615</v>
      </c>
      <c r="B3892" t="s">
        <v>4072</v>
      </c>
      <c r="C3892">
        <v>5</v>
      </c>
      <c r="D3892" t="s">
        <v>4087</v>
      </c>
      <c r="E3892" t="s">
        <v>4088</v>
      </c>
      <c r="F3892" t="s">
        <v>4075</v>
      </c>
    </row>
    <row r="3893" spans="1:6" x14ac:dyDescent="0.25">
      <c r="A3893">
        <v>3615</v>
      </c>
      <c r="B3893" t="s">
        <v>4072</v>
      </c>
      <c r="C3893">
        <v>15</v>
      </c>
      <c r="D3893" t="s">
        <v>4080</v>
      </c>
      <c r="E3893" t="s">
        <v>4081</v>
      </c>
      <c r="F3893" t="s">
        <v>4076</v>
      </c>
    </row>
    <row r="3894" spans="1:6" x14ac:dyDescent="0.25">
      <c r="A3894">
        <v>3615</v>
      </c>
      <c r="B3894" t="s">
        <v>4072</v>
      </c>
      <c r="C3894">
        <v>40</v>
      </c>
      <c r="D3894" t="s">
        <v>4080</v>
      </c>
      <c r="E3894" t="s">
        <v>4081</v>
      </c>
      <c r="F3894" t="s">
        <v>4079</v>
      </c>
    </row>
    <row r="3895" spans="1:6" x14ac:dyDescent="0.25">
      <c r="A3895">
        <v>3616</v>
      </c>
      <c r="B3895" t="s">
        <v>4072</v>
      </c>
      <c r="C3895">
        <v>5</v>
      </c>
      <c r="D3895" t="s">
        <v>4087</v>
      </c>
      <c r="E3895" t="s">
        <v>4088</v>
      </c>
      <c r="F3895" t="s">
        <v>4075</v>
      </c>
    </row>
    <row r="3896" spans="1:6" x14ac:dyDescent="0.25">
      <c r="A3896">
        <v>3616</v>
      </c>
      <c r="B3896" t="s">
        <v>4072</v>
      </c>
      <c r="C3896">
        <v>15</v>
      </c>
      <c r="D3896" t="s">
        <v>4080</v>
      </c>
      <c r="E3896" t="s">
        <v>4081</v>
      </c>
      <c r="F3896" t="s">
        <v>4076</v>
      </c>
    </row>
    <row r="3897" spans="1:6" x14ac:dyDescent="0.25">
      <c r="A3897">
        <v>3616</v>
      </c>
      <c r="B3897" t="s">
        <v>4072</v>
      </c>
      <c r="C3897">
        <v>40</v>
      </c>
      <c r="D3897" t="s">
        <v>4080</v>
      </c>
      <c r="E3897" t="s">
        <v>4081</v>
      </c>
      <c r="F3897" t="s">
        <v>4079</v>
      </c>
    </row>
    <row r="3898" spans="1:6" x14ac:dyDescent="0.25">
      <c r="A3898">
        <v>3617</v>
      </c>
      <c r="B3898" t="s">
        <v>4072</v>
      </c>
      <c r="C3898">
        <v>5</v>
      </c>
      <c r="D3898" t="s">
        <v>4087</v>
      </c>
      <c r="E3898" t="s">
        <v>4088</v>
      </c>
      <c r="F3898" t="s">
        <v>4075</v>
      </c>
    </row>
    <row r="3899" spans="1:6" x14ac:dyDescent="0.25">
      <c r="A3899">
        <v>3617</v>
      </c>
      <c r="B3899" t="s">
        <v>4072</v>
      </c>
      <c r="C3899">
        <v>15</v>
      </c>
      <c r="D3899" t="s">
        <v>4080</v>
      </c>
      <c r="E3899" t="s">
        <v>4081</v>
      </c>
      <c r="F3899" t="s">
        <v>4076</v>
      </c>
    </row>
    <row r="3900" spans="1:6" x14ac:dyDescent="0.25">
      <c r="A3900">
        <v>3617</v>
      </c>
      <c r="B3900" t="s">
        <v>4072</v>
      </c>
      <c r="C3900">
        <v>40</v>
      </c>
      <c r="D3900" t="s">
        <v>4080</v>
      </c>
      <c r="E3900" t="s">
        <v>4081</v>
      </c>
      <c r="F3900" t="s">
        <v>4079</v>
      </c>
    </row>
    <row r="3901" spans="1:6" x14ac:dyDescent="0.25">
      <c r="A3901">
        <v>3618</v>
      </c>
      <c r="B3901" t="s">
        <v>4072</v>
      </c>
      <c r="C3901">
        <v>5</v>
      </c>
      <c r="D3901" t="s">
        <v>4087</v>
      </c>
      <c r="E3901" t="s">
        <v>4088</v>
      </c>
      <c r="F3901" t="s">
        <v>4075</v>
      </c>
    </row>
    <row r="3902" spans="1:6" x14ac:dyDescent="0.25">
      <c r="A3902">
        <v>3618</v>
      </c>
      <c r="B3902" t="s">
        <v>4072</v>
      </c>
      <c r="C3902">
        <v>15</v>
      </c>
      <c r="D3902" t="s">
        <v>4080</v>
      </c>
      <c r="E3902" t="s">
        <v>4081</v>
      </c>
      <c r="F3902" t="s">
        <v>4076</v>
      </c>
    </row>
    <row r="3903" spans="1:6" x14ac:dyDescent="0.25">
      <c r="A3903">
        <v>3618</v>
      </c>
      <c r="B3903" t="s">
        <v>4072</v>
      </c>
      <c r="C3903">
        <v>40</v>
      </c>
      <c r="D3903" t="s">
        <v>4080</v>
      </c>
      <c r="E3903" t="s">
        <v>4081</v>
      </c>
      <c r="F3903" t="s">
        <v>4079</v>
      </c>
    </row>
    <row r="3904" spans="1:6" x14ac:dyDescent="0.25">
      <c r="A3904">
        <v>3620</v>
      </c>
      <c r="B3904" t="s">
        <v>4072</v>
      </c>
      <c r="C3904">
        <v>5</v>
      </c>
      <c r="D3904" t="s">
        <v>4087</v>
      </c>
      <c r="E3904" t="s">
        <v>4088</v>
      </c>
      <c r="F3904" t="s">
        <v>4075</v>
      </c>
    </row>
    <row r="3905" spans="1:6" x14ac:dyDescent="0.25">
      <c r="A3905">
        <v>3620</v>
      </c>
      <c r="B3905" t="s">
        <v>4072</v>
      </c>
      <c r="C3905">
        <v>15</v>
      </c>
      <c r="D3905" t="s">
        <v>4080</v>
      </c>
      <c r="E3905" t="s">
        <v>4081</v>
      </c>
      <c r="F3905" t="s">
        <v>4076</v>
      </c>
    </row>
    <row r="3906" spans="1:6" x14ac:dyDescent="0.25">
      <c r="A3906">
        <v>3620</v>
      </c>
      <c r="B3906" t="s">
        <v>4072</v>
      </c>
      <c r="C3906">
        <v>40</v>
      </c>
      <c r="D3906" t="s">
        <v>4080</v>
      </c>
      <c r="E3906" t="s">
        <v>4081</v>
      </c>
      <c r="F3906" t="s">
        <v>4079</v>
      </c>
    </row>
    <row r="3907" spans="1:6" x14ac:dyDescent="0.25">
      <c r="A3907">
        <v>3621</v>
      </c>
      <c r="B3907" t="s">
        <v>4072</v>
      </c>
      <c r="C3907">
        <v>14</v>
      </c>
      <c r="D3907" t="s">
        <v>4090</v>
      </c>
      <c r="E3907" t="s">
        <v>4091</v>
      </c>
      <c r="F3907" t="s">
        <v>4076</v>
      </c>
    </row>
    <row r="3908" spans="1:6" x14ac:dyDescent="0.25">
      <c r="A3908">
        <v>3621</v>
      </c>
      <c r="B3908" t="s">
        <v>4072</v>
      </c>
      <c r="C3908">
        <v>37</v>
      </c>
      <c r="D3908" t="s">
        <v>2398</v>
      </c>
      <c r="E3908" t="s">
        <v>4101</v>
      </c>
      <c r="F3908" t="s">
        <v>4075</v>
      </c>
    </row>
    <row r="3909" spans="1:6" x14ac:dyDescent="0.25">
      <c r="A3909">
        <v>3621</v>
      </c>
      <c r="B3909" t="s">
        <v>4072</v>
      </c>
      <c r="C3909">
        <v>41</v>
      </c>
      <c r="D3909" t="s">
        <v>4090</v>
      </c>
      <c r="E3909" t="s">
        <v>4091</v>
      </c>
      <c r="F3909" t="s">
        <v>4079</v>
      </c>
    </row>
    <row r="3910" spans="1:6" x14ac:dyDescent="0.25">
      <c r="A3910">
        <v>3622</v>
      </c>
      <c r="B3910" t="s">
        <v>4072</v>
      </c>
      <c r="C3910">
        <v>5</v>
      </c>
      <c r="D3910" t="s">
        <v>4087</v>
      </c>
      <c r="E3910" t="s">
        <v>4088</v>
      </c>
      <c r="F3910" t="s">
        <v>4075</v>
      </c>
    </row>
    <row r="3911" spans="1:6" x14ac:dyDescent="0.25">
      <c r="A3911">
        <v>3622</v>
      </c>
      <c r="B3911" t="s">
        <v>4072</v>
      </c>
      <c r="C3911">
        <v>15</v>
      </c>
      <c r="D3911" t="s">
        <v>4080</v>
      </c>
      <c r="E3911" t="s">
        <v>4081</v>
      </c>
      <c r="F3911" t="s">
        <v>4076</v>
      </c>
    </row>
    <row r="3912" spans="1:6" x14ac:dyDescent="0.25">
      <c r="A3912">
        <v>3622</v>
      </c>
      <c r="B3912" t="s">
        <v>4072</v>
      </c>
      <c r="C3912">
        <v>40</v>
      </c>
      <c r="D3912" t="s">
        <v>4080</v>
      </c>
      <c r="E3912" t="s">
        <v>4081</v>
      </c>
      <c r="F3912" t="s">
        <v>4079</v>
      </c>
    </row>
    <row r="3913" spans="1:6" x14ac:dyDescent="0.25">
      <c r="A3913">
        <v>3623</v>
      </c>
      <c r="B3913" t="s">
        <v>4072</v>
      </c>
      <c r="C3913">
        <v>5</v>
      </c>
      <c r="D3913" t="s">
        <v>4087</v>
      </c>
      <c r="E3913" t="s">
        <v>4088</v>
      </c>
      <c r="F3913" t="s">
        <v>4075</v>
      </c>
    </row>
    <row r="3914" spans="1:6" x14ac:dyDescent="0.25">
      <c r="A3914">
        <v>3623</v>
      </c>
      <c r="B3914" t="s">
        <v>4072</v>
      </c>
      <c r="C3914">
        <v>15</v>
      </c>
      <c r="D3914" t="s">
        <v>4080</v>
      </c>
      <c r="E3914" t="s">
        <v>4081</v>
      </c>
      <c r="F3914" t="s">
        <v>4076</v>
      </c>
    </row>
    <row r="3915" spans="1:6" x14ac:dyDescent="0.25">
      <c r="A3915">
        <v>3623</v>
      </c>
      <c r="B3915" t="s">
        <v>4072</v>
      </c>
      <c r="C3915">
        <v>40</v>
      </c>
      <c r="D3915" t="s">
        <v>4080</v>
      </c>
      <c r="E3915" t="s">
        <v>4081</v>
      </c>
      <c r="F3915" t="s">
        <v>4079</v>
      </c>
    </row>
    <row r="3916" spans="1:6" x14ac:dyDescent="0.25">
      <c r="A3916">
        <v>3624</v>
      </c>
      <c r="B3916" t="s">
        <v>4072</v>
      </c>
      <c r="C3916">
        <v>5</v>
      </c>
      <c r="D3916" t="s">
        <v>4087</v>
      </c>
      <c r="E3916" t="s">
        <v>4088</v>
      </c>
      <c r="F3916" t="s">
        <v>4075</v>
      </c>
    </row>
    <row r="3917" spans="1:6" x14ac:dyDescent="0.25">
      <c r="A3917">
        <v>3624</v>
      </c>
      <c r="B3917" t="s">
        <v>4072</v>
      </c>
      <c r="C3917">
        <v>15</v>
      </c>
      <c r="D3917" t="s">
        <v>4080</v>
      </c>
      <c r="E3917" t="s">
        <v>4081</v>
      </c>
      <c r="F3917" t="s">
        <v>4076</v>
      </c>
    </row>
    <row r="3918" spans="1:6" x14ac:dyDescent="0.25">
      <c r="A3918">
        <v>3624</v>
      </c>
      <c r="B3918" t="s">
        <v>4072</v>
      </c>
      <c r="C3918">
        <v>40</v>
      </c>
      <c r="D3918" t="s">
        <v>4080</v>
      </c>
      <c r="E3918" t="s">
        <v>4081</v>
      </c>
      <c r="F3918" t="s">
        <v>4079</v>
      </c>
    </row>
    <row r="3919" spans="1:6" x14ac:dyDescent="0.25">
      <c r="A3919">
        <v>3625</v>
      </c>
      <c r="B3919" t="s">
        <v>4072</v>
      </c>
      <c r="C3919">
        <v>2</v>
      </c>
      <c r="D3919" t="s">
        <v>4082</v>
      </c>
      <c r="E3919" t="s">
        <v>4083</v>
      </c>
      <c r="F3919" t="s">
        <v>4075</v>
      </c>
    </row>
    <row r="3920" spans="1:6" x14ac:dyDescent="0.25">
      <c r="A3920">
        <v>3625</v>
      </c>
      <c r="B3920" t="s">
        <v>4072</v>
      </c>
      <c r="C3920">
        <v>17</v>
      </c>
      <c r="D3920" t="s">
        <v>4082</v>
      </c>
      <c r="E3920" t="s">
        <v>4084</v>
      </c>
      <c r="F3920" t="s">
        <v>4076</v>
      </c>
    </row>
    <row r="3921" spans="1:6" x14ac:dyDescent="0.25">
      <c r="A3921">
        <v>3625</v>
      </c>
      <c r="B3921" t="s">
        <v>4072</v>
      </c>
      <c r="C3921">
        <v>42</v>
      </c>
      <c r="D3921" t="s">
        <v>4082</v>
      </c>
      <c r="E3921" t="s">
        <v>4083</v>
      </c>
      <c r="F3921" t="s">
        <v>4079</v>
      </c>
    </row>
    <row r="3922" spans="1:6" x14ac:dyDescent="0.25">
      <c r="A3922">
        <v>3626</v>
      </c>
      <c r="B3922" t="s">
        <v>4072</v>
      </c>
      <c r="C3922">
        <v>19</v>
      </c>
      <c r="D3922" t="s">
        <v>4073</v>
      </c>
      <c r="E3922" t="s">
        <v>4074</v>
      </c>
      <c r="F3922" t="s">
        <v>4076</v>
      </c>
    </row>
    <row r="3923" spans="1:6" x14ac:dyDescent="0.25">
      <c r="A3923">
        <v>3626</v>
      </c>
      <c r="B3923" t="s">
        <v>4072</v>
      </c>
      <c r="C3923">
        <v>39</v>
      </c>
      <c r="D3923" t="s">
        <v>4073</v>
      </c>
      <c r="E3923" t="s">
        <v>4074</v>
      </c>
      <c r="F3923" t="s">
        <v>4079</v>
      </c>
    </row>
    <row r="3924" spans="1:6" x14ac:dyDescent="0.25">
      <c r="A3924">
        <v>3628</v>
      </c>
      <c r="B3924" t="s">
        <v>4072</v>
      </c>
      <c r="C3924">
        <v>5</v>
      </c>
      <c r="D3924" t="s">
        <v>4087</v>
      </c>
      <c r="E3924" t="s">
        <v>4088</v>
      </c>
      <c r="F3924" t="s">
        <v>4075</v>
      </c>
    </row>
    <row r="3925" spans="1:6" x14ac:dyDescent="0.25">
      <c r="A3925">
        <v>3628</v>
      </c>
      <c r="B3925" t="s">
        <v>4072</v>
      </c>
      <c r="C3925">
        <v>15</v>
      </c>
      <c r="D3925" t="s">
        <v>4080</v>
      </c>
      <c r="E3925" t="s">
        <v>4081</v>
      </c>
      <c r="F3925" t="s">
        <v>4076</v>
      </c>
    </row>
    <row r="3926" spans="1:6" x14ac:dyDescent="0.25">
      <c r="A3926">
        <v>3628</v>
      </c>
      <c r="B3926" t="s">
        <v>4072</v>
      </c>
      <c r="C3926">
        <v>40</v>
      </c>
      <c r="D3926" t="s">
        <v>4080</v>
      </c>
      <c r="E3926" t="s">
        <v>4081</v>
      </c>
      <c r="F3926" t="s">
        <v>4079</v>
      </c>
    </row>
    <row r="3927" spans="1:6" x14ac:dyDescent="0.25">
      <c r="A3927">
        <v>3629</v>
      </c>
      <c r="B3927" t="s">
        <v>4072</v>
      </c>
      <c r="C3927">
        <v>5</v>
      </c>
      <c r="D3927" t="s">
        <v>4087</v>
      </c>
      <c r="E3927" t="s">
        <v>4088</v>
      </c>
      <c r="F3927" t="s">
        <v>4075</v>
      </c>
    </row>
    <row r="3928" spans="1:6" x14ac:dyDescent="0.25">
      <c r="A3928">
        <v>3629</v>
      </c>
      <c r="B3928" t="s">
        <v>4072</v>
      </c>
      <c r="C3928">
        <v>15</v>
      </c>
      <c r="D3928" t="s">
        <v>4080</v>
      </c>
      <c r="E3928" t="s">
        <v>4081</v>
      </c>
      <c r="F3928" t="s">
        <v>4076</v>
      </c>
    </row>
    <row r="3929" spans="1:6" x14ac:dyDescent="0.25">
      <c r="A3929">
        <v>3629</v>
      </c>
      <c r="B3929" t="s">
        <v>4072</v>
      </c>
      <c r="C3929">
        <v>40</v>
      </c>
      <c r="D3929" t="s">
        <v>4080</v>
      </c>
      <c r="E3929" t="s">
        <v>4081</v>
      </c>
      <c r="F3929" t="s">
        <v>4079</v>
      </c>
    </row>
    <row r="3930" spans="1:6" x14ac:dyDescent="0.25">
      <c r="A3930">
        <v>3630</v>
      </c>
      <c r="B3930" t="s">
        <v>4072</v>
      </c>
      <c r="C3930">
        <v>5</v>
      </c>
      <c r="D3930" t="s">
        <v>4087</v>
      </c>
      <c r="E3930" t="s">
        <v>4088</v>
      </c>
      <c r="F3930" t="s">
        <v>4075</v>
      </c>
    </row>
    <row r="3931" spans="1:6" x14ac:dyDescent="0.25">
      <c r="A3931">
        <v>3630</v>
      </c>
      <c r="B3931" t="s">
        <v>4072</v>
      </c>
      <c r="C3931">
        <v>15</v>
      </c>
      <c r="D3931" t="s">
        <v>4080</v>
      </c>
      <c r="E3931" t="s">
        <v>4081</v>
      </c>
      <c r="F3931" t="s">
        <v>4076</v>
      </c>
    </row>
    <row r="3932" spans="1:6" x14ac:dyDescent="0.25">
      <c r="A3932">
        <v>3630</v>
      </c>
      <c r="B3932" t="s">
        <v>4072</v>
      </c>
      <c r="C3932">
        <v>40</v>
      </c>
      <c r="D3932" t="s">
        <v>4080</v>
      </c>
      <c r="E3932" t="s">
        <v>4081</v>
      </c>
      <c r="F3932" t="s">
        <v>4079</v>
      </c>
    </row>
    <row r="3933" spans="1:6" x14ac:dyDescent="0.25">
      <c r="A3933">
        <v>3631</v>
      </c>
      <c r="B3933" t="s">
        <v>4072</v>
      </c>
      <c r="C3933">
        <v>1</v>
      </c>
      <c r="D3933" t="s">
        <v>2761</v>
      </c>
      <c r="E3933" t="s">
        <v>4089</v>
      </c>
      <c r="F3933" t="s">
        <v>4075</v>
      </c>
    </row>
    <row r="3934" spans="1:6" x14ac:dyDescent="0.25">
      <c r="A3934">
        <v>3631</v>
      </c>
      <c r="B3934" t="s">
        <v>4072</v>
      </c>
      <c r="C3934">
        <v>38</v>
      </c>
      <c r="D3934" t="s">
        <v>2761</v>
      </c>
      <c r="E3934" t="s">
        <v>4089</v>
      </c>
      <c r="F3934" t="s">
        <v>4076</v>
      </c>
    </row>
    <row r="3935" spans="1:6" x14ac:dyDescent="0.25">
      <c r="A3935">
        <v>3631</v>
      </c>
      <c r="B3935" t="s">
        <v>4072</v>
      </c>
      <c r="C3935">
        <v>43</v>
      </c>
      <c r="D3935" t="s">
        <v>2761</v>
      </c>
      <c r="E3935" t="s">
        <v>4089</v>
      </c>
      <c r="F3935" t="s">
        <v>4079</v>
      </c>
    </row>
    <row r="3936" spans="1:6" x14ac:dyDescent="0.25">
      <c r="A3936">
        <v>3632</v>
      </c>
      <c r="B3936" t="s">
        <v>4072</v>
      </c>
      <c r="C3936">
        <v>10</v>
      </c>
      <c r="D3936" t="s">
        <v>4095</v>
      </c>
      <c r="E3936" t="s">
        <v>4096</v>
      </c>
      <c r="F3936" t="s">
        <v>4075</v>
      </c>
    </row>
    <row r="3937" spans="1:6" x14ac:dyDescent="0.25">
      <c r="A3937">
        <v>3633</v>
      </c>
      <c r="B3937" t="s">
        <v>4072</v>
      </c>
      <c r="C3937">
        <v>2</v>
      </c>
      <c r="D3937" t="s">
        <v>4082</v>
      </c>
      <c r="E3937" t="s">
        <v>4083</v>
      </c>
      <c r="F3937" t="s">
        <v>4075</v>
      </c>
    </row>
    <row r="3938" spans="1:6" x14ac:dyDescent="0.25">
      <c r="A3938">
        <v>3633</v>
      </c>
      <c r="B3938" t="s">
        <v>4072</v>
      </c>
      <c r="C3938">
        <v>17</v>
      </c>
      <c r="D3938" t="s">
        <v>4082</v>
      </c>
      <c r="E3938" t="s">
        <v>4084</v>
      </c>
      <c r="F3938" t="s">
        <v>4076</v>
      </c>
    </row>
    <row r="3939" spans="1:6" x14ac:dyDescent="0.25">
      <c r="A3939">
        <v>3634</v>
      </c>
      <c r="B3939" t="s">
        <v>4092</v>
      </c>
      <c r="C3939">
        <v>24</v>
      </c>
      <c r="D3939" t="s">
        <v>2760</v>
      </c>
      <c r="E3939" t="s">
        <v>4108</v>
      </c>
      <c r="F3939" t="s">
        <v>4075</v>
      </c>
    </row>
    <row r="3940" spans="1:6" x14ac:dyDescent="0.25">
      <c r="A3940">
        <v>3634</v>
      </c>
      <c r="B3940" t="s">
        <v>4092</v>
      </c>
      <c r="C3940">
        <v>29</v>
      </c>
      <c r="D3940" t="s">
        <v>2760</v>
      </c>
      <c r="E3940" t="s">
        <v>4108</v>
      </c>
      <c r="F3940" t="s">
        <v>4076</v>
      </c>
    </row>
    <row r="3941" spans="1:6" x14ac:dyDescent="0.25">
      <c r="A3941">
        <v>3635</v>
      </c>
      <c r="B3941" t="s">
        <v>4072</v>
      </c>
      <c r="C3941">
        <v>5</v>
      </c>
      <c r="D3941" t="s">
        <v>4087</v>
      </c>
      <c r="E3941" t="s">
        <v>4088</v>
      </c>
      <c r="F3941" t="s">
        <v>4075</v>
      </c>
    </row>
    <row r="3942" spans="1:6" x14ac:dyDescent="0.25">
      <c r="A3942">
        <v>3635</v>
      </c>
      <c r="B3942" t="s">
        <v>4072</v>
      </c>
      <c r="C3942">
        <v>15</v>
      </c>
      <c r="D3942" t="s">
        <v>4080</v>
      </c>
      <c r="E3942" t="s">
        <v>4081</v>
      </c>
      <c r="F3942" t="s">
        <v>4076</v>
      </c>
    </row>
    <row r="3943" spans="1:6" x14ac:dyDescent="0.25">
      <c r="A3943">
        <v>3636</v>
      </c>
      <c r="B3943" t="s">
        <v>4072</v>
      </c>
      <c r="C3943">
        <v>3</v>
      </c>
      <c r="D3943" t="s">
        <v>4085</v>
      </c>
      <c r="E3943" t="s">
        <v>4086</v>
      </c>
      <c r="F3943" t="s">
        <v>4075</v>
      </c>
    </row>
    <row r="3944" spans="1:6" x14ac:dyDescent="0.25">
      <c r="A3944">
        <v>3636</v>
      </c>
      <c r="B3944" t="s">
        <v>4072</v>
      </c>
      <c r="C3944">
        <v>15</v>
      </c>
      <c r="D3944" t="s">
        <v>4080</v>
      </c>
      <c r="E3944" t="s">
        <v>4081</v>
      </c>
      <c r="F3944" t="s">
        <v>4076</v>
      </c>
    </row>
    <row r="3945" spans="1:6" x14ac:dyDescent="0.25">
      <c r="A3945">
        <v>3637</v>
      </c>
      <c r="B3945" t="s">
        <v>4072</v>
      </c>
      <c r="C3945">
        <v>4</v>
      </c>
      <c r="D3945" t="s">
        <v>4077</v>
      </c>
      <c r="E3945" t="s">
        <v>4078</v>
      </c>
      <c r="F3945" t="s">
        <v>4075</v>
      </c>
    </row>
    <row r="3946" spans="1:6" x14ac:dyDescent="0.25">
      <c r="A3946">
        <v>3637</v>
      </c>
      <c r="B3946" t="s">
        <v>4072</v>
      </c>
      <c r="C3946">
        <v>16</v>
      </c>
      <c r="D3946" t="s">
        <v>4077</v>
      </c>
      <c r="E3946" t="s">
        <v>4078</v>
      </c>
      <c r="F3946" t="s">
        <v>4076</v>
      </c>
    </row>
    <row r="3947" spans="1:6" x14ac:dyDescent="0.25">
      <c r="A3947">
        <v>3638</v>
      </c>
      <c r="B3947" t="s">
        <v>4092</v>
      </c>
      <c r="C3947">
        <v>23</v>
      </c>
      <c r="D3947" t="s">
        <v>2757</v>
      </c>
      <c r="E3947" t="s">
        <v>4093</v>
      </c>
      <c r="F3947" t="s">
        <v>4075</v>
      </c>
    </row>
    <row r="3948" spans="1:6" x14ac:dyDescent="0.25">
      <c r="A3948">
        <v>3638</v>
      </c>
      <c r="B3948" t="s">
        <v>4092</v>
      </c>
      <c r="C3948">
        <v>33</v>
      </c>
      <c r="D3948" t="s">
        <v>4109</v>
      </c>
      <c r="E3948" t="s">
        <v>4110</v>
      </c>
      <c r="F3948" t="s">
        <v>4075</v>
      </c>
    </row>
    <row r="3949" spans="1:6" x14ac:dyDescent="0.25">
      <c r="A3949">
        <v>3639</v>
      </c>
      <c r="B3949" t="s">
        <v>4092</v>
      </c>
      <c r="C3949">
        <v>33</v>
      </c>
      <c r="D3949" t="s">
        <v>4109</v>
      </c>
      <c r="E3949" t="s">
        <v>4110</v>
      </c>
      <c r="F3949" t="s">
        <v>4075</v>
      </c>
    </row>
    <row r="3950" spans="1:6" x14ac:dyDescent="0.25">
      <c r="A3950">
        <v>3639</v>
      </c>
      <c r="B3950" t="s">
        <v>4092</v>
      </c>
      <c r="C3950">
        <v>34</v>
      </c>
      <c r="D3950" t="s">
        <v>4109</v>
      </c>
      <c r="E3950" t="s">
        <v>4110</v>
      </c>
      <c r="F3950" t="s">
        <v>4076</v>
      </c>
    </row>
    <row r="3951" spans="1:6" x14ac:dyDescent="0.25">
      <c r="A3951">
        <v>3640</v>
      </c>
      <c r="B3951" t="s">
        <v>4092</v>
      </c>
      <c r="C3951">
        <v>23</v>
      </c>
      <c r="D3951" t="s">
        <v>2757</v>
      </c>
      <c r="E3951" t="s">
        <v>4093</v>
      </c>
      <c r="F3951" t="s">
        <v>4075</v>
      </c>
    </row>
    <row r="3952" spans="1:6" x14ac:dyDescent="0.25">
      <c r="A3952">
        <v>3642</v>
      </c>
      <c r="B3952" t="s">
        <v>4072</v>
      </c>
      <c r="C3952">
        <v>5</v>
      </c>
      <c r="D3952" t="s">
        <v>4087</v>
      </c>
      <c r="E3952" t="s">
        <v>4088</v>
      </c>
      <c r="F3952" t="s">
        <v>4075</v>
      </c>
    </row>
    <row r="3953" spans="1:6" x14ac:dyDescent="0.25">
      <c r="A3953">
        <v>3642</v>
      </c>
      <c r="B3953" t="s">
        <v>4072</v>
      </c>
      <c r="C3953">
        <v>15</v>
      </c>
      <c r="D3953" t="s">
        <v>4080</v>
      </c>
      <c r="E3953" t="s">
        <v>4081</v>
      </c>
      <c r="F3953" t="s">
        <v>4076</v>
      </c>
    </row>
    <row r="3954" spans="1:6" x14ac:dyDescent="0.25">
      <c r="A3954">
        <v>3642</v>
      </c>
      <c r="B3954" t="s">
        <v>4072</v>
      </c>
      <c r="C3954">
        <v>40</v>
      </c>
      <c r="D3954" t="s">
        <v>4080</v>
      </c>
      <c r="E3954" t="s">
        <v>4081</v>
      </c>
      <c r="F3954" t="s">
        <v>4079</v>
      </c>
    </row>
    <row r="3955" spans="1:6" x14ac:dyDescent="0.25">
      <c r="A3955">
        <v>3643</v>
      </c>
      <c r="B3955" t="s">
        <v>4072</v>
      </c>
      <c r="C3955">
        <v>5</v>
      </c>
      <c r="D3955" t="s">
        <v>4087</v>
      </c>
      <c r="E3955" t="s">
        <v>4088</v>
      </c>
      <c r="F3955" t="s">
        <v>4075</v>
      </c>
    </row>
    <row r="3956" spans="1:6" x14ac:dyDescent="0.25">
      <c r="A3956">
        <v>3643</v>
      </c>
      <c r="B3956" t="s">
        <v>4072</v>
      </c>
      <c r="C3956">
        <v>15</v>
      </c>
      <c r="D3956" t="s">
        <v>4080</v>
      </c>
      <c r="E3956" t="s">
        <v>4081</v>
      </c>
      <c r="F3956" t="s">
        <v>4076</v>
      </c>
    </row>
    <row r="3957" spans="1:6" x14ac:dyDescent="0.25">
      <c r="A3957">
        <v>3643</v>
      </c>
      <c r="B3957" t="s">
        <v>4072</v>
      </c>
      <c r="C3957">
        <v>40</v>
      </c>
      <c r="D3957" t="s">
        <v>4080</v>
      </c>
      <c r="E3957" t="s">
        <v>4081</v>
      </c>
      <c r="F3957" t="s">
        <v>4079</v>
      </c>
    </row>
    <row r="3958" spans="1:6" x14ac:dyDescent="0.25">
      <c r="A3958">
        <v>3645</v>
      </c>
      <c r="B3958" t="s">
        <v>4092</v>
      </c>
      <c r="C3958">
        <v>33</v>
      </c>
      <c r="D3958" t="s">
        <v>4109</v>
      </c>
      <c r="E3958" t="s">
        <v>4110</v>
      </c>
      <c r="F3958" t="s">
        <v>4075</v>
      </c>
    </row>
    <row r="3959" spans="1:6" x14ac:dyDescent="0.25">
      <c r="A3959">
        <v>3645</v>
      </c>
      <c r="B3959" t="s">
        <v>4092</v>
      </c>
      <c r="C3959">
        <v>34</v>
      </c>
      <c r="D3959" t="s">
        <v>4109</v>
      </c>
      <c r="E3959" t="s">
        <v>4110</v>
      </c>
      <c r="F3959" t="s">
        <v>4076</v>
      </c>
    </row>
    <row r="3960" spans="1:6" x14ac:dyDescent="0.25">
      <c r="A3960">
        <v>3646</v>
      </c>
      <c r="B3960" t="s">
        <v>4072</v>
      </c>
      <c r="C3960">
        <v>3</v>
      </c>
      <c r="D3960" t="s">
        <v>4085</v>
      </c>
      <c r="E3960" t="s">
        <v>4086</v>
      </c>
      <c r="F3960" t="s">
        <v>4075</v>
      </c>
    </row>
    <row r="3961" spans="1:6" x14ac:dyDescent="0.25">
      <c r="A3961">
        <v>3646</v>
      </c>
      <c r="B3961" t="s">
        <v>4072</v>
      </c>
      <c r="C3961">
        <v>5</v>
      </c>
      <c r="D3961" t="s">
        <v>4087</v>
      </c>
      <c r="E3961" t="s">
        <v>4088</v>
      </c>
      <c r="F3961" t="s">
        <v>4075</v>
      </c>
    </row>
    <row r="3962" spans="1:6" x14ac:dyDescent="0.25">
      <c r="A3962">
        <v>3646</v>
      </c>
      <c r="B3962" t="s">
        <v>4072</v>
      </c>
      <c r="C3962">
        <v>15</v>
      </c>
      <c r="D3962" t="s">
        <v>4080</v>
      </c>
      <c r="E3962" t="s">
        <v>4081</v>
      </c>
      <c r="F3962" t="s">
        <v>4076</v>
      </c>
    </row>
    <row r="3963" spans="1:6" x14ac:dyDescent="0.25">
      <c r="A3963">
        <v>3647</v>
      </c>
      <c r="B3963" t="s">
        <v>4072</v>
      </c>
      <c r="C3963">
        <v>4</v>
      </c>
      <c r="D3963" t="s">
        <v>4077</v>
      </c>
      <c r="E3963" t="s">
        <v>4078</v>
      </c>
      <c r="F3963" t="s">
        <v>4075</v>
      </c>
    </row>
    <row r="3964" spans="1:6" x14ac:dyDescent="0.25">
      <c r="A3964">
        <v>3647</v>
      </c>
      <c r="B3964" t="s">
        <v>4072</v>
      </c>
      <c r="C3964">
        <v>16</v>
      </c>
      <c r="D3964" t="s">
        <v>4077</v>
      </c>
      <c r="E3964" t="s">
        <v>4078</v>
      </c>
      <c r="F3964" t="s">
        <v>4076</v>
      </c>
    </row>
    <row r="3965" spans="1:6" x14ac:dyDescent="0.25">
      <c r="A3965">
        <v>3648</v>
      </c>
      <c r="B3965" t="s">
        <v>4072</v>
      </c>
      <c r="C3965">
        <v>5</v>
      </c>
      <c r="D3965" t="s">
        <v>4087</v>
      </c>
      <c r="E3965" t="s">
        <v>4088</v>
      </c>
      <c r="F3965" t="s">
        <v>4075</v>
      </c>
    </row>
    <row r="3966" spans="1:6" x14ac:dyDescent="0.25">
      <c r="A3966">
        <v>3648</v>
      </c>
      <c r="B3966" t="s">
        <v>4072</v>
      </c>
      <c r="C3966">
        <v>15</v>
      </c>
      <c r="D3966" t="s">
        <v>4080</v>
      </c>
      <c r="E3966" t="s">
        <v>4081</v>
      </c>
      <c r="F3966" t="s">
        <v>4076</v>
      </c>
    </row>
    <row r="3967" spans="1:6" x14ac:dyDescent="0.25">
      <c r="A3967">
        <v>3648</v>
      </c>
      <c r="B3967" t="s">
        <v>4072</v>
      </c>
      <c r="C3967">
        <v>40</v>
      </c>
      <c r="D3967" t="s">
        <v>4080</v>
      </c>
      <c r="E3967" t="s">
        <v>4081</v>
      </c>
      <c r="F3967" t="s">
        <v>4079</v>
      </c>
    </row>
    <row r="3968" spans="1:6" x14ac:dyDescent="0.25">
      <c r="A3968">
        <v>3649</v>
      </c>
      <c r="B3968" t="s">
        <v>4072</v>
      </c>
      <c r="C3968">
        <v>6</v>
      </c>
      <c r="D3968" t="s">
        <v>4073</v>
      </c>
      <c r="E3968" t="s">
        <v>4074</v>
      </c>
      <c r="F3968" t="s">
        <v>4075</v>
      </c>
    </row>
    <row r="3969" spans="1:6" x14ac:dyDescent="0.25">
      <c r="A3969">
        <v>3649</v>
      </c>
      <c r="B3969" t="s">
        <v>4072</v>
      </c>
      <c r="C3969">
        <v>19</v>
      </c>
      <c r="D3969" t="s">
        <v>4073</v>
      </c>
      <c r="E3969" t="s">
        <v>4074</v>
      </c>
      <c r="F3969" t="s">
        <v>4076</v>
      </c>
    </row>
    <row r="3970" spans="1:6" x14ac:dyDescent="0.25">
      <c r="A3970">
        <v>3650</v>
      </c>
      <c r="B3970" t="s">
        <v>4072</v>
      </c>
      <c r="C3970">
        <v>2</v>
      </c>
      <c r="D3970" t="s">
        <v>4082</v>
      </c>
      <c r="E3970" t="s">
        <v>4083</v>
      </c>
      <c r="F3970" t="s">
        <v>4075</v>
      </c>
    </row>
    <row r="3971" spans="1:6" x14ac:dyDescent="0.25">
      <c r="A3971">
        <v>3650</v>
      </c>
      <c r="B3971" t="s">
        <v>4072</v>
      </c>
      <c r="C3971">
        <v>17</v>
      </c>
      <c r="D3971" t="s">
        <v>4082</v>
      </c>
      <c r="E3971" t="s">
        <v>4084</v>
      </c>
      <c r="F3971" t="s">
        <v>4076</v>
      </c>
    </row>
    <row r="3972" spans="1:6" x14ac:dyDescent="0.25">
      <c r="A3972">
        <v>3651</v>
      </c>
      <c r="B3972" t="s">
        <v>4072</v>
      </c>
      <c r="C3972">
        <v>6</v>
      </c>
      <c r="D3972" t="s">
        <v>4073</v>
      </c>
      <c r="E3972" t="s">
        <v>4074</v>
      </c>
      <c r="F3972" t="s">
        <v>4075</v>
      </c>
    </row>
    <row r="3973" spans="1:6" x14ac:dyDescent="0.25">
      <c r="A3973">
        <v>3651</v>
      </c>
      <c r="B3973" t="s">
        <v>4072</v>
      </c>
      <c r="C3973">
        <v>19</v>
      </c>
      <c r="D3973" t="s">
        <v>4073</v>
      </c>
      <c r="E3973" t="s">
        <v>4074</v>
      </c>
      <c r="F3973" t="s">
        <v>4076</v>
      </c>
    </row>
    <row r="3974" spans="1:6" x14ac:dyDescent="0.25">
      <c r="A3974">
        <v>3653</v>
      </c>
      <c r="B3974" t="s">
        <v>4072</v>
      </c>
      <c r="C3974">
        <v>19</v>
      </c>
      <c r="D3974" t="s">
        <v>4073</v>
      </c>
      <c r="E3974" t="s">
        <v>4074</v>
      </c>
      <c r="F3974" t="s">
        <v>4076</v>
      </c>
    </row>
    <row r="3975" spans="1:6" x14ac:dyDescent="0.25">
      <c r="A3975">
        <v>3654</v>
      </c>
      <c r="B3975" t="s">
        <v>4072</v>
      </c>
      <c r="C3975">
        <v>5</v>
      </c>
      <c r="D3975" t="s">
        <v>4087</v>
      </c>
      <c r="E3975" t="s">
        <v>4088</v>
      </c>
      <c r="F3975" t="s">
        <v>4075</v>
      </c>
    </row>
    <row r="3976" spans="1:6" x14ac:dyDescent="0.25">
      <c r="A3976">
        <v>3654</v>
      </c>
      <c r="B3976" t="s">
        <v>4072</v>
      </c>
      <c r="C3976">
        <v>15</v>
      </c>
      <c r="D3976" t="s">
        <v>4080</v>
      </c>
      <c r="E3976" t="s">
        <v>4081</v>
      </c>
      <c r="F3976" t="s">
        <v>4076</v>
      </c>
    </row>
    <row r="3977" spans="1:6" x14ac:dyDescent="0.25">
      <c r="A3977">
        <v>3654</v>
      </c>
      <c r="B3977" t="s">
        <v>4072</v>
      </c>
      <c r="C3977">
        <v>40</v>
      </c>
      <c r="D3977" t="s">
        <v>4080</v>
      </c>
      <c r="E3977" t="s">
        <v>4081</v>
      </c>
      <c r="F3977" t="s">
        <v>4079</v>
      </c>
    </row>
    <row r="3978" spans="1:6" x14ac:dyDescent="0.25">
      <c r="A3978">
        <v>3660</v>
      </c>
      <c r="B3978" t="s">
        <v>4072</v>
      </c>
      <c r="C3978">
        <v>5</v>
      </c>
      <c r="D3978" t="s">
        <v>4087</v>
      </c>
      <c r="E3978" t="s">
        <v>4088</v>
      </c>
      <c r="F3978" t="s">
        <v>4075</v>
      </c>
    </row>
    <row r="3979" spans="1:6" x14ac:dyDescent="0.25">
      <c r="A3979">
        <v>3660</v>
      </c>
      <c r="B3979" t="s">
        <v>4072</v>
      </c>
      <c r="C3979">
        <v>15</v>
      </c>
      <c r="D3979" t="s">
        <v>4080</v>
      </c>
      <c r="E3979" t="s">
        <v>4081</v>
      </c>
      <c r="F3979" t="s">
        <v>4076</v>
      </c>
    </row>
    <row r="3980" spans="1:6" x14ac:dyDescent="0.25">
      <c r="A3980">
        <v>3660</v>
      </c>
      <c r="B3980" t="s">
        <v>4072</v>
      </c>
      <c r="C3980">
        <v>40</v>
      </c>
      <c r="D3980" t="s">
        <v>4080</v>
      </c>
      <c r="E3980" t="s">
        <v>4081</v>
      </c>
      <c r="F3980" t="s">
        <v>4079</v>
      </c>
    </row>
    <row r="3981" spans="1:6" x14ac:dyDescent="0.25">
      <c r="A3981">
        <v>3661</v>
      </c>
      <c r="B3981" t="s">
        <v>4072</v>
      </c>
      <c r="C3981">
        <v>2</v>
      </c>
      <c r="D3981" t="s">
        <v>4082</v>
      </c>
      <c r="E3981" t="s">
        <v>4083</v>
      </c>
      <c r="F3981" t="s">
        <v>4075</v>
      </c>
    </row>
    <row r="3982" spans="1:6" x14ac:dyDescent="0.25">
      <c r="A3982">
        <v>3661</v>
      </c>
      <c r="B3982" t="s">
        <v>4072</v>
      </c>
      <c r="C3982">
        <v>17</v>
      </c>
      <c r="D3982" t="s">
        <v>4082</v>
      </c>
      <c r="E3982" t="s">
        <v>4084</v>
      </c>
      <c r="F3982" t="s">
        <v>4076</v>
      </c>
    </row>
    <row r="3983" spans="1:6" x14ac:dyDescent="0.25">
      <c r="A3983">
        <v>3661</v>
      </c>
      <c r="B3983" t="s">
        <v>4072</v>
      </c>
      <c r="C3983">
        <v>42</v>
      </c>
      <c r="D3983" t="s">
        <v>4082</v>
      </c>
      <c r="E3983" t="s">
        <v>4083</v>
      </c>
      <c r="F3983" t="s">
        <v>4079</v>
      </c>
    </row>
    <row r="3984" spans="1:6" x14ac:dyDescent="0.25">
      <c r="A3984">
        <v>3665</v>
      </c>
      <c r="B3984" t="s">
        <v>4072</v>
      </c>
      <c r="C3984">
        <v>6</v>
      </c>
      <c r="D3984" t="s">
        <v>4073</v>
      </c>
      <c r="E3984" t="s">
        <v>4074</v>
      </c>
      <c r="F3984" t="s">
        <v>4075</v>
      </c>
    </row>
    <row r="3985" spans="1:6" x14ac:dyDescent="0.25">
      <c r="A3985">
        <v>3665</v>
      </c>
      <c r="B3985" t="s">
        <v>4072</v>
      </c>
      <c r="C3985">
        <v>19</v>
      </c>
      <c r="D3985" t="s">
        <v>4073</v>
      </c>
      <c r="E3985" t="s">
        <v>4074</v>
      </c>
      <c r="F3985" t="s">
        <v>4076</v>
      </c>
    </row>
    <row r="3986" spans="1:6" x14ac:dyDescent="0.25">
      <c r="A3986">
        <v>3665</v>
      </c>
      <c r="B3986" t="s">
        <v>4072</v>
      </c>
      <c r="C3986">
        <v>39</v>
      </c>
      <c r="D3986" t="s">
        <v>4073</v>
      </c>
      <c r="E3986" t="s">
        <v>4074</v>
      </c>
      <c r="F3986" t="s">
        <v>4079</v>
      </c>
    </row>
    <row r="3987" spans="1:6" x14ac:dyDescent="0.25">
      <c r="A3987">
        <v>3666</v>
      </c>
      <c r="B3987" t="s">
        <v>4072</v>
      </c>
      <c r="C3987">
        <v>5</v>
      </c>
      <c r="D3987" t="s">
        <v>4087</v>
      </c>
      <c r="E3987" t="s">
        <v>4088</v>
      </c>
      <c r="F3987" t="s">
        <v>4075</v>
      </c>
    </row>
    <row r="3988" spans="1:6" x14ac:dyDescent="0.25">
      <c r="A3988">
        <v>3666</v>
      </c>
      <c r="B3988" t="s">
        <v>4072</v>
      </c>
      <c r="C3988">
        <v>15</v>
      </c>
      <c r="D3988" t="s">
        <v>4080</v>
      </c>
      <c r="E3988" t="s">
        <v>4081</v>
      </c>
      <c r="F3988" t="s">
        <v>4076</v>
      </c>
    </row>
    <row r="3989" spans="1:6" x14ac:dyDescent="0.25">
      <c r="A3989">
        <v>3666</v>
      </c>
      <c r="B3989" t="s">
        <v>4072</v>
      </c>
      <c r="C3989">
        <v>40</v>
      </c>
      <c r="D3989" t="s">
        <v>4080</v>
      </c>
      <c r="E3989" t="s">
        <v>4081</v>
      </c>
      <c r="F3989" t="s">
        <v>4079</v>
      </c>
    </row>
    <row r="3990" spans="1:6" x14ac:dyDescent="0.25">
      <c r="A3990">
        <v>3667</v>
      </c>
      <c r="B3990" t="s">
        <v>4072</v>
      </c>
      <c r="C3990">
        <v>5</v>
      </c>
      <c r="D3990" t="s">
        <v>4087</v>
      </c>
      <c r="E3990" t="s">
        <v>4088</v>
      </c>
      <c r="F3990" t="s">
        <v>4075</v>
      </c>
    </row>
    <row r="3991" spans="1:6" x14ac:dyDescent="0.25">
      <c r="A3991">
        <v>3667</v>
      </c>
      <c r="B3991" t="s">
        <v>4072</v>
      </c>
      <c r="C3991">
        <v>15</v>
      </c>
      <c r="D3991" t="s">
        <v>4080</v>
      </c>
      <c r="E3991" t="s">
        <v>4081</v>
      </c>
      <c r="F3991" t="s">
        <v>4076</v>
      </c>
    </row>
    <row r="3992" spans="1:6" x14ac:dyDescent="0.25">
      <c r="A3992">
        <v>3667</v>
      </c>
      <c r="B3992" t="s">
        <v>4072</v>
      </c>
      <c r="C3992">
        <v>40</v>
      </c>
      <c r="D3992" t="s">
        <v>4080</v>
      </c>
      <c r="E3992" t="s">
        <v>4081</v>
      </c>
      <c r="F3992" t="s">
        <v>4079</v>
      </c>
    </row>
    <row r="3993" spans="1:6" x14ac:dyDescent="0.25">
      <c r="A3993">
        <v>3668</v>
      </c>
      <c r="B3993" t="s">
        <v>4072</v>
      </c>
      <c r="C3993">
        <v>2</v>
      </c>
      <c r="D3993" t="s">
        <v>4082</v>
      </c>
      <c r="E3993" t="s">
        <v>4083</v>
      </c>
      <c r="F3993" t="s">
        <v>4075</v>
      </c>
    </row>
    <row r="3994" spans="1:6" x14ac:dyDescent="0.25">
      <c r="A3994">
        <v>3668</v>
      </c>
      <c r="B3994" t="s">
        <v>4072</v>
      </c>
      <c r="C3994">
        <v>17</v>
      </c>
      <c r="D3994" t="s">
        <v>4082</v>
      </c>
      <c r="E3994" t="s">
        <v>4084</v>
      </c>
      <c r="F3994" t="s">
        <v>4076</v>
      </c>
    </row>
    <row r="3995" spans="1:6" x14ac:dyDescent="0.25">
      <c r="A3995">
        <v>3668</v>
      </c>
      <c r="B3995" t="s">
        <v>4072</v>
      </c>
      <c r="C3995">
        <v>42</v>
      </c>
      <c r="D3995" t="s">
        <v>4082</v>
      </c>
      <c r="E3995" t="s">
        <v>4083</v>
      </c>
      <c r="F3995" t="s">
        <v>4079</v>
      </c>
    </row>
    <row r="3996" spans="1:6" x14ac:dyDescent="0.25">
      <c r="A3996">
        <v>3669</v>
      </c>
      <c r="B3996" t="s">
        <v>4072</v>
      </c>
      <c r="C3996">
        <v>4</v>
      </c>
      <c r="D3996" t="s">
        <v>4077</v>
      </c>
      <c r="E3996" t="s">
        <v>4078</v>
      </c>
      <c r="F3996" t="s">
        <v>4075</v>
      </c>
    </row>
    <row r="3997" spans="1:6" x14ac:dyDescent="0.25">
      <c r="A3997">
        <v>3669</v>
      </c>
      <c r="B3997" t="s">
        <v>4072</v>
      </c>
      <c r="C3997">
        <v>16</v>
      </c>
      <c r="D3997" t="s">
        <v>4077</v>
      </c>
      <c r="E3997" t="s">
        <v>4078</v>
      </c>
      <c r="F3997" t="s">
        <v>4076</v>
      </c>
    </row>
    <row r="3998" spans="1:6" x14ac:dyDescent="0.25">
      <c r="A3998">
        <v>3669</v>
      </c>
      <c r="B3998" t="s">
        <v>4072</v>
      </c>
      <c r="C3998">
        <v>44</v>
      </c>
      <c r="D3998" t="s">
        <v>4077</v>
      </c>
      <c r="E3998" t="s">
        <v>4078</v>
      </c>
      <c r="F3998" t="s">
        <v>4079</v>
      </c>
    </row>
    <row r="3999" spans="1:6" x14ac:dyDescent="0.25">
      <c r="A3999">
        <v>3670</v>
      </c>
      <c r="B3999" t="s">
        <v>4072</v>
      </c>
      <c r="C3999">
        <v>2</v>
      </c>
      <c r="D3999" t="s">
        <v>4082</v>
      </c>
      <c r="E3999" t="s">
        <v>4083</v>
      </c>
      <c r="F3999" t="s">
        <v>4075</v>
      </c>
    </row>
    <row r="4000" spans="1:6" x14ac:dyDescent="0.25">
      <c r="A4000">
        <v>3670</v>
      </c>
      <c r="B4000" t="s">
        <v>4072</v>
      </c>
      <c r="C4000">
        <v>17</v>
      </c>
      <c r="D4000" t="s">
        <v>4082</v>
      </c>
      <c r="E4000" t="s">
        <v>4084</v>
      </c>
      <c r="F4000" t="s">
        <v>4076</v>
      </c>
    </row>
    <row r="4001" spans="1:6" x14ac:dyDescent="0.25">
      <c r="A4001">
        <v>3670</v>
      </c>
      <c r="B4001" t="s">
        <v>4072</v>
      </c>
      <c r="C4001">
        <v>42</v>
      </c>
      <c r="D4001" t="s">
        <v>4082</v>
      </c>
      <c r="E4001" t="s">
        <v>4083</v>
      </c>
      <c r="F4001" t="s">
        <v>4079</v>
      </c>
    </row>
    <row r="4002" spans="1:6" x14ac:dyDescent="0.25">
      <c r="A4002">
        <v>3672</v>
      </c>
      <c r="B4002" t="s">
        <v>4072</v>
      </c>
      <c r="C4002">
        <v>19</v>
      </c>
      <c r="D4002" t="s">
        <v>4073</v>
      </c>
      <c r="E4002" t="s">
        <v>4074</v>
      </c>
      <c r="F4002" t="s">
        <v>4076</v>
      </c>
    </row>
    <row r="4003" spans="1:6" x14ac:dyDescent="0.25">
      <c r="A4003">
        <v>3672</v>
      </c>
      <c r="B4003" t="s">
        <v>4072</v>
      </c>
      <c r="C4003">
        <v>39</v>
      </c>
      <c r="D4003" t="s">
        <v>4073</v>
      </c>
      <c r="E4003" t="s">
        <v>4074</v>
      </c>
      <c r="F4003" t="s">
        <v>4079</v>
      </c>
    </row>
    <row r="4004" spans="1:6" x14ac:dyDescent="0.25">
      <c r="A4004">
        <v>3673</v>
      </c>
      <c r="B4004" t="s">
        <v>4072</v>
      </c>
      <c r="C4004">
        <v>5</v>
      </c>
      <c r="D4004" t="s">
        <v>4087</v>
      </c>
      <c r="E4004" t="s">
        <v>4088</v>
      </c>
      <c r="F4004" t="s">
        <v>4075</v>
      </c>
    </row>
    <row r="4005" spans="1:6" x14ac:dyDescent="0.25">
      <c r="A4005">
        <v>3673</v>
      </c>
      <c r="B4005" t="s">
        <v>4072</v>
      </c>
      <c r="C4005">
        <v>15</v>
      </c>
      <c r="D4005" t="s">
        <v>4080</v>
      </c>
      <c r="E4005" t="s">
        <v>4081</v>
      </c>
      <c r="F4005" t="s">
        <v>4076</v>
      </c>
    </row>
    <row r="4006" spans="1:6" x14ac:dyDescent="0.25">
      <c r="A4006">
        <v>3673</v>
      </c>
      <c r="B4006" t="s">
        <v>4072</v>
      </c>
      <c r="C4006">
        <v>40</v>
      </c>
      <c r="D4006" t="s">
        <v>4080</v>
      </c>
      <c r="E4006" t="s">
        <v>4081</v>
      </c>
      <c r="F4006" t="s">
        <v>4079</v>
      </c>
    </row>
    <row r="4007" spans="1:6" x14ac:dyDescent="0.25">
      <c r="A4007">
        <v>3676</v>
      </c>
      <c r="B4007" t="s">
        <v>4072</v>
      </c>
      <c r="C4007">
        <v>19</v>
      </c>
      <c r="D4007" t="s">
        <v>4073</v>
      </c>
      <c r="E4007" t="s">
        <v>4074</v>
      </c>
      <c r="F4007" t="s">
        <v>4076</v>
      </c>
    </row>
    <row r="4008" spans="1:6" x14ac:dyDescent="0.25">
      <c r="A4008">
        <v>3676</v>
      </c>
      <c r="B4008" t="s">
        <v>4072</v>
      </c>
      <c r="C4008">
        <v>39</v>
      </c>
      <c r="D4008" t="s">
        <v>4073</v>
      </c>
      <c r="E4008" t="s">
        <v>4074</v>
      </c>
      <c r="F4008" t="s">
        <v>4079</v>
      </c>
    </row>
    <row r="4009" spans="1:6" x14ac:dyDescent="0.25">
      <c r="A4009">
        <v>3677</v>
      </c>
      <c r="B4009" t="s">
        <v>4072</v>
      </c>
      <c r="C4009">
        <v>19</v>
      </c>
      <c r="D4009" t="s">
        <v>4073</v>
      </c>
      <c r="E4009" t="s">
        <v>4074</v>
      </c>
      <c r="F4009" t="s">
        <v>4076</v>
      </c>
    </row>
    <row r="4010" spans="1:6" x14ac:dyDescent="0.25">
      <c r="A4010">
        <v>3677</v>
      </c>
      <c r="B4010" t="s">
        <v>4072</v>
      </c>
      <c r="C4010">
        <v>39</v>
      </c>
      <c r="D4010" t="s">
        <v>4073</v>
      </c>
      <c r="E4010" t="s">
        <v>4074</v>
      </c>
      <c r="F4010" t="s">
        <v>4079</v>
      </c>
    </row>
    <row r="4011" spans="1:6" x14ac:dyDescent="0.25">
      <c r="A4011">
        <v>3678</v>
      </c>
      <c r="B4011" t="s">
        <v>4072</v>
      </c>
      <c r="C4011">
        <v>19</v>
      </c>
      <c r="D4011" t="s">
        <v>4073</v>
      </c>
      <c r="E4011" t="s">
        <v>4074</v>
      </c>
      <c r="F4011" t="s">
        <v>4076</v>
      </c>
    </row>
    <row r="4012" spans="1:6" x14ac:dyDescent="0.25">
      <c r="A4012">
        <v>3678</v>
      </c>
      <c r="B4012" t="s">
        <v>4072</v>
      </c>
      <c r="C4012">
        <v>39</v>
      </c>
      <c r="D4012" t="s">
        <v>4073</v>
      </c>
      <c r="E4012" t="s">
        <v>4074</v>
      </c>
      <c r="F4012" t="s">
        <v>4079</v>
      </c>
    </row>
    <row r="4013" spans="1:6" x14ac:dyDescent="0.25">
      <c r="A4013">
        <v>3679</v>
      </c>
      <c r="B4013" t="s">
        <v>4072</v>
      </c>
      <c r="C4013">
        <v>5</v>
      </c>
      <c r="D4013" t="s">
        <v>4087</v>
      </c>
      <c r="E4013" t="s">
        <v>4088</v>
      </c>
      <c r="F4013" t="s">
        <v>4075</v>
      </c>
    </row>
    <row r="4014" spans="1:6" x14ac:dyDescent="0.25">
      <c r="A4014">
        <v>3679</v>
      </c>
      <c r="B4014" t="s">
        <v>4072</v>
      </c>
      <c r="C4014">
        <v>15</v>
      </c>
      <c r="D4014" t="s">
        <v>4080</v>
      </c>
      <c r="E4014" t="s">
        <v>4081</v>
      </c>
      <c r="F4014" t="s">
        <v>4076</v>
      </c>
    </row>
    <row r="4015" spans="1:6" x14ac:dyDescent="0.25">
      <c r="A4015">
        <v>3679</v>
      </c>
      <c r="B4015" t="s">
        <v>4072</v>
      </c>
      <c r="C4015">
        <v>40</v>
      </c>
      <c r="D4015" t="s">
        <v>4080</v>
      </c>
      <c r="E4015" t="s">
        <v>4081</v>
      </c>
      <c r="F4015" t="s">
        <v>4079</v>
      </c>
    </row>
    <row r="4016" spans="1:6" x14ac:dyDescent="0.25">
      <c r="A4016">
        <v>3680</v>
      </c>
      <c r="B4016" t="s">
        <v>4072</v>
      </c>
      <c r="C4016">
        <v>5</v>
      </c>
      <c r="D4016" t="s">
        <v>4087</v>
      </c>
      <c r="E4016" t="s">
        <v>4088</v>
      </c>
      <c r="F4016" t="s">
        <v>4075</v>
      </c>
    </row>
    <row r="4017" spans="1:6" x14ac:dyDescent="0.25">
      <c r="A4017">
        <v>3680</v>
      </c>
      <c r="B4017" t="s">
        <v>4072</v>
      </c>
      <c r="C4017">
        <v>15</v>
      </c>
      <c r="D4017" t="s">
        <v>4080</v>
      </c>
      <c r="E4017" t="s">
        <v>4081</v>
      </c>
      <c r="F4017" t="s">
        <v>4076</v>
      </c>
    </row>
    <row r="4018" spans="1:6" x14ac:dyDescent="0.25">
      <c r="A4018">
        <v>3680</v>
      </c>
      <c r="B4018" t="s">
        <v>4072</v>
      </c>
      <c r="C4018">
        <v>40</v>
      </c>
      <c r="D4018" t="s">
        <v>4080</v>
      </c>
      <c r="E4018" t="s">
        <v>4081</v>
      </c>
      <c r="F4018" t="s">
        <v>4079</v>
      </c>
    </row>
    <row r="4019" spans="1:6" x14ac:dyDescent="0.25">
      <c r="A4019">
        <v>3681</v>
      </c>
      <c r="B4019" t="s">
        <v>4072</v>
      </c>
      <c r="C4019">
        <v>5</v>
      </c>
      <c r="D4019" t="s">
        <v>4087</v>
      </c>
      <c r="E4019" t="s">
        <v>4088</v>
      </c>
      <c r="F4019" t="s">
        <v>4075</v>
      </c>
    </row>
    <row r="4020" spans="1:6" x14ac:dyDescent="0.25">
      <c r="A4020">
        <v>3681</v>
      </c>
      <c r="B4020" t="s">
        <v>4072</v>
      </c>
      <c r="C4020">
        <v>15</v>
      </c>
      <c r="D4020" t="s">
        <v>4080</v>
      </c>
      <c r="E4020" t="s">
        <v>4081</v>
      </c>
      <c r="F4020" t="s">
        <v>4076</v>
      </c>
    </row>
    <row r="4021" spans="1:6" x14ac:dyDescent="0.25">
      <c r="A4021">
        <v>3681</v>
      </c>
      <c r="B4021" t="s">
        <v>4072</v>
      </c>
      <c r="C4021">
        <v>40</v>
      </c>
      <c r="D4021" t="s">
        <v>4080</v>
      </c>
      <c r="E4021" t="s">
        <v>4081</v>
      </c>
      <c r="F4021" t="s">
        <v>4079</v>
      </c>
    </row>
    <row r="4022" spans="1:6" x14ac:dyDescent="0.25">
      <c r="A4022">
        <v>3682</v>
      </c>
      <c r="B4022" t="s">
        <v>4072</v>
      </c>
      <c r="C4022">
        <v>5</v>
      </c>
      <c r="D4022" t="s">
        <v>4087</v>
      </c>
      <c r="E4022" t="s">
        <v>4088</v>
      </c>
      <c r="F4022" t="s">
        <v>4075</v>
      </c>
    </row>
    <row r="4023" spans="1:6" x14ac:dyDescent="0.25">
      <c r="A4023">
        <v>3682</v>
      </c>
      <c r="B4023" t="s">
        <v>4072</v>
      </c>
      <c r="C4023">
        <v>15</v>
      </c>
      <c r="D4023" t="s">
        <v>4080</v>
      </c>
      <c r="E4023" t="s">
        <v>4081</v>
      </c>
      <c r="F4023" t="s">
        <v>4076</v>
      </c>
    </row>
    <row r="4024" spans="1:6" x14ac:dyDescent="0.25">
      <c r="A4024">
        <v>3682</v>
      </c>
      <c r="B4024" t="s">
        <v>4072</v>
      </c>
      <c r="C4024">
        <v>40</v>
      </c>
      <c r="D4024" t="s">
        <v>4080</v>
      </c>
      <c r="E4024" t="s">
        <v>4081</v>
      </c>
      <c r="F4024" t="s">
        <v>4079</v>
      </c>
    </row>
    <row r="4025" spans="1:6" x14ac:dyDescent="0.25">
      <c r="A4025">
        <v>3683</v>
      </c>
      <c r="B4025" t="s">
        <v>4072</v>
      </c>
      <c r="C4025">
        <v>5</v>
      </c>
      <c r="D4025" t="s">
        <v>4087</v>
      </c>
      <c r="E4025" t="s">
        <v>4088</v>
      </c>
      <c r="F4025" t="s">
        <v>4075</v>
      </c>
    </row>
    <row r="4026" spans="1:6" x14ac:dyDescent="0.25">
      <c r="A4026">
        <v>3683</v>
      </c>
      <c r="B4026" t="s">
        <v>4072</v>
      </c>
      <c r="C4026">
        <v>15</v>
      </c>
      <c r="D4026" t="s">
        <v>4080</v>
      </c>
      <c r="E4026" t="s">
        <v>4081</v>
      </c>
      <c r="F4026" t="s">
        <v>4076</v>
      </c>
    </row>
    <row r="4027" spans="1:6" x14ac:dyDescent="0.25">
      <c r="A4027">
        <v>3683</v>
      </c>
      <c r="B4027" t="s">
        <v>4072</v>
      </c>
      <c r="C4027">
        <v>40</v>
      </c>
      <c r="D4027" t="s">
        <v>4080</v>
      </c>
      <c r="E4027" t="s">
        <v>4081</v>
      </c>
      <c r="F4027" t="s">
        <v>4079</v>
      </c>
    </row>
    <row r="4028" spans="1:6" x14ac:dyDescent="0.25">
      <c r="A4028">
        <v>3684</v>
      </c>
      <c r="B4028" t="s">
        <v>4072</v>
      </c>
      <c r="C4028">
        <v>1</v>
      </c>
      <c r="D4028" t="s">
        <v>2761</v>
      </c>
      <c r="E4028" t="s">
        <v>4089</v>
      </c>
      <c r="F4028" t="s">
        <v>4075</v>
      </c>
    </row>
    <row r="4029" spans="1:6" x14ac:dyDescent="0.25">
      <c r="A4029">
        <v>3684</v>
      </c>
      <c r="B4029" t="s">
        <v>4072</v>
      </c>
      <c r="C4029">
        <v>38</v>
      </c>
      <c r="D4029" t="s">
        <v>2761</v>
      </c>
      <c r="E4029" t="s">
        <v>4089</v>
      </c>
      <c r="F4029" t="s">
        <v>4076</v>
      </c>
    </row>
    <row r="4030" spans="1:6" x14ac:dyDescent="0.25">
      <c r="A4030">
        <v>3684</v>
      </c>
      <c r="B4030" t="s">
        <v>4072</v>
      </c>
      <c r="C4030">
        <v>43</v>
      </c>
      <c r="D4030" t="s">
        <v>2761</v>
      </c>
      <c r="E4030" t="s">
        <v>4089</v>
      </c>
      <c r="F4030" t="s">
        <v>4079</v>
      </c>
    </row>
    <row r="4031" spans="1:6" x14ac:dyDescent="0.25">
      <c r="A4031">
        <v>3685</v>
      </c>
      <c r="B4031" t="s">
        <v>4072</v>
      </c>
      <c r="C4031">
        <v>5</v>
      </c>
      <c r="D4031" t="s">
        <v>4087</v>
      </c>
      <c r="E4031" t="s">
        <v>4088</v>
      </c>
      <c r="F4031" t="s">
        <v>4075</v>
      </c>
    </row>
    <row r="4032" spans="1:6" x14ac:dyDescent="0.25">
      <c r="A4032">
        <v>3685</v>
      </c>
      <c r="B4032" t="s">
        <v>4072</v>
      </c>
      <c r="C4032">
        <v>15</v>
      </c>
      <c r="D4032" t="s">
        <v>4080</v>
      </c>
      <c r="E4032" t="s">
        <v>4081</v>
      </c>
      <c r="F4032" t="s">
        <v>4076</v>
      </c>
    </row>
    <row r="4033" spans="1:6" x14ac:dyDescent="0.25">
      <c r="A4033">
        <v>3685</v>
      </c>
      <c r="B4033" t="s">
        <v>4072</v>
      </c>
      <c r="C4033">
        <v>40</v>
      </c>
      <c r="D4033" t="s">
        <v>4080</v>
      </c>
      <c r="E4033" t="s">
        <v>4081</v>
      </c>
      <c r="F4033" t="s">
        <v>4079</v>
      </c>
    </row>
    <row r="4034" spans="1:6" x14ac:dyDescent="0.25">
      <c r="A4034">
        <v>3687</v>
      </c>
      <c r="B4034" t="s">
        <v>4072</v>
      </c>
      <c r="C4034">
        <v>2</v>
      </c>
      <c r="D4034" t="s">
        <v>4082</v>
      </c>
      <c r="E4034" t="s">
        <v>4083</v>
      </c>
      <c r="F4034" t="s">
        <v>4075</v>
      </c>
    </row>
    <row r="4035" spans="1:6" x14ac:dyDescent="0.25">
      <c r="A4035">
        <v>3687</v>
      </c>
      <c r="B4035" t="s">
        <v>4072</v>
      </c>
      <c r="C4035">
        <v>17</v>
      </c>
      <c r="D4035" t="s">
        <v>4082</v>
      </c>
      <c r="E4035" t="s">
        <v>4084</v>
      </c>
      <c r="F4035" t="s">
        <v>4076</v>
      </c>
    </row>
    <row r="4036" spans="1:6" x14ac:dyDescent="0.25">
      <c r="A4036">
        <v>3687</v>
      </c>
      <c r="B4036" t="s">
        <v>4072</v>
      </c>
      <c r="C4036">
        <v>42</v>
      </c>
      <c r="D4036" t="s">
        <v>4082</v>
      </c>
      <c r="E4036" t="s">
        <v>4083</v>
      </c>
      <c r="F4036" t="s">
        <v>4079</v>
      </c>
    </row>
    <row r="4037" spans="1:6" x14ac:dyDescent="0.25">
      <c r="A4037">
        <v>3688</v>
      </c>
      <c r="B4037" t="s">
        <v>4072</v>
      </c>
      <c r="C4037">
        <v>2</v>
      </c>
      <c r="D4037" t="s">
        <v>4082</v>
      </c>
      <c r="E4037" t="s">
        <v>4083</v>
      </c>
      <c r="F4037" t="s">
        <v>4075</v>
      </c>
    </row>
    <row r="4038" spans="1:6" x14ac:dyDescent="0.25">
      <c r="A4038">
        <v>3688</v>
      </c>
      <c r="B4038" t="s">
        <v>4072</v>
      </c>
      <c r="C4038">
        <v>17</v>
      </c>
      <c r="D4038" t="s">
        <v>4082</v>
      </c>
      <c r="E4038" t="s">
        <v>4084</v>
      </c>
      <c r="F4038" t="s">
        <v>4076</v>
      </c>
    </row>
    <row r="4039" spans="1:6" x14ac:dyDescent="0.25">
      <c r="A4039">
        <v>3688</v>
      </c>
      <c r="B4039" t="s">
        <v>4072</v>
      </c>
      <c r="C4039">
        <v>42</v>
      </c>
      <c r="D4039" t="s">
        <v>4082</v>
      </c>
      <c r="E4039" t="s">
        <v>4083</v>
      </c>
      <c r="F4039" t="s">
        <v>4079</v>
      </c>
    </row>
    <row r="4040" spans="1:6" x14ac:dyDescent="0.25">
      <c r="A4040">
        <v>3689</v>
      </c>
      <c r="B4040" t="s">
        <v>4072</v>
      </c>
      <c r="C4040">
        <v>2</v>
      </c>
      <c r="D4040" t="s">
        <v>4082</v>
      </c>
      <c r="E4040" t="s">
        <v>4083</v>
      </c>
      <c r="F4040" t="s">
        <v>4075</v>
      </c>
    </row>
    <row r="4041" spans="1:6" x14ac:dyDescent="0.25">
      <c r="A4041">
        <v>3689</v>
      </c>
      <c r="B4041" t="s">
        <v>4072</v>
      </c>
      <c r="C4041">
        <v>17</v>
      </c>
      <c r="D4041" t="s">
        <v>4082</v>
      </c>
      <c r="E4041" t="s">
        <v>4084</v>
      </c>
      <c r="F4041" t="s">
        <v>4076</v>
      </c>
    </row>
    <row r="4042" spans="1:6" x14ac:dyDescent="0.25">
      <c r="A4042">
        <v>3689</v>
      </c>
      <c r="B4042" t="s">
        <v>4072</v>
      </c>
      <c r="C4042">
        <v>42</v>
      </c>
      <c r="D4042" t="s">
        <v>4082</v>
      </c>
      <c r="E4042" t="s">
        <v>4083</v>
      </c>
      <c r="F4042" t="s">
        <v>4079</v>
      </c>
    </row>
    <row r="4043" spans="1:6" x14ac:dyDescent="0.25">
      <c r="A4043">
        <v>3690</v>
      </c>
      <c r="B4043" t="s">
        <v>4072</v>
      </c>
      <c r="C4043">
        <v>2</v>
      </c>
      <c r="D4043" t="s">
        <v>4082</v>
      </c>
      <c r="E4043" t="s">
        <v>4083</v>
      </c>
      <c r="F4043" t="s">
        <v>4075</v>
      </c>
    </row>
    <row r="4044" spans="1:6" x14ac:dyDescent="0.25">
      <c r="A4044">
        <v>3690</v>
      </c>
      <c r="B4044" t="s">
        <v>4072</v>
      </c>
      <c r="C4044">
        <v>17</v>
      </c>
      <c r="D4044" t="s">
        <v>4082</v>
      </c>
      <c r="E4044" t="s">
        <v>4084</v>
      </c>
      <c r="F4044" t="s">
        <v>4076</v>
      </c>
    </row>
    <row r="4045" spans="1:6" x14ac:dyDescent="0.25">
      <c r="A4045">
        <v>3690</v>
      </c>
      <c r="B4045" t="s">
        <v>4072</v>
      </c>
      <c r="C4045">
        <v>42</v>
      </c>
      <c r="D4045" t="s">
        <v>4082</v>
      </c>
      <c r="E4045" t="s">
        <v>4083</v>
      </c>
      <c r="F4045" t="s">
        <v>4079</v>
      </c>
    </row>
    <row r="4046" spans="1:6" x14ac:dyDescent="0.25">
      <c r="A4046">
        <v>3691</v>
      </c>
      <c r="B4046" t="s">
        <v>4072</v>
      </c>
      <c r="C4046">
        <v>1</v>
      </c>
      <c r="D4046" t="s">
        <v>2761</v>
      </c>
      <c r="E4046" t="s">
        <v>4089</v>
      </c>
      <c r="F4046" t="s">
        <v>4075</v>
      </c>
    </row>
    <row r="4047" spans="1:6" x14ac:dyDescent="0.25">
      <c r="A4047">
        <v>3691</v>
      </c>
      <c r="B4047" t="s">
        <v>4072</v>
      </c>
      <c r="C4047">
        <v>38</v>
      </c>
      <c r="D4047" t="s">
        <v>2761</v>
      </c>
      <c r="E4047" t="s">
        <v>4089</v>
      </c>
      <c r="F4047" t="s">
        <v>4076</v>
      </c>
    </row>
    <row r="4048" spans="1:6" x14ac:dyDescent="0.25">
      <c r="A4048">
        <v>3691</v>
      </c>
      <c r="B4048" t="s">
        <v>4072</v>
      </c>
      <c r="C4048">
        <v>43</v>
      </c>
      <c r="D4048" t="s">
        <v>2761</v>
      </c>
      <c r="E4048" t="s">
        <v>4089</v>
      </c>
      <c r="F4048" t="s">
        <v>4079</v>
      </c>
    </row>
    <row r="4049" spans="1:6" x14ac:dyDescent="0.25">
      <c r="A4049">
        <v>3693</v>
      </c>
      <c r="B4049" t="s">
        <v>4072</v>
      </c>
      <c r="C4049">
        <v>2</v>
      </c>
      <c r="D4049" t="s">
        <v>4082</v>
      </c>
      <c r="E4049" t="s">
        <v>4083</v>
      </c>
      <c r="F4049" t="s">
        <v>4075</v>
      </c>
    </row>
    <row r="4050" spans="1:6" x14ac:dyDescent="0.25">
      <c r="A4050">
        <v>3693</v>
      </c>
      <c r="B4050" t="s">
        <v>4072</v>
      </c>
      <c r="C4050">
        <v>3</v>
      </c>
      <c r="D4050" t="s">
        <v>4085</v>
      </c>
      <c r="E4050" t="s">
        <v>4086</v>
      </c>
      <c r="F4050" t="s">
        <v>4075</v>
      </c>
    </row>
    <row r="4051" spans="1:6" x14ac:dyDescent="0.25">
      <c r="A4051">
        <v>3693</v>
      </c>
      <c r="B4051" t="s">
        <v>4072</v>
      </c>
      <c r="C4051">
        <v>4</v>
      </c>
      <c r="D4051" t="s">
        <v>4077</v>
      </c>
      <c r="E4051" t="s">
        <v>4078</v>
      </c>
      <c r="F4051" t="s">
        <v>4075</v>
      </c>
    </row>
    <row r="4052" spans="1:6" x14ac:dyDescent="0.25">
      <c r="A4052">
        <v>3693</v>
      </c>
      <c r="B4052" t="s">
        <v>4072</v>
      </c>
      <c r="C4052">
        <v>5</v>
      </c>
      <c r="D4052" t="s">
        <v>4087</v>
      </c>
      <c r="E4052" t="s">
        <v>4088</v>
      </c>
      <c r="F4052" t="s">
        <v>4075</v>
      </c>
    </row>
    <row r="4053" spans="1:6" x14ac:dyDescent="0.25">
      <c r="A4053">
        <v>3693</v>
      </c>
      <c r="B4053" t="s">
        <v>4072</v>
      </c>
      <c r="C4053">
        <v>15</v>
      </c>
      <c r="D4053" t="s">
        <v>4080</v>
      </c>
      <c r="E4053" t="s">
        <v>4081</v>
      </c>
      <c r="F4053" t="s">
        <v>4076</v>
      </c>
    </row>
    <row r="4054" spans="1:6" x14ac:dyDescent="0.25">
      <c r="A4054">
        <v>3693</v>
      </c>
      <c r="B4054" t="s">
        <v>4072</v>
      </c>
      <c r="C4054">
        <v>16</v>
      </c>
      <c r="D4054" t="s">
        <v>4077</v>
      </c>
      <c r="E4054" t="s">
        <v>4078</v>
      </c>
      <c r="F4054" t="s">
        <v>4076</v>
      </c>
    </row>
    <row r="4055" spans="1:6" x14ac:dyDescent="0.25">
      <c r="A4055">
        <v>3693</v>
      </c>
      <c r="B4055" t="s">
        <v>4072</v>
      </c>
      <c r="C4055">
        <v>17</v>
      </c>
      <c r="D4055" t="s">
        <v>4082</v>
      </c>
      <c r="E4055" t="s">
        <v>4084</v>
      </c>
      <c r="F4055" t="s">
        <v>4076</v>
      </c>
    </row>
    <row r="4056" spans="1:6" x14ac:dyDescent="0.25">
      <c r="A4056">
        <v>3695</v>
      </c>
      <c r="B4056" t="s">
        <v>4092</v>
      </c>
      <c r="C4056">
        <v>24</v>
      </c>
      <c r="D4056" t="s">
        <v>2760</v>
      </c>
      <c r="E4056" t="s">
        <v>4108</v>
      </c>
      <c r="F4056" t="s">
        <v>4075</v>
      </c>
    </row>
    <row r="4057" spans="1:6" x14ac:dyDescent="0.25">
      <c r="A4057">
        <v>3695</v>
      </c>
      <c r="B4057" t="s">
        <v>4092</v>
      </c>
      <c r="C4057">
        <v>29</v>
      </c>
      <c r="D4057" t="s">
        <v>2760</v>
      </c>
      <c r="E4057" t="s">
        <v>4108</v>
      </c>
      <c r="F4057" t="s">
        <v>4076</v>
      </c>
    </row>
    <row r="4058" spans="1:6" x14ac:dyDescent="0.25">
      <c r="A4058">
        <v>3695</v>
      </c>
      <c r="B4058" t="s">
        <v>4092</v>
      </c>
      <c r="C4058">
        <v>49</v>
      </c>
      <c r="D4058" t="s">
        <v>2760</v>
      </c>
      <c r="E4058" t="s">
        <v>4108</v>
      </c>
      <c r="F4058" t="s">
        <v>4079</v>
      </c>
    </row>
    <row r="4059" spans="1:6" x14ac:dyDescent="0.25">
      <c r="A4059">
        <v>3696</v>
      </c>
      <c r="B4059" t="s">
        <v>4092</v>
      </c>
      <c r="C4059">
        <v>24</v>
      </c>
      <c r="D4059" t="s">
        <v>2760</v>
      </c>
      <c r="E4059" t="s">
        <v>4108</v>
      </c>
      <c r="F4059" t="s">
        <v>4075</v>
      </c>
    </row>
    <row r="4060" spans="1:6" x14ac:dyDescent="0.25">
      <c r="A4060">
        <v>3696</v>
      </c>
      <c r="B4060" t="s">
        <v>4092</v>
      </c>
      <c r="C4060">
        <v>29</v>
      </c>
      <c r="D4060" t="s">
        <v>2760</v>
      </c>
      <c r="E4060" t="s">
        <v>4108</v>
      </c>
      <c r="F4060" t="s">
        <v>4076</v>
      </c>
    </row>
    <row r="4061" spans="1:6" x14ac:dyDescent="0.25">
      <c r="A4061">
        <v>3696</v>
      </c>
      <c r="B4061" t="s">
        <v>4092</v>
      </c>
      <c r="C4061">
        <v>49</v>
      </c>
      <c r="D4061" t="s">
        <v>2760</v>
      </c>
      <c r="E4061" t="s">
        <v>4108</v>
      </c>
      <c r="F4061" t="s">
        <v>4079</v>
      </c>
    </row>
    <row r="4062" spans="1:6" x14ac:dyDescent="0.25">
      <c r="A4062">
        <v>3697</v>
      </c>
      <c r="B4062" t="s">
        <v>4072</v>
      </c>
      <c r="C4062">
        <v>5</v>
      </c>
      <c r="D4062" t="s">
        <v>4087</v>
      </c>
      <c r="E4062" t="s">
        <v>4088</v>
      </c>
      <c r="F4062" t="s">
        <v>4075</v>
      </c>
    </row>
    <row r="4063" spans="1:6" x14ac:dyDescent="0.25">
      <c r="A4063">
        <v>3697</v>
      </c>
      <c r="B4063" t="s">
        <v>4072</v>
      </c>
      <c r="C4063">
        <v>15</v>
      </c>
      <c r="D4063" t="s">
        <v>4080</v>
      </c>
      <c r="E4063" t="s">
        <v>4081</v>
      </c>
      <c r="F4063" t="s">
        <v>4076</v>
      </c>
    </row>
    <row r="4064" spans="1:6" x14ac:dyDescent="0.25">
      <c r="A4064">
        <v>3697</v>
      </c>
      <c r="B4064" t="s">
        <v>4072</v>
      </c>
      <c r="C4064">
        <v>40</v>
      </c>
      <c r="D4064" t="s">
        <v>4080</v>
      </c>
      <c r="E4064" t="s">
        <v>4081</v>
      </c>
      <c r="F4064" t="s">
        <v>4079</v>
      </c>
    </row>
    <row r="4065" spans="1:6" x14ac:dyDescent="0.25">
      <c r="A4065">
        <v>3698</v>
      </c>
      <c r="B4065" t="s">
        <v>4092</v>
      </c>
      <c r="C4065">
        <v>23</v>
      </c>
      <c r="D4065" t="s">
        <v>2757</v>
      </c>
      <c r="E4065" t="s">
        <v>4093</v>
      </c>
      <c r="F4065" t="s">
        <v>4075</v>
      </c>
    </row>
    <row r="4066" spans="1:6" x14ac:dyDescent="0.25">
      <c r="A4066">
        <v>3699</v>
      </c>
      <c r="B4066" t="s">
        <v>4092</v>
      </c>
      <c r="C4066">
        <v>33</v>
      </c>
      <c r="D4066" t="s">
        <v>4109</v>
      </c>
      <c r="E4066" t="s">
        <v>4110</v>
      </c>
      <c r="F4066" t="s">
        <v>4075</v>
      </c>
    </row>
    <row r="4067" spans="1:6" x14ac:dyDescent="0.25">
      <c r="A4067">
        <v>3702</v>
      </c>
      <c r="B4067" t="s">
        <v>4072</v>
      </c>
      <c r="C4067">
        <v>1</v>
      </c>
      <c r="D4067" t="s">
        <v>2761</v>
      </c>
      <c r="E4067" t="s">
        <v>4089</v>
      </c>
      <c r="F4067" t="s">
        <v>4075</v>
      </c>
    </row>
    <row r="4068" spans="1:6" x14ac:dyDescent="0.25">
      <c r="A4068">
        <v>3702</v>
      </c>
      <c r="B4068" t="s">
        <v>4072</v>
      </c>
      <c r="C4068">
        <v>2</v>
      </c>
      <c r="D4068" t="s">
        <v>4082</v>
      </c>
      <c r="E4068" t="s">
        <v>4083</v>
      </c>
      <c r="F4068" t="s">
        <v>4075</v>
      </c>
    </row>
    <row r="4069" spans="1:6" x14ac:dyDescent="0.25">
      <c r="A4069">
        <v>3702</v>
      </c>
      <c r="B4069" t="s">
        <v>4072</v>
      </c>
      <c r="C4069">
        <v>4</v>
      </c>
      <c r="D4069" t="s">
        <v>4077</v>
      </c>
      <c r="E4069" t="s">
        <v>4078</v>
      </c>
      <c r="F4069" t="s">
        <v>4075</v>
      </c>
    </row>
    <row r="4070" spans="1:6" x14ac:dyDescent="0.25">
      <c r="A4070">
        <v>3702</v>
      </c>
      <c r="B4070" t="s">
        <v>4072</v>
      </c>
      <c r="C4070">
        <v>5</v>
      </c>
      <c r="D4070" t="s">
        <v>4087</v>
      </c>
      <c r="E4070" t="s">
        <v>4088</v>
      </c>
      <c r="F4070" t="s">
        <v>4075</v>
      </c>
    </row>
    <row r="4071" spans="1:6" x14ac:dyDescent="0.25">
      <c r="A4071">
        <v>3703</v>
      </c>
      <c r="B4071" t="s">
        <v>4092</v>
      </c>
      <c r="C4071">
        <v>23</v>
      </c>
      <c r="D4071" t="s">
        <v>2757</v>
      </c>
      <c r="E4071" t="s">
        <v>4093</v>
      </c>
      <c r="F4071" t="s">
        <v>4075</v>
      </c>
    </row>
    <row r="4072" spans="1:6" x14ac:dyDescent="0.25">
      <c r="A4072">
        <v>3704</v>
      </c>
      <c r="B4072" t="s">
        <v>4092</v>
      </c>
      <c r="C4072">
        <v>33</v>
      </c>
      <c r="D4072" t="s">
        <v>4109</v>
      </c>
      <c r="E4072" t="s">
        <v>4110</v>
      </c>
      <c r="F4072" t="s">
        <v>4075</v>
      </c>
    </row>
    <row r="4073" spans="1:6" x14ac:dyDescent="0.25">
      <c r="A4073">
        <v>3706</v>
      </c>
      <c r="B4073" t="s">
        <v>4092</v>
      </c>
      <c r="C4073">
        <v>33</v>
      </c>
      <c r="D4073" t="s">
        <v>4109</v>
      </c>
      <c r="E4073" t="s">
        <v>4110</v>
      </c>
      <c r="F4073" t="s">
        <v>4075</v>
      </c>
    </row>
    <row r="4074" spans="1:6" x14ac:dyDescent="0.25">
      <c r="A4074">
        <v>3706</v>
      </c>
      <c r="B4074" t="s">
        <v>4092</v>
      </c>
      <c r="C4074">
        <v>34</v>
      </c>
      <c r="D4074" t="s">
        <v>4109</v>
      </c>
      <c r="E4074" t="s">
        <v>4110</v>
      </c>
      <c r="F4074" t="s">
        <v>4076</v>
      </c>
    </row>
    <row r="4075" spans="1:6" x14ac:dyDescent="0.25">
      <c r="A4075">
        <v>3706</v>
      </c>
      <c r="B4075" t="s">
        <v>4092</v>
      </c>
      <c r="C4075">
        <v>51</v>
      </c>
      <c r="D4075" t="s">
        <v>4109</v>
      </c>
      <c r="E4075" t="s">
        <v>4111</v>
      </c>
      <c r="F4075" t="s">
        <v>4079</v>
      </c>
    </row>
    <row r="4076" spans="1:6" x14ac:dyDescent="0.25">
      <c r="A4076">
        <v>3707</v>
      </c>
      <c r="B4076" t="s">
        <v>4092</v>
      </c>
      <c r="C4076">
        <v>23</v>
      </c>
      <c r="D4076" t="s">
        <v>2757</v>
      </c>
      <c r="E4076" t="s">
        <v>4093</v>
      </c>
      <c r="F4076" t="s">
        <v>4075</v>
      </c>
    </row>
    <row r="4077" spans="1:6" x14ac:dyDescent="0.25">
      <c r="A4077">
        <v>3707</v>
      </c>
      <c r="B4077" t="s">
        <v>4092</v>
      </c>
      <c r="C4077">
        <v>28</v>
      </c>
      <c r="D4077" t="s">
        <v>2757</v>
      </c>
      <c r="E4077" t="s">
        <v>4093</v>
      </c>
      <c r="F4077" t="s">
        <v>4076</v>
      </c>
    </row>
    <row r="4078" spans="1:6" x14ac:dyDescent="0.25">
      <c r="A4078">
        <v>3707</v>
      </c>
      <c r="B4078" t="s">
        <v>4092</v>
      </c>
      <c r="C4078">
        <v>48</v>
      </c>
      <c r="D4078" t="s">
        <v>2757</v>
      </c>
      <c r="E4078" t="s">
        <v>4093</v>
      </c>
      <c r="F4078" t="s">
        <v>4079</v>
      </c>
    </row>
    <row r="4079" spans="1:6" x14ac:dyDescent="0.25">
      <c r="A4079">
        <v>3708</v>
      </c>
      <c r="B4079" t="s">
        <v>4092</v>
      </c>
      <c r="C4079">
        <v>25</v>
      </c>
      <c r="D4079" t="s">
        <v>4102</v>
      </c>
      <c r="E4079" t="s">
        <v>4103</v>
      </c>
      <c r="F4079" t="s">
        <v>4075</v>
      </c>
    </row>
    <row r="4080" spans="1:6" x14ac:dyDescent="0.25">
      <c r="A4080">
        <v>3708</v>
      </c>
      <c r="B4080" t="s">
        <v>4092</v>
      </c>
      <c r="C4080">
        <v>30</v>
      </c>
      <c r="D4080" t="s">
        <v>4102</v>
      </c>
      <c r="E4080" t="s">
        <v>4103</v>
      </c>
      <c r="F4080" t="s">
        <v>4076</v>
      </c>
    </row>
    <row r="4081" spans="1:6" x14ac:dyDescent="0.25">
      <c r="A4081">
        <v>3708</v>
      </c>
      <c r="B4081" t="s">
        <v>4092</v>
      </c>
      <c r="C4081">
        <v>50</v>
      </c>
      <c r="D4081" t="s">
        <v>4102</v>
      </c>
      <c r="E4081" t="s">
        <v>4103</v>
      </c>
      <c r="F4081" t="s">
        <v>4079</v>
      </c>
    </row>
    <row r="4082" spans="1:6" x14ac:dyDescent="0.25">
      <c r="A4082">
        <v>3709</v>
      </c>
      <c r="B4082" t="s">
        <v>4092</v>
      </c>
      <c r="C4082">
        <v>33</v>
      </c>
      <c r="D4082" t="s">
        <v>4109</v>
      </c>
      <c r="E4082" t="s">
        <v>4110</v>
      </c>
      <c r="F4082" t="s">
        <v>4075</v>
      </c>
    </row>
    <row r="4083" spans="1:6" x14ac:dyDescent="0.25">
      <c r="A4083">
        <v>3710</v>
      </c>
      <c r="B4083" t="s">
        <v>4092</v>
      </c>
      <c r="C4083">
        <v>33</v>
      </c>
      <c r="D4083" t="s">
        <v>4109</v>
      </c>
      <c r="E4083" t="s">
        <v>4110</v>
      </c>
      <c r="F4083" t="s">
        <v>4075</v>
      </c>
    </row>
    <row r="4084" spans="1:6" x14ac:dyDescent="0.25">
      <c r="A4084">
        <v>3710</v>
      </c>
      <c r="B4084" t="s">
        <v>4092</v>
      </c>
      <c r="C4084">
        <v>34</v>
      </c>
      <c r="D4084" t="s">
        <v>4109</v>
      </c>
      <c r="E4084" t="s">
        <v>4110</v>
      </c>
      <c r="F4084" t="s">
        <v>4076</v>
      </c>
    </row>
    <row r="4085" spans="1:6" x14ac:dyDescent="0.25">
      <c r="A4085">
        <v>3710</v>
      </c>
      <c r="B4085" t="s">
        <v>4092</v>
      </c>
      <c r="C4085">
        <v>51</v>
      </c>
      <c r="D4085" t="s">
        <v>4109</v>
      </c>
      <c r="E4085" t="s">
        <v>4111</v>
      </c>
      <c r="F4085" t="s">
        <v>4079</v>
      </c>
    </row>
    <row r="4086" spans="1:6" x14ac:dyDescent="0.25">
      <c r="A4086">
        <v>3714</v>
      </c>
      <c r="B4086" t="s">
        <v>4092</v>
      </c>
      <c r="C4086">
        <v>33</v>
      </c>
      <c r="D4086" t="s">
        <v>4109</v>
      </c>
      <c r="E4086" t="s">
        <v>4110</v>
      </c>
      <c r="F4086" t="s">
        <v>4075</v>
      </c>
    </row>
    <row r="4087" spans="1:6" x14ac:dyDescent="0.25">
      <c r="A4087">
        <v>3714</v>
      </c>
      <c r="B4087" t="s">
        <v>4092</v>
      </c>
      <c r="C4087">
        <v>34</v>
      </c>
      <c r="D4087" t="s">
        <v>4109</v>
      </c>
      <c r="E4087" t="s">
        <v>4110</v>
      </c>
      <c r="F4087" t="s">
        <v>4076</v>
      </c>
    </row>
    <row r="4088" spans="1:6" x14ac:dyDescent="0.25">
      <c r="A4088">
        <v>3714</v>
      </c>
      <c r="B4088" t="s">
        <v>4092</v>
      </c>
      <c r="C4088">
        <v>51</v>
      </c>
      <c r="D4088" t="s">
        <v>4109</v>
      </c>
      <c r="E4088" t="s">
        <v>4111</v>
      </c>
      <c r="F4088" t="s">
        <v>4079</v>
      </c>
    </row>
    <row r="4089" spans="1:6" x14ac:dyDescent="0.25">
      <c r="A4089">
        <v>3715</v>
      </c>
      <c r="B4089" t="s">
        <v>4092</v>
      </c>
      <c r="C4089">
        <v>33</v>
      </c>
      <c r="D4089" t="s">
        <v>4109</v>
      </c>
      <c r="E4089" t="s">
        <v>4110</v>
      </c>
      <c r="F4089" t="s">
        <v>4075</v>
      </c>
    </row>
    <row r="4090" spans="1:6" x14ac:dyDescent="0.25">
      <c r="A4090">
        <v>3715</v>
      </c>
      <c r="B4090" t="s">
        <v>4092</v>
      </c>
      <c r="C4090">
        <v>34</v>
      </c>
      <c r="D4090" t="s">
        <v>4109</v>
      </c>
      <c r="E4090" t="s">
        <v>4110</v>
      </c>
      <c r="F4090" t="s">
        <v>4076</v>
      </c>
    </row>
    <row r="4091" spans="1:6" x14ac:dyDescent="0.25">
      <c r="A4091">
        <v>3715</v>
      </c>
      <c r="B4091" t="s">
        <v>4092</v>
      </c>
      <c r="C4091">
        <v>51</v>
      </c>
      <c r="D4091" t="s">
        <v>4109</v>
      </c>
      <c r="E4091" t="s">
        <v>4111</v>
      </c>
      <c r="F4091" t="s">
        <v>4079</v>
      </c>
    </row>
    <row r="4092" spans="1:6" x14ac:dyDescent="0.25">
      <c r="A4092">
        <v>3716</v>
      </c>
      <c r="B4092" t="s">
        <v>4092</v>
      </c>
      <c r="C4092">
        <v>23</v>
      </c>
      <c r="D4092" t="s">
        <v>2757</v>
      </c>
      <c r="E4092" t="s">
        <v>4093</v>
      </c>
      <c r="F4092" t="s">
        <v>4075</v>
      </c>
    </row>
    <row r="4093" spans="1:6" x14ac:dyDescent="0.25">
      <c r="A4093">
        <v>3716</v>
      </c>
      <c r="B4093" t="s">
        <v>4092</v>
      </c>
      <c r="C4093">
        <v>24</v>
      </c>
      <c r="D4093" t="s">
        <v>2760</v>
      </c>
      <c r="E4093" t="s">
        <v>4108</v>
      </c>
      <c r="F4093" t="s">
        <v>4075</v>
      </c>
    </row>
    <row r="4094" spans="1:6" x14ac:dyDescent="0.25">
      <c r="A4094">
        <v>3716</v>
      </c>
      <c r="B4094" t="s">
        <v>4092</v>
      </c>
      <c r="C4094">
        <v>28</v>
      </c>
      <c r="D4094" t="s">
        <v>2757</v>
      </c>
      <c r="E4094" t="s">
        <v>4093</v>
      </c>
      <c r="F4094" t="s">
        <v>4076</v>
      </c>
    </row>
    <row r="4095" spans="1:6" x14ac:dyDescent="0.25">
      <c r="A4095">
        <v>3716</v>
      </c>
      <c r="B4095" t="s">
        <v>4092</v>
      </c>
      <c r="C4095">
        <v>29</v>
      </c>
      <c r="D4095" t="s">
        <v>2760</v>
      </c>
      <c r="E4095" t="s">
        <v>4108</v>
      </c>
      <c r="F4095" t="s">
        <v>4076</v>
      </c>
    </row>
    <row r="4096" spans="1:6" x14ac:dyDescent="0.25">
      <c r="A4096">
        <v>3716</v>
      </c>
      <c r="B4096" t="s">
        <v>4092</v>
      </c>
      <c r="C4096">
        <v>48</v>
      </c>
      <c r="D4096" t="s">
        <v>2757</v>
      </c>
      <c r="E4096" t="s">
        <v>4093</v>
      </c>
      <c r="F4096" t="s">
        <v>4079</v>
      </c>
    </row>
    <row r="4097" spans="1:6" x14ac:dyDescent="0.25">
      <c r="A4097">
        <v>3716</v>
      </c>
      <c r="B4097" t="s">
        <v>4092</v>
      </c>
      <c r="C4097">
        <v>49</v>
      </c>
      <c r="D4097" t="s">
        <v>2760</v>
      </c>
      <c r="E4097" t="s">
        <v>4108</v>
      </c>
      <c r="F4097" t="s">
        <v>4079</v>
      </c>
    </row>
    <row r="4098" spans="1:6" x14ac:dyDescent="0.25">
      <c r="A4098">
        <v>3717</v>
      </c>
      <c r="B4098" t="s">
        <v>4072</v>
      </c>
      <c r="C4098">
        <v>5</v>
      </c>
      <c r="D4098" t="s">
        <v>4087</v>
      </c>
      <c r="E4098" t="s">
        <v>4088</v>
      </c>
      <c r="F4098" t="s">
        <v>4075</v>
      </c>
    </row>
    <row r="4099" spans="1:6" x14ac:dyDescent="0.25">
      <c r="A4099">
        <v>3717</v>
      </c>
      <c r="B4099" t="s">
        <v>4072</v>
      </c>
      <c r="C4099">
        <v>15</v>
      </c>
      <c r="D4099" t="s">
        <v>4080</v>
      </c>
      <c r="E4099" t="s">
        <v>4081</v>
      </c>
      <c r="F4099" t="s">
        <v>4076</v>
      </c>
    </row>
    <row r="4100" spans="1:6" x14ac:dyDescent="0.25">
      <c r="A4100">
        <v>3717</v>
      </c>
      <c r="B4100" t="s">
        <v>4072</v>
      </c>
      <c r="C4100">
        <v>40</v>
      </c>
      <c r="D4100" t="s">
        <v>4080</v>
      </c>
      <c r="E4100" t="s">
        <v>4081</v>
      </c>
      <c r="F4100" t="s">
        <v>4079</v>
      </c>
    </row>
    <row r="4101" spans="1:6" x14ac:dyDescent="0.25">
      <c r="A4101">
        <v>3718</v>
      </c>
      <c r="B4101" t="s">
        <v>4072</v>
      </c>
      <c r="C4101">
        <v>3</v>
      </c>
      <c r="D4101" t="s">
        <v>4085</v>
      </c>
      <c r="E4101" t="s">
        <v>4086</v>
      </c>
      <c r="F4101" t="s">
        <v>4075</v>
      </c>
    </row>
    <row r="4102" spans="1:6" x14ac:dyDescent="0.25">
      <c r="A4102">
        <v>3718</v>
      </c>
      <c r="B4102" t="s">
        <v>4072</v>
      </c>
      <c r="C4102">
        <v>15</v>
      </c>
      <c r="D4102" t="s">
        <v>4080</v>
      </c>
      <c r="E4102" t="s">
        <v>4081</v>
      </c>
      <c r="F4102" t="s">
        <v>4076</v>
      </c>
    </row>
    <row r="4103" spans="1:6" x14ac:dyDescent="0.25">
      <c r="A4103">
        <v>3718</v>
      </c>
      <c r="B4103" t="s">
        <v>4072</v>
      </c>
      <c r="C4103">
        <v>40</v>
      </c>
      <c r="D4103" t="s">
        <v>4080</v>
      </c>
      <c r="E4103" t="s">
        <v>4081</v>
      </c>
      <c r="F4103" t="s">
        <v>4079</v>
      </c>
    </row>
    <row r="4104" spans="1:6" x14ac:dyDescent="0.25">
      <c r="A4104">
        <v>3719</v>
      </c>
      <c r="B4104" t="s">
        <v>4072</v>
      </c>
      <c r="C4104">
        <v>4</v>
      </c>
      <c r="D4104" t="s">
        <v>4077</v>
      </c>
      <c r="E4104" t="s">
        <v>4078</v>
      </c>
      <c r="F4104" t="s">
        <v>4075</v>
      </c>
    </row>
    <row r="4105" spans="1:6" x14ac:dyDescent="0.25">
      <c r="A4105">
        <v>3719</v>
      </c>
      <c r="B4105" t="s">
        <v>4072</v>
      </c>
      <c r="C4105">
        <v>16</v>
      </c>
      <c r="D4105" t="s">
        <v>4077</v>
      </c>
      <c r="E4105" t="s">
        <v>4078</v>
      </c>
      <c r="F4105" t="s">
        <v>4076</v>
      </c>
    </row>
    <row r="4106" spans="1:6" x14ac:dyDescent="0.25">
      <c r="A4106">
        <v>3719</v>
      </c>
      <c r="B4106" t="s">
        <v>4072</v>
      </c>
      <c r="C4106">
        <v>44</v>
      </c>
      <c r="D4106" t="s">
        <v>4077</v>
      </c>
      <c r="E4106" t="s">
        <v>4078</v>
      </c>
      <c r="F4106" t="s">
        <v>4079</v>
      </c>
    </row>
    <row r="4107" spans="1:6" x14ac:dyDescent="0.25">
      <c r="A4107">
        <v>3720</v>
      </c>
      <c r="B4107" t="s">
        <v>4072</v>
      </c>
      <c r="C4107">
        <v>4</v>
      </c>
      <c r="D4107" t="s">
        <v>4077</v>
      </c>
      <c r="E4107" t="s">
        <v>4078</v>
      </c>
      <c r="F4107" t="s">
        <v>4075</v>
      </c>
    </row>
    <row r="4108" spans="1:6" x14ac:dyDescent="0.25">
      <c r="A4108">
        <v>3720</v>
      </c>
      <c r="B4108" t="s">
        <v>4072</v>
      </c>
      <c r="C4108">
        <v>16</v>
      </c>
      <c r="D4108" t="s">
        <v>4077</v>
      </c>
      <c r="E4108" t="s">
        <v>4078</v>
      </c>
      <c r="F4108" t="s">
        <v>4076</v>
      </c>
    </row>
    <row r="4109" spans="1:6" x14ac:dyDescent="0.25">
      <c r="A4109">
        <v>3720</v>
      </c>
      <c r="B4109" t="s">
        <v>4072</v>
      </c>
      <c r="C4109">
        <v>44</v>
      </c>
      <c r="D4109" t="s">
        <v>4077</v>
      </c>
      <c r="E4109" t="s">
        <v>4078</v>
      </c>
      <c r="F4109" t="s">
        <v>4079</v>
      </c>
    </row>
    <row r="4110" spans="1:6" x14ac:dyDescent="0.25">
      <c r="A4110">
        <v>3721</v>
      </c>
      <c r="B4110" t="s">
        <v>4072</v>
      </c>
      <c r="C4110">
        <v>2</v>
      </c>
      <c r="D4110" t="s">
        <v>4082</v>
      </c>
      <c r="E4110" t="s">
        <v>4083</v>
      </c>
      <c r="F4110" t="s">
        <v>4075</v>
      </c>
    </row>
    <row r="4111" spans="1:6" x14ac:dyDescent="0.25">
      <c r="A4111">
        <v>3721</v>
      </c>
      <c r="B4111" t="s">
        <v>4072</v>
      </c>
      <c r="C4111">
        <v>17</v>
      </c>
      <c r="D4111" t="s">
        <v>4082</v>
      </c>
      <c r="E4111" t="s">
        <v>4084</v>
      </c>
      <c r="F4111" t="s">
        <v>4076</v>
      </c>
    </row>
    <row r="4112" spans="1:6" x14ac:dyDescent="0.25">
      <c r="A4112">
        <v>3721</v>
      </c>
      <c r="B4112" t="s">
        <v>4072</v>
      </c>
      <c r="C4112">
        <v>42</v>
      </c>
      <c r="D4112" t="s">
        <v>4082</v>
      </c>
      <c r="E4112" t="s">
        <v>4083</v>
      </c>
      <c r="F4112" t="s">
        <v>4079</v>
      </c>
    </row>
    <row r="4113" spans="1:6" x14ac:dyDescent="0.25">
      <c r="A4113">
        <v>3722</v>
      </c>
      <c r="B4113" t="s">
        <v>4072</v>
      </c>
      <c r="C4113">
        <v>1</v>
      </c>
      <c r="D4113" t="s">
        <v>2761</v>
      </c>
      <c r="E4113" t="s">
        <v>4089</v>
      </c>
      <c r="F4113" t="s">
        <v>4075</v>
      </c>
    </row>
    <row r="4114" spans="1:6" x14ac:dyDescent="0.25">
      <c r="A4114">
        <v>3722</v>
      </c>
      <c r="B4114" t="s">
        <v>4072</v>
      </c>
      <c r="C4114">
        <v>38</v>
      </c>
      <c r="D4114" t="s">
        <v>2761</v>
      </c>
      <c r="E4114" t="s">
        <v>4089</v>
      </c>
      <c r="F4114" t="s">
        <v>4076</v>
      </c>
    </row>
    <row r="4115" spans="1:6" x14ac:dyDescent="0.25">
      <c r="A4115">
        <v>3722</v>
      </c>
      <c r="B4115" t="s">
        <v>4072</v>
      </c>
      <c r="C4115">
        <v>43</v>
      </c>
      <c r="D4115" t="s">
        <v>2761</v>
      </c>
      <c r="E4115" t="s">
        <v>4089</v>
      </c>
      <c r="F4115" t="s">
        <v>4079</v>
      </c>
    </row>
    <row r="4116" spans="1:6" x14ac:dyDescent="0.25">
      <c r="A4116">
        <v>3723</v>
      </c>
      <c r="B4116" t="s">
        <v>4072</v>
      </c>
      <c r="C4116">
        <v>6</v>
      </c>
      <c r="D4116" t="s">
        <v>4073</v>
      </c>
      <c r="E4116" t="s">
        <v>4074</v>
      </c>
      <c r="F4116" t="s">
        <v>4075</v>
      </c>
    </row>
    <row r="4117" spans="1:6" x14ac:dyDescent="0.25">
      <c r="A4117">
        <v>3723</v>
      </c>
      <c r="B4117" t="s">
        <v>4072</v>
      </c>
      <c r="C4117">
        <v>19</v>
      </c>
      <c r="D4117" t="s">
        <v>4073</v>
      </c>
      <c r="E4117" t="s">
        <v>4074</v>
      </c>
      <c r="F4117" t="s">
        <v>4076</v>
      </c>
    </row>
    <row r="4118" spans="1:6" x14ac:dyDescent="0.25">
      <c r="A4118">
        <v>3723</v>
      </c>
      <c r="B4118" t="s">
        <v>4072</v>
      </c>
      <c r="C4118">
        <v>39</v>
      </c>
      <c r="D4118" t="s">
        <v>4073</v>
      </c>
      <c r="E4118" t="s">
        <v>4074</v>
      </c>
      <c r="F4118" t="s">
        <v>4079</v>
      </c>
    </row>
    <row r="4119" spans="1:6" x14ac:dyDescent="0.25">
      <c r="A4119">
        <v>3724</v>
      </c>
      <c r="B4119" t="s">
        <v>4072</v>
      </c>
      <c r="C4119">
        <v>5</v>
      </c>
      <c r="D4119" t="s">
        <v>4087</v>
      </c>
      <c r="E4119" t="s">
        <v>4088</v>
      </c>
      <c r="F4119" t="s">
        <v>4075</v>
      </c>
    </row>
    <row r="4120" spans="1:6" x14ac:dyDescent="0.25">
      <c r="A4120">
        <v>3724</v>
      </c>
      <c r="B4120" t="s">
        <v>4072</v>
      </c>
      <c r="C4120">
        <v>15</v>
      </c>
      <c r="D4120" t="s">
        <v>4080</v>
      </c>
      <c r="E4120" t="s">
        <v>4081</v>
      </c>
      <c r="F4120" t="s">
        <v>4076</v>
      </c>
    </row>
    <row r="4121" spans="1:6" x14ac:dyDescent="0.25">
      <c r="A4121">
        <v>3724</v>
      </c>
      <c r="B4121" t="s">
        <v>4072</v>
      </c>
      <c r="C4121">
        <v>40</v>
      </c>
      <c r="D4121" t="s">
        <v>4080</v>
      </c>
      <c r="E4121" t="s">
        <v>4081</v>
      </c>
      <c r="F4121" t="s">
        <v>4079</v>
      </c>
    </row>
    <row r="4122" spans="1:6" x14ac:dyDescent="0.25">
      <c r="A4122">
        <v>3725</v>
      </c>
      <c r="B4122" t="s">
        <v>4072</v>
      </c>
      <c r="C4122">
        <v>3</v>
      </c>
      <c r="D4122" t="s">
        <v>4085</v>
      </c>
      <c r="E4122" t="s">
        <v>4086</v>
      </c>
      <c r="F4122" t="s">
        <v>4075</v>
      </c>
    </row>
    <row r="4123" spans="1:6" x14ac:dyDescent="0.25">
      <c r="A4123">
        <v>3725</v>
      </c>
      <c r="B4123" t="s">
        <v>4072</v>
      </c>
      <c r="C4123">
        <v>15</v>
      </c>
      <c r="D4123" t="s">
        <v>4080</v>
      </c>
      <c r="E4123" t="s">
        <v>4081</v>
      </c>
      <c r="F4123" t="s">
        <v>4076</v>
      </c>
    </row>
    <row r="4124" spans="1:6" x14ac:dyDescent="0.25">
      <c r="A4124">
        <v>3725</v>
      </c>
      <c r="B4124" t="s">
        <v>4072</v>
      </c>
      <c r="C4124">
        <v>40</v>
      </c>
      <c r="D4124" t="s">
        <v>4080</v>
      </c>
      <c r="E4124" t="s">
        <v>4081</v>
      </c>
      <c r="F4124" t="s">
        <v>4079</v>
      </c>
    </row>
    <row r="4125" spans="1:6" x14ac:dyDescent="0.25">
      <c r="A4125">
        <v>3726</v>
      </c>
      <c r="B4125" t="s">
        <v>4072</v>
      </c>
      <c r="C4125">
        <v>4</v>
      </c>
      <c r="D4125" t="s">
        <v>4077</v>
      </c>
      <c r="E4125" t="s">
        <v>4078</v>
      </c>
      <c r="F4125" t="s">
        <v>4075</v>
      </c>
    </row>
    <row r="4126" spans="1:6" x14ac:dyDescent="0.25">
      <c r="A4126">
        <v>3726</v>
      </c>
      <c r="B4126" t="s">
        <v>4072</v>
      </c>
      <c r="C4126">
        <v>16</v>
      </c>
      <c r="D4126" t="s">
        <v>4077</v>
      </c>
      <c r="E4126" t="s">
        <v>4078</v>
      </c>
      <c r="F4126" t="s">
        <v>4076</v>
      </c>
    </row>
    <row r="4127" spans="1:6" x14ac:dyDescent="0.25">
      <c r="A4127">
        <v>3726</v>
      </c>
      <c r="B4127" t="s">
        <v>4072</v>
      </c>
      <c r="C4127">
        <v>44</v>
      </c>
      <c r="D4127" t="s">
        <v>4077</v>
      </c>
      <c r="E4127" t="s">
        <v>4078</v>
      </c>
      <c r="F4127" t="s">
        <v>4079</v>
      </c>
    </row>
    <row r="4128" spans="1:6" x14ac:dyDescent="0.25">
      <c r="A4128">
        <v>3727</v>
      </c>
      <c r="B4128" t="s">
        <v>4092</v>
      </c>
      <c r="C4128">
        <v>33</v>
      </c>
      <c r="D4128" t="s">
        <v>4109</v>
      </c>
      <c r="E4128" t="s">
        <v>4110</v>
      </c>
      <c r="F4128" t="s">
        <v>4075</v>
      </c>
    </row>
    <row r="4129" spans="1:6" x14ac:dyDescent="0.25">
      <c r="A4129">
        <v>3727</v>
      </c>
      <c r="B4129" t="s">
        <v>4092</v>
      </c>
      <c r="C4129">
        <v>34</v>
      </c>
      <c r="D4129" t="s">
        <v>4109</v>
      </c>
      <c r="E4129" t="s">
        <v>4110</v>
      </c>
      <c r="F4129" t="s">
        <v>4076</v>
      </c>
    </row>
    <row r="4130" spans="1:6" x14ac:dyDescent="0.25">
      <c r="A4130">
        <v>3727</v>
      </c>
      <c r="B4130" t="s">
        <v>4092</v>
      </c>
      <c r="C4130">
        <v>51</v>
      </c>
      <c r="D4130" t="s">
        <v>4109</v>
      </c>
      <c r="E4130" t="s">
        <v>4111</v>
      </c>
      <c r="F4130" t="s">
        <v>4079</v>
      </c>
    </row>
    <row r="4131" spans="1:6" x14ac:dyDescent="0.25">
      <c r="A4131">
        <v>3728</v>
      </c>
      <c r="B4131" t="s">
        <v>4092</v>
      </c>
      <c r="C4131">
        <v>23</v>
      </c>
      <c r="D4131" t="s">
        <v>2757</v>
      </c>
      <c r="E4131" t="s">
        <v>4093</v>
      </c>
      <c r="F4131" t="s">
        <v>4075</v>
      </c>
    </row>
    <row r="4132" spans="1:6" x14ac:dyDescent="0.25">
      <c r="A4132">
        <v>3728</v>
      </c>
      <c r="B4132" t="s">
        <v>4092</v>
      </c>
      <c r="C4132">
        <v>28</v>
      </c>
      <c r="D4132" t="s">
        <v>2757</v>
      </c>
      <c r="E4132" t="s">
        <v>4093</v>
      </c>
      <c r="F4132" t="s">
        <v>4076</v>
      </c>
    </row>
    <row r="4133" spans="1:6" x14ac:dyDescent="0.25">
      <c r="A4133">
        <v>3728</v>
      </c>
      <c r="B4133" t="s">
        <v>4092</v>
      </c>
      <c r="C4133">
        <v>48</v>
      </c>
      <c r="D4133" t="s">
        <v>2757</v>
      </c>
      <c r="E4133" t="s">
        <v>4093</v>
      </c>
      <c r="F4133" t="s">
        <v>4079</v>
      </c>
    </row>
    <row r="4134" spans="1:6" x14ac:dyDescent="0.25">
      <c r="A4134">
        <v>3729</v>
      </c>
      <c r="B4134" t="s">
        <v>4092</v>
      </c>
      <c r="C4134">
        <v>25</v>
      </c>
      <c r="D4134" t="s">
        <v>4102</v>
      </c>
      <c r="E4134" t="s">
        <v>4103</v>
      </c>
      <c r="F4134" t="s">
        <v>4075</v>
      </c>
    </row>
    <row r="4135" spans="1:6" x14ac:dyDescent="0.25">
      <c r="A4135">
        <v>3729</v>
      </c>
      <c r="B4135" t="s">
        <v>4092</v>
      </c>
      <c r="C4135">
        <v>30</v>
      </c>
      <c r="D4135" t="s">
        <v>4102</v>
      </c>
      <c r="E4135" t="s">
        <v>4103</v>
      </c>
      <c r="F4135" t="s">
        <v>4076</v>
      </c>
    </row>
    <row r="4136" spans="1:6" x14ac:dyDescent="0.25">
      <c r="A4136">
        <v>3729</v>
      </c>
      <c r="B4136" t="s">
        <v>4092</v>
      </c>
      <c r="C4136">
        <v>50</v>
      </c>
      <c r="D4136" t="s">
        <v>4102</v>
      </c>
      <c r="E4136" t="s">
        <v>4103</v>
      </c>
      <c r="F4136" t="s">
        <v>4079</v>
      </c>
    </row>
    <row r="4137" spans="1:6" x14ac:dyDescent="0.25">
      <c r="A4137">
        <v>3730</v>
      </c>
      <c r="B4137" t="s">
        <v>4072</v>
      </c>
      <c r="C4137">
        <v>5</v>
      </c>
      <c r="D4137" t="s">
        <v>4087</v>
      </c>
      <c r="E4137" t="s">
        <v>4088</v>
      </c>
      <c r="F4137" t="s">
        <v>4075</v>
      </c>
    </row>
    <row r="4138" spans="1:6" x14ac:dyDescent="0.25">
      <c r="A4138">
        <v>3730</v>
      </c>
      <c r="B4138" t="s">
        <v>4072</v>
      </c>
      <c r="C4138">
        <v>15</v>
      </c>
      <c r="D4138" t="s">
        <v>4080</v>
      </c>
      <c r="E4138" t="s">
        <v>4081</v>
      </c>
      <c r="F4138" t="s">
        <v>4076</v>
      </c>
    </row>
    <row r="4139" spans="1:6" x14ac:dyDescent="0.25">
      <c r="A4139">
        <v>3730</v>
      </c>
      <c r="B4139" t="s">
        <v>4072</v>
      </c>
      <c r="C4139">
        <v>40</v>
      </c>
      <c r="D4139" t="s">
        <v>4080</v>
      </c>
      <c r="E4139" t="s">
        <v>4081</v>
      </c>
      <c r="F4139" t="s">
        <v>4079</v>
      </c>
    </row>
    <row r="4140" spans="1:6" x14ac:dyDescent="0.25">
      <c r="A4140">
        <v>3731</v>
      </c>
      <c r="B4140" t="s">
        <v>4092</v>
      </c>
      <c r="C4140">
        <v>24</v>
      </c>
      <c r="D4140" t="s">
        <v>2760</v>
      </c>
      <c r="E4140" t="s">
        <v>4108</v>
      </c>
      <c r="F4140" t="s">
        <v>4075</v>
      </c>
    </row>
    <row r="4141" spans="1:6" x14ac:dyDescent="0.25">
      <c r="A4141">
        <v>3731</v>
      </c>
      <c r="B4141" t="s">
        <v>4092</v>
      </c>
      <c r="C4141">
        <v>29</v>
      </c>
      <c r="D4141" t="s">
        <v>2760</v>
      </c>
      <c r="E4141" t="s">
        <v>4108</v>
      </c>
      <c r="F4141" t="s">
        <v>4076</v>
      </c>
    </row>
    <row r="4142" spans="1:6" x14ac:dyDescent="0.25">
      <c r="A4142">
        <v>3731</v>
      </c>
      <c r="B4142" t="s">
        <v>4092</v>
      </c>
      <c r="C4142">
        <v>49</v>
      </c>
      <c r="D4142" t="s">
        <v>2760</v>
      </c>
      <c r="E4142" t="s">
        <v>4108</v>
      </c>
      <c r="F4142" t="s">
        <v>4079</v>
      </c>
    </row>
    <row r="4143" spans="1:6" x14ac:dyDescent="0.25">
      <c r="A4143">
        <v>3732</v>
      </c>
      <c r="B4143" t="s">
        <v>4072</v>
      </c>
      <c r="C4143">
        <v>3</v>
      </c>
      <c r="D4143" t="s">
        <v>4085</v>
      </c>
      <c r="E4143" t="s">
        <v>4086</v>
      </c>
      <c r="F4143" t="s">
        <v>4075</v>
      </c>
    </row>
    <row r="4144" spans="1:6" x14ac:dyDescent="0.25">
      <c r="A4144">
        <v>3732</v>
      </c>
      <c r="B4144" t="s">
        <v>4072</v>
      </c>
      <c r="C4144">
        <v>15</v>
      </c>
      <c r="D4144" t="s">
        <v>4080</v>
      </c>
      <c r="E4144" t="s">
        <v>4081</v>
      </c>
      <c r="F4144" t="s">
        <v>4076</v>
      </c>
    </row>
    <row r="4145" spans="1:6" x14ac:dyDescent="0.25">
      <c r="A4145">
        <v>3732</v>
      </c>
      <c r="B4145" t="s">
        <v>4072</v>
      </c>
      <c r="C4145">
        <v>40</v>
      </c>
      <c r="D4145" t="s">
        <v>4080</v>
      </c>
      <c r="E4145" t="s">
        <v>4081</v>
      </c>
      <c r="F4145" t="s">
        <v>4079</v>
      </c>
    </row>
    <row r="4146" spans="1:6" x14ac:dyDescent="0.25">
      <c r="A4146">
        <v>3733</v>
      </c>
      <c r="B4146" t="s">
        <v>4072</v>
      </c>
      <c r="C4146">
        <v>4</v>
      </c>
      <c r="D4146" t="s">
        <v>4077</v>
      </c>
      <c r="E4146" t="s">
        <v>4078</v>
      </c>
      <c r="F4146" t="s">
        <v>4075</v>
      </c>
    </row>
    <row r="4147" spans="1:6" x14ac:dyDescent="0.25">
      <c r="A4147">
        <v>3733</v>
      </c>
      <c r="B4147" t="s">
        <v>4072</v>
      </c>
      <c r="C4147">
        <v>16</v>
      </c>
      <c r="D4147" t="s">
        <v>4077</v>
      </c>
      <c r="E4147" t="s">
        <v>4078</v>
      </c>
      <c r="F4147" t="s">
        <v>4076</v>
      </c>
    </row>
    <row r="4148" spans="1:6" x14ac:dyDescent="0.25">
      <c r="A4148">
        <v>3733</v>
      </c>
      <c r="B4148" t="s">
        <v>4072</v>
      </c>
      <c r="C4148">
        <v>44</v>
      </c>
      <c r="D4148" t="s">
        <v>4077</v>
      </c>
      <c r="E4148" t="s">
        <v>4078</v>
      </c>
      <c r="F4148" t="s">
        <v>4079</v>
      </c>
    </row>
    <row r="4149" spans="1:6" x14ac:dyDescent="0.25">
      <c r="A4149">
        <v>3736</v>
      </c>
      <c r="B4149" t="s">
        <v>4092</v>
      </c>
      <c r="C4149">
        <v>23</v>
      </c>
      <c r="D4149" t="s">
        <v>2757</v>
      </c>
      <c r="E4149" t="s">
        <v>4093</v>
      </c>
      <c r="F4149" t="s">
        <v>4075</v>
      </c>
    </row>
    <row r="4150" spans="1:6" x14ac:dyDescent="0.25">
      <c r="A4150">
        <v>3736</v>
      </c>
      <c r="B4150" t="s">
        <v>4092</v>
      </c>
      <c r="C4150">
        <v>28</v>
      </c>
      <c r="D4150" t="s">
        <v>2757</v>
      </c>
      <c r="E4150" t="s">
        <v>4093</v>
      </c>
      <c r="F4150" t="s">
        <v>4076</v>
      </c>
    </row>
    <row r="4151" spans="1:6" x14ac:dyDescent="0.25">
      <c r="A4151">
        <v>3737</v>
      </c>
      <c r="B4151" t="s">
        <v>4092</v>
      </c>
      <c r="C4151">
        <v>33</v>
      </c>
      <c r="D4151" t="s">
        <v>4109</v>
      </c>
      <c r="E4151" t="s">
        <v>4110</v>
      </c>
      <c r="F4151" t="s">
        <v>4075</v>
      </c>
    </row>
    <row r="4152" spans="1:6" x14ac:dyDescent="0.25">
      <c r="A4152">
        <v>3738</v>
      </c>
      <c r="B4152" t="s">
        <v>4072</v>
      </c>
      <c r="C4152">
        <v>2</v>
      </c>
      <c r="D4152" t="s">
        <v>4082</v>
      </c>
      <c r="E4152" t="s">
        <v>4083</v>
      </c>
      <c r="F4152" t="s">
        <v>4075</v>
      </c>
    </row>
    <row r="4153" spans="1:6" x14ac:dyDescent="0.25">
      <c r="A4153">
        <v>3738</v>
      </c>
      <c r="B4153" t="s">
        <v>4072</v>
      </c>
      <c r="C4153">
        <v>17</v>
      </c>
      <c r="D4153" t="s">
        <v>4082</v>
      </c>
      <c r="E4153" t="s">
        <v>4084</v>
      </c>
      <c r="F4153" t="s">
        <v>4076</v>
      </c>
    </row>
    <row r="4154" spans="1:6" x14ac:dyDescent="0.25">
      <c r="A4154">
        <v>3738</v>
      </c>
      <c r="B4154" t="s">
        <v>4072</v>
      </c>
      <c r="C4154">
        <v>42</v>
      </c>
      <c r="D4154" t="s">
        <v>4082</v>
      </c>
      <c r="E4154" t="s">
        <v>4083</v>
      </c>
      <c r="F4154" t="s">
        <v>4079</v>
      </c>
    </row>
    <row r="4155" spans="1:6" x14ac:dyDescent="0.25">
      <c r="A4155">
        <v>3739</v>
      </c>
      <c r="B4155" t="s">
        <v>4072</v>
      </c>
      <c r="C4155">
        <v>1</v>
      </c>
      <c r="D4155" t="s">
        <v>2761</v>
      </c>
      <c r="E4155" t="s">
        <v>4089</v>
      </c>
      <c r="F4155" t="s">
        <v>4075</v>
      </c>
    </row>
    <row r="4156" spans="1:6" x14ac:dyDescent="0.25">
      <c r="A4156">
        <v>3739</v>
      </c>
      <c r="B4156" t="s">
        <v>4072</v>
      </c>
      <c r="C4156">
        <v>38</v>
      </c>
      <c r="D4156" t="s">
        <v>2761</v>
      </c>
      <c r="E4156" t="s">
        <v>4089</v>
      </c>
      <c r="F4156" t="s">
        <v>4076</v>
      </c>
    </row>
    <row r="4157" spans="1:6" x14ac:dyDescent="0.25">
      <c r="A4157">
        <v>3739</v>
      </c>
      <c r="B4157" t="s">
        <v>4072</v>
      </c>
      <c r="C4157">
        <v>43</v>
      </c>
      <c r="D4157" t="s">
        <v>2761</v>
      </c>
      <c r="E4157" t="s">
        <v>4089</v>
      </c>
      <c r="F4157" t="s">
        <v>4079</v>
      </c>
    </row>
    <row r="4158" spans="1:6" x14ac:dyDescent="0.25">
      <c r="A4158">
        <v>3740</v>
      </c>
      <c r="B4158" t="s">
        <v>4072</v>
      </c>
      <c r="C4158">
        <v>5</v>
      </c>
      <c r="D4158" t="s">
        <v>4087</v>
      </c>
      <c r="E4158" t="s">
        <v>4088</v>
      </c>
      <c r="F4158" t="s">
        <v>4075</v>
      </c>
    </row>
    <row r="4159" spans="1:6" x14ac:dyDescent="0.25">
      <c r="A4159">
        <v>3740</v>
      </c>
      <c r="B4159" t="s">
        <v>4072</v>
      </c>
      <c r="C4159">
        <v>15</v>
      </c>
      <c r="D4159" t="s">
        <v>4080</v>
      </c>
      <c r="E4159" t="s">
        <v>4081</v>
      </c>
      <c r="F4159" t="s">
        <v>4076</v>
      </c>
    </row>
    <row r="4160" spans="1:6" x14ac:dyDescent="0.25">
      <c r="A4160">
        <v>3741</v>
      </c>
      <c r="B4160" t="s">
        <v>4072</v>
      </c>
      <c r="C4160">
        <v>4</v>
      </c>
      <c r="D4160" t="s">
        <v>4077</v>
      </c>
      <c r="E4160" t="s">
        <v>4078</v>
      </c>
      <c r="F4160" t="s">
        <v>4075</v>
      </c>
    </row>
    <row r="4161" spans="1:6" x14ac:dyDescent="0.25">
      <c r="A4161">
        <v>3741</v>
      </c>
      <c r="B4161" t="s">
        <v>4072</v>
      </c>
      <c r="C4161">
        <v>16</v>
      </c>
      <c r="D4161" t="s">
        <v>4077</v>
      </c>
      <c r="E4161" t="s">
        <v>4078</v>
      </c>
      <c r="F4161" t="s">
        <v>4076</v>
      </c>
    </row>
    <row r="4162" spans="1:6" x14ac:dyDescent="0.25">
      <c r="A4162">
        <v>3741</v>
      </c>
      <c r="B4162" t="s">
        <v>4072</v>
      </c>
      <c r="C4162">
        <v>44</v>
      </c>
      <c r="D4162" t="s">
        <v>4077</v>
      </c>
      <c r="E4162" t="s">
        <v>4078</v>
      </c>
      <c r="F4162" t="s">
        <v>4079</v>
      </c>
    </row>
    <row r="4163" spans="1:6" x14ac:dyDescent="0.25">
      <c r="A4163">
        <v>3742</v>
      </c>
      <c r="B4163" t="s">
        <v>4072</v>
      </c>
      <c r="C4163">
        <v>4</v>
      </c>
      <c r="D4163" t="s">
        <v>4077</v>
      </c>
      <c r="E4163" t="s">
        <v>4078</v>
      </c>
      <c r="F4163" t="s">
        <v>4075</v>
      </c>
    </row>
    <row r="4164" spans="1:6" x14ac:dyDescent="0.25">
      <c r="A4164">
        <v>3742</v>
      </c>
      <c r="B4164" t="s">
        <v>4072</v>
      </c>
      <c r="C4164">
        <v>16</v>
      </c>
      <c r="D4164" t="s">
        <v>4077</v>
      </c>
      <c r="E4164" t="s">
        <v>4078</v>
      </c>
      <c r="F4164" t="s">
        <v>4076</v>
      </c>
    </row>
    <row r="4165" spans="1:6" x14ac:dyDescent="0.25">
      <c r="A4165">
        <v>3742</v>
      </c>
      <c r="B4165" t="s">
        <v>4072</v>
      </c>
      <c r="C4165">
        <v>44</v>
      </c>
      <c r="D4165" t="s">
        <v>4077</v>
      </c>
      <c r="E4165" t="s">
        <v>4078</v>
      </c>
      <c r="F4165" t="s">
        <v>4079</v>
      </c>
    </row>
    <row r="4166" spans="1:6" x14ac:dyDescent="0.25">
      <c r="A4166">
        <v>3743</v>
      </c>
      <c r="B4166" t="s">
        <v>4072</v>
      </c>
      <c r="C4166">
        <v>4</v>
      </c>
      <c r="D4166" t="s">
        <v>4077</v>
      </c>
      <c r="E4166" t="s">
        <v>4078</v>
      </c>
      <c r="F4166" t="s">
        <v>4075</v>
      </c>
    </row>
    <row r="4167" spans="1:6" x14ac:dyDescent="0.25">
      <c r="A4167">
        <v>3743</v>
      </c>
      <c r="B4167" t="s">
        <v>4072</v>
      </c>
      <c r="C4167">
        <v>16</v>
      </c>
      <c r="D4167" t="s">
        <v>4077</v>
      </c>
      <c r="E4167" t="s">
        <v>4078</v>
      </c>
      <c r="F4167" t="s">
        <v>4076</v>
      </c>
    </row>
    <row r="4168" spans="1:6" x14ac:dyDescent="0.25">
      <c r="A4168">
        <v>3743</v>
      </c>
      <c r="B4168" t="s">
        <v>4072</v>
      </c>
      <c r="C4168">
        <v>44</v>
      </c>
      <c r="D4168" t="s">
        <v>4077</v>
      </c>
      <c r="E4168" t="s">
        <v>4078</v>
      </c>
      <c r="F4168" t="s">
        <v>4079</v>
      </c>
    </row>
    <row r="4169" spans="1:6" x14ac:dyDescent="0.25">
      <c r="A4169">
        <v>3744</v>
      </c>
      <c r="B4169" t="s">
        <v>4072</v>
      </c>
      <c r="C4169">
        <v>3</v>
      </c>
      <c r="D4169" t="s">
        <v>4085</v>
      </c>
      <c r="E4169" t="s">
        <v>4086</v>
      </c>
      <c r="F4169" t="s">
        <v>4075</v>
      </c>
    </row>
    <row r="4170" spans="1:6" x14ac:dyDescent="0.25">
      <c r="A4170">
        <v>3744</v>
      </c>
      <c r="B4170" t="s">
        <v>4072</v>
      </c>
      <c r="C4170">
        <v>15</v>
      </c>
      <c r="D4170" t="s">
        <v>4080</v>
      </c>
      <c r="E4170" t="s">
        <v>4081</v>
      </c>
      <c r="F4170" t="s">
        <v>4076</v>
      </c>
    </row>
    <row r="4171" spans="1:6" x14ac:dyDescent="0.25">
      <c r="A4171">
        <v>3744</v>
      </c>
      <c r="B4171" t="s">
        <v>4072</v>
      </c>
      <c r="C4171">
        <v>40</v>
      </c>
      <c r="D4171" t="s">
        <v>4080</v>
      </c>
      <c r="E4171" t="s">
        <v>4081</v>
      </c>
      <c r="F4171" t="s">
        <v>4079</v>
      </c>
    </row>
    <row r="4172" spans="1:6" x14ac:dyDescent="0.25">
      <c r="A4172">
        <v>3745</v>
      </c>
      <c r="B4172" t="s">
        <v>4072</v>
      </c>
      <c r="C4172">
        <v>6</v>
      </c>
      <c r="D4172" t="s">
        <v>4073</v>
      </c>
      <c r="E4172" t="s">
        <v>4074</v>
      </c>
      <c r="F4172" t="s">
        <v>4075</v>
      </c>
    </row>
    <row r="4173" spans="1:6" x14ac:dyDescent="0.25">
      <c r="A4173">
        <v>3745</v>
      </c>
      <c r="B4173" t="s">
        <v>4072</v>
      </c>
      <c r="C4173">
        <v>19</v>
      </c>
      <c r="D4173" t="s">
        <v>4073</v>
      </c>
      <c r="E4173" t="s">
        <v>4074</v>
      </c>
      <c r="F4173" t="s">
        <v>4076</v>
      </c>
    </row>
    <row r="4174" spans="1:6" x14ac:dyDescent="0.25">
      <c r="A4174">
        <v>3745</v>
      </c>
      <c r="B4174" t="s">
        <v>4072</v>
      </c>
      <c r="C4174">
        <v>39</v>
      </c>
      <c r="D4174" t="s">
        <v>4073</v>
      </c>
      <c r="E4174" t="s">
        <v>4074</v>
      </c>
      <c r="F4174" t="s">
        <v>4079</v>
      </c>
    </row>
    <row r="4175" spans="1:6" x14ac:dyDescent="0.25">
      <c r="A4175">
        <v>3746</v>
      </c>
      <c r="B4175" t="s">
        <v>4092</v>
      </c>
      <c r="C4175">
        <v>23</v>
      </c>
      <c r="D4175" t="s">
        <v>2757</v>
      </c>
      <c r="E4175" t="s">
        <v>4093</v>
      </c>
      <c r="F4175" t="s">
        <v>4075</v>
      </c>
    </row>
    <row r="4176" spans="1:6" x14ac:dyDescent="0.25">
      <c r="A4176">
        <v>3746</v>
      </c>
      <c r="B4176" t="s">
        <v>4092</v>
      </c>
      <c r="C4176">
        <v>28</v>
      </c>
      <c r="D4176" t="s">
        <v>2757</v>
      </c>
      <c r="E4176" t="s">
        <v>4093</v>
      </c>
      <c r="F4176" t="s">
        <v>4076</v>
      </c>
    </row>
    <row r="4177" spans="1:6" x14ac:dyDescent="0.25">
      <c r="A4177">
        <v>3746</v>
      </c>
      <c r="B4177" t="s">
        <v>4092</v>
      </c>
      <c r="C4177">
        <v>48</v>
      </c>
      <c r="D4177" t="s">
        <v>2757</v>
      </c>
      <c r="E4177" t="s">
        <v>4093</v>
      </c>
      <c r="F4177" t="s">
        <v>4079</v>
      </c>
    </row>
    <row r="4178" spans="1:6" x14ac:dyDescent="0.25">
      <c r="A4178">
        <v>3747</v>
      </c>
      <c r="B4178" t="s">
        <v>4092</v>
      </c>
      <c r="C4178">
        <v>33</v>
      </c>
      <c r="D4178" t="s">
        <v>4109</v>
      </c>
      <c r="E4178" t="s">
        <v>4110</v>
      </c>
      <c r="F4178" t="s">
        <v>4075</v>
      </c>
    </row>
    <row r="4179" spans="1:6" x14ac:dyDescent="0.25">
      <c r="A4179">
        <v>3747</v>
      </c>
      <c r="B4179" t="s">
        <v>4092</v>
      </c>
      <c r="C4179">
        <v>34</v>
      </c>
      <c r="D4179" t="s">
        <v>4109</v>
      </c>
      <c r="E4179" t="s">
        <v>4110</v>
      </c>
      <c r="F4179" t="s">
        <v>4076</v>
      </c>
    </row>
    <row r="4180" spans="1:6" x14ac:dyDescent="0.25">
      <c r="A4180">
        <v>3747</v>
      </c>
      <c r="B4180" t="s">
        <v>4092</v>
      </c>
      <c r="C4180">
        <v>51</v>
      </c>
      <c r="D4180" t="s">
        <v>4109</v>
      </c>
      <c r="E4180" t="s">
        <v>4111</v>
      </c>
      <c r="F4180" t="s">
        <v>4079</v>
      </c>
    </row>
    <row r="4181" spans="1:6" x14ac:dyDescent="0.25">
      <c r="A4181">
        <v>3748</v>
      </c>
      <c r="B4181" t="s">
        <v>4072</v>
      </c>
      <c r="C4181">
        <v>2</v>
      </c>
      <c r="D4181" t="s">
        <v>4082</v>
      </c>
      <c r="E4181" t="s">
        <v>4083</v>
      </c>
      <c r="F4181" t="s">
        <v>4075</v>
      </c>
    </row>
    <row r="4182" spans="1:6" x14ac:dyDescent="0.25">
      <c r="A4182">
        <v>3748</v>
      </c>
      <c r="B4182" t="s">
        <v>4072</v>
      </c>
      <c r="C4182">
        <v>17</v>
      </c>
      <c r="D4182" t="s">
        <v>4082</v>
      </c>
      <c r="E4182" t="s">
        <v>4084</v>
      </c>
      <c r="F4182" t="s">
        <v>4076</v>
      </c>
    </row>
    <row r="4183" spans="1:6" x14ac:dyDescent="0.25">
      <c r="A4183">
        <v>3748</v>
      </c>
      <c r="B4183" t="s">
        <v>4072</v>
      </c>
      <c r="C4183">
        <v>42</v>
      </c>
      <c r="D4183" t="s">
        <v>4082</v>
      </c>
      <c r="E4183" t="s">
        <v>4083</v>
      </c>
      <c r="F4183" t="s">
        <v>4079</v>
      </c>
    </row>
    <row r="4184" spans="1:6" x14ac:dyDescent="0.25">
      <c r="A4184">
        <v>3749</v>
      </c>
      <c r="B4184" t="s">
        <v>4072</v>
      </c>
      <c r="C4184">
        <v>1</v>
      </c>
      <c r="D4184" t="s">
        <v>2761</v>
      </c>
      <c r="E4184" t="s">
        <v>4089</v>
      </c>
      <c r="F4184" t="s">
        <v>4075</v>
      </c>
    </row>
    <row r="4185" spans="1:6" x14ac:dyDescent="0.25">
      <c r="A4185">
        <v>3749</v>
      </c>
      <c r="B4185" t="s">
        <v>4072</v>
      </c>
      <c r="C4185">
        <v>17</v>
      </c>
      <c r="D4185" t="s">
        <v>4082</v>
      </c>
      <c r="E4185" t="s">
        <v>4084</v>
      </c>
      <c r="F4185" t="s">
        <v>4076</v>
      </c>
    </row>
    <row r="4186" spans="1:6" x14ac:dyDescent="0.25">
      <c r="A4186">
        <v>3749</v>
      </c>
      <c r="B4186" t="s">
        <v>4072</v>
      </c>
      <c r="C4186">
        <v>42</v>
      </c>
      <c r="D4186" t="s">
        <v>4082</v>
      </c>
      <c r="E4186" t="s">
        <v>4083</v>
      </c>
      <c r="F4186" t="s">
        <v>4079</v>
      </c>
    </row>
    <row r="4187" spans="1:6" x14ac:dyDescent="0.25">
      <c r="A4187">
        <v>3750</v>
      </c>
      <c r="B4187" t="s">
        <v>4072</v>
      </c>
      <c r="C4187">
        <v>5</v>
      </c>
      <c r="D4187" t="s">
        <v>4087</v>
      </c>
      <c r="E4187" t="s">
        <v>4088</v>
      </c>
      <c r="F4187" t="s">
        <v>4075</v>
      </c>
    </row>
    <row r="4188" spans="1:6" x14ac:dyDescent="0.25">
      <c r="A4188">
        <v>3750</v>
      </c>
      <c r="B4188" t="s">
        <v>4072</v>
      </c>
      <c r="C4188">
        <v>15</v>
      </c>
      <c r="D4188" t="s">
        <v>4080</v>
      </c>
      <c r="E4188" t="s">
        <v>4081</v>
      </c>
      <c r="F4188" t="s">
        <v>4076</v>
      </c>
    </row>
    <row r="4189" spans="1:6" x14ac:dyDescent="0.25">
      <c r="A4189">
        <v>3750</v>
      </c>
      <c r="B4189" t="s">
        <v>4072</v>
      </c>
      <c r="C4189">
        <v>40</v>
      </c>
      <c r="D4189" t="s">
        <v>4080</v>
      </c>
      <c r="E4189" t="s">
        <v>4081</v>
      </c>
      <c r="F4189" t="s">
        <v>4079</v>
      </c>
    </row>
    <row r="4190" spans="1:6" x14ac:dyDescent="0.25">
      <c r="A4190">
        <v>3751</v>
      </c>
      <c r="B4190" t="s">
        <v>4072</v>
      </c>
      <c r="C4190">
        <v>3</v>
      </c>
      <c r="D4190" t="s">
        <v>4085</v>
      </c>
      <c r="E4190" t="s">
        <v>4086</v>
      </c>
      <c r="F4190" t="s">
        <v>4075</v>
      </c>
    </row>
    <row r="4191" spans="1:6" x14ac:dyDescent="0.25">
      <c r="A4191">
        <v>3751</v>
      </c>
      <c r="B4191" t="s">
        <v>4072</v>
      </c>
      <c r="C4191">
        <v>15</v>
      </c>
      <c r="D4191" t="s">
        <v>4080</v>
      </c>
      <c r="E4191" t="s">
        <v>4081</v>
      </c>
      <c r="F4191" t="s">
        <v>4076</v>
      </c>
    </row>
    <row r="4192" spans="1:6" x14ac:dyDescent="0.25">
      <c r="A4192">
        <v>3751</v>
      </c>
      <c r="B4192" t="s">
        <v>4072</v>
      </c>
      <c r="C4192">
        <v>40</v>
      </c>
      <c r="D4192" t="s">
        <v>4080</v>
      </c>
      <c r="E4192" t="s">
        <v>4081</v>
      </c>
      <c r="F4192" t="s">
        <v>4079</v>
      </c>
    </row>
    <row r="4193" spans="1:6" x14ac:dyDescent="0.25">
      <c r="A4193">
        <v>3752</v>
      </c>
      <c r="B4193" t="s">
        <v>4072</v>
      </c>
      <c r="C4193">
        <v>4</v>
      </c>
      <c r="D4193" t="s">
        <v>4077</v>
      </c>
      <c r="E4193" t="s">
        <v>4078</v>
      </c>
      <c r="F4193" t="s">
        <v>4075</v>
      </c>
    </row>
    <row r="4194" spans="1:6" x14ac:dyDescent="0.25">
      <c r="A4194">
        <v>3752</v>
      </c>
      <c r="B4194" t="s">
        <v>4072</v>
      </c>
      <c r="C4194">
        <v>16</v>
      </c>
      <c r="D4194" t="s">
        <v>4077</v>
      </c>
      <c r="E4194" t="s">
        <v>4078</v>
      </c>
      <c r="F4194" t="s">
        <v>4076</v>
      </c>
    </row>
    <row r="4195" spans="1:6" x14ac:dyDescent="0.25">
      <c r="A4195">
        <v>3752</v>
      </c>
      <c r="B4195" t="s">
        <v>4072</v>
      </c>
      <c r="C4195">
        <v>44</v>
      </c>
      <c r="D4195" t="s">
        <v>4077</v>
      </c>
      <c r="E4195" t="s">
        <v>4078</v>
      </c>
      <c r="F4195" t="s">
        <v>4079</v>
      </c>
    </row>
    <row r="4196" spans="1:6" x14ac:dyDescent="0.25">
      <c r="A4196">
        <v>3753</v>
      </c>
      <c r="B4196" t="s">
        <v>4072</v>
      </c>
      <c r="C4196">
        <v>6</v>
      </c>
      <c r="D4196" t="s">
        <v>4073</v>
      </c>
      <c r="E4196" t="s">
        <v>4074</v>
      </c>
      <c r="F4196" t="s">
        <v>4075</v>
      </c>
    </row>
    <row r="4197" spans="1:6" x14ac:dyDescent="0.25">
      <c r="A4197">
        <v>3753</v>
      </c>
      <c r="B4197" t="s">
        <v>4072</v>
      </c>
      <c r="C4197">
        <v>19</v>
      </c>
      <c r="D4197" t="s">
        <v>4073</v>
      </c>
      <c r="E4197" t="s">
        <v>4074</v>
      </c>
      <c r="F4197" t="s">
        <v>4076</v>
      </c>
    </row>
    <row r="4198" spans="1:6" x14ac:dyDescent="0.25">
      <c r="A4198">
        <v>3753</v>
      </c>
      <c r="B4198" t="s">
        <v>4072</v>
      </c>
      <c r="C4198">
        <v>39</v>
      </c>
      <c r="D4198" t="s">
        <v>4073</v>
      </c>
      <c r="E4198" t="s">
        <v>4074</v>
      </c>
      <c r="F4198" t="s">
        <v>4079</v>
      </c>
    </row>
    <row r="4199" spans="1:6" x14ac:dyDescent="0.25">
      <c r="A4199">
        <v>3754</v>
      </c>
      <c r="B4199" t="s">
        <v>4092</v>
      </c>
      <c r="C4199">
        <v>33</v>
      </c>
      <c r="D4199" t="s">
        <v>4109</v>
      </c>
      <c r="E4199" t="s">
        <v>4110</v>
      </c>
      <c r="F4199" t="s">
        <v>4075</v>
      </c>
    </row>
    <row r="4200" spans="1:6" x14ac:dyDescent="0.25">
      <c r="A4200">
        <v>3755</v>
      </c>
      <c r="B4200" t="s">
        <v>4092</v>
      </c>
      <c r="C4200">
        <v>23</v>
      </c>
      <c r="D4200" t="s">
        <v>2757</v>
      </c>
      <c r="E4200" t="s">
        <v>4093</v>
      </c>
      <c r="F4200" t="s">
        <v>4075</v>
      </c>
    </row>
    <row r="4201" spans="1:6" x14ac:dyDescent="0.25">
      <c r="A4201">
        <v>3756</v>
      </c>
      <c r="B4201" t="s">
        <v>4092</v>
      </c>
      <c r="C4201">
        <v>23</v>
      </c>
      <c r="D4201" t="s">
        <v>2757</v>
      </c>
      <c r="E4201" t="s">
        <v>4093</v>
      </c>
      <c r="F4201" t="s">
        <v>4075</v>
      </c>
    </row>
    <row r="4202" spans="1:6" x14ac:dyDescent="0.25">
      <c r="A4202">
        <v>3756</v>
      </c>
      <c r="B4202" t="s">
        <v>4092</v>
      </c>
      <c r="C4202">
        <v>28</v>
      </c>
      <c r="D4202" t="s">
        <v>2757</v>
      </c>
      <c r="E4202" t="s">
        <v>4093</v>
      </c>
      <c r="F4202" t="s">
        <v>4076</v>
      </c>
    </row>
    <row r="4203" spans="1:6" x14ac:dyDescent="0.25">
      <c r="A4203">
        <v>3757</v>
      </c>
      <c r="B4203" t="s">
        <v>4092</v>
      </c>
      <c r="C4203">
        <v>25</v>
      </c>
      <c r="D4203" t="s">
        <v>4102</v>
      </c>
      <c r="E4203" t="s">
        <v>4103</v>
      </c>
      <c r="F4203" t="s">
        <v>4075</v>
      </c>
    </row>
    <row r="4204" spans="1:6" x14ac:dyDescent="0.25">
      <c r="A4204">
        <v>3757</v>
      </c>
      <c r="B4204" t="s">
        <v>4092</v>
      </c>
      <c r="C4204">
        <v>30</v>
      </c>
      <c r="D4204" t="s">
        <v>4102</v>
      </c>
      <c r="E4204" t="s">
        <v>4103</v>
      </c>
      <c r="F4204" t="s">
        <v>4076</v>
      </c>
    </row>
    <row r="4205" spans="1:6" x14ac:dyDescent="0.25">
      <c r="A4205">
        <v>3757</v>
      </c>
      <c r="B4205" t="s">
        <v>4092</v>
      </c>
      <c r="C4205">
        <v>50</v>
      </c>
      <c r="D4205" t="s">
        <v>4102</v>
      </c>
      <c r="E4205" t="s">
        <v>4103</v>
      </c>
      <c r="F4205" t="s">
        <v>4079</v>
      </c>
    </row>
    <row r="4206" spans="1:6" x14ac:dyDescent="0.25">
      <c r="A4206">
        <v>3762</v>
      </c>
      <c r="B4206" t="s">
        <v>4092</v>
      </c>
      <c r="C4206">
        <v>23</v>
      </c>
      <c r="D4206" t="s">
        <v>2757</v>
      </c>
      <c r="E4206" t="s">
        <v>4093</v>
      </c>
      <c r="F4206" t="s">
        <v>4075</v>
      </c>
    </row>
    <row r="4207" spans="1:6" x14ac:dyDescent="0.25">
      <c r="A4207">
        <v>3762</v>
      </c>
      <c r="B4207" t="s">
        <v>4092</v>
      </c>
      <c r="C4207">
        <v>28</v>
      </c>
      <c r="D4207" t="s">
        <v>2757</v>
      </c>
      <c r="E4207" t="s">
        <v>4093</v>
      </c>
      <c r="F4207" t="s">
        <v>4076</v>
      </c>
    </row>
    <row r="4208" spans="1:6" x14ac:dyDescent="0.25">
      <c r="A4208">
        <v>3762</v>
      </c>
      <c r="B4208" t="s">
        <v>4092</v>
      </c>
      <c r="C4208">
        <v>48</v>
      </c>
      <c r="D4208" t="s">
        <v>2757</v>
      </c>
      <c r="E4208" t="s">
        <v>4093</v>
      </c>
      <c r="F4208" t="s">
        <v>4079</v>
      </c>
    </row>
    <row r="4209" spans="1:6" x14ac:dyDescent="0.25">
      <c r="A4209">
        <v>3766</v>
      </c>
      <c r="B4209" t="s">
        <v>4092</v>
      </c>
      <c r="C4209">
        <v>33</v>
      </c>
      <c r="D4209" t="s">
        <v>4109</v>
      </c>
      <c r="E4209" t="s">
        <v>4110</v>
      </c>
      <c r="F4209" t="s">
        <v>4075</v>
      </c>
    </row>
    <row r="4210" spans="1:6" x14ac:dyDescent="0.25">
      <c r="A4210">
        <v>3767</v>
      </c>
      <c r="B4210" t="s">
        <v>4092</v>
      </c>
      <c r="C4210">
        <v>33</v>
      </c>
      <c r="D4210" t="s">
        <v>4109</v>
      </c>
      <c r="E4210" t="s">
        <v>4110</v>
      </c>
      <c r="F4210" t="s">
        <v>4075</v>
      </c>
    </row>
    <row r="4211" spans="1:6" x14ac:dyDescent="0.25">
      <c r="A4211">
        <v>3768</v>
      </c>
      <c r="B4211" t="s">
        <v>4092</v>
      </c>
      <c r="C4211">
        <v>33</v>
      </c>
      <c r="D4211" t="s">
        <v>4109</v>
      </c>
      <c r="E4211" t="s">
        <v>4110</v>
      </c>
      <c r="F4211" t="s">
        <v>4075</v>
      </c>
    </row>
    <row r="4212" spans="1:6" x14ac:dyDescent="0.25">
      <c r="A4212">
        <v>3769</v>
      </c>
      <c r="B4212" t="s">
        <v>4092</v>
      </c>
      <c r="C4212">
        <v>33</v>
      </c>
      <c r="D4212" t="s">
        <v>4109</v>
      </c>
      <c r="E4212" t="s">
        <v>4110</v>
      </c>
      <c r="F4212" t="s">
        <v>4075</v>
      </c>
    </row>
    <row r="4213" spans="1:6" x14ac:dyDescent="0.25">
      <c r="A4213">
        <v>3770</v>
      </c>
      <c r="B4213" t="s">
        <v>4092</v>
      </c>
      <c r="C4213">
        <v>23</v>
      </c>
      <c r="D4213" t="s">
        <v>2757</v>
      </c>
      <c r="E4213" t="s">
        <v>4093</v>
      </c>
      <c r="F4213" t="s">
        <v>4075</v>
      </c>
    </row>
    <row r="4214" spans="1:6" x14ac:dyDescent="0.25">
      <c r="A4214">
        <v>3770</v>
      </c>
      <c r="B4214" t="s">
        <v>4092</v>
      </c>
      <c r="C4214">
        <v>28</v>
      </c>
      <c r="D4214" t="s">
        <v>2757</v>
      </c>
      <c r="E4214" t="s">
        <v>4093</v>
      </c>
      <c r="F4214" t="s">
        <v>4076</v>
      </c>
    </row>
    <row r="4215" spans="1:6" x14ac:dyDescent="0.25">
      <c r="A4215">
        <v>3770</v>
      </c>
      <c r="B4215" t="s">
        <v>4092</v>
      </c>
      <c r="C4215">
        <v>48</v>
      </c>
      <c r="D4215" t="s">
        <v>2757</v>
      </c>
      <c r="E4215" t="s">
        <v>4093</v>
      </c>
      <c r="F4215" t="s">
        <v>4079</v>
      </c>
    </row>
    <row r="4216" spans="1:6" x14ac:dyDescent="0.25">
      <c r="A4216">
        <v>3771</v>
      </c>
      <c r="B4216" t="s">
        <v>4092</v>
      </c>
      <c r="C4216">
        <v>33</v>
      </c>
      <c r="D4216" t="s">
        <v>4109</v>
      </c>
      <c r="E4216" t="s">
        <v>4110</v>
      </c>
      <c r="F4216" t="s">
        <v>4075</v>
      </c>
    </row>
    <row r="4217" spans="1:6" x14ac:dyDescent="0.25">
      <c r="A4217">
        <v>3773</v>
      </c>
      <c r="B4217" t="s">
        <v>4092</v>
      </c>
      <c r="C4217">
        <v>25</v>
      </c>
      <c r="D4217" t="s">
        <v>4102</v>
      </c>
      <c r="E4217" t="s">
        <v>4103</v>
      </c>
      <c r="F4217" t="s">
        <v>4075</v>
      </c>
    </row>
    <row r="4218" spans="1:6" x14ac:dyDescent="0.25">
      <c r="A4218">
        <v>3773</v>
      </c>
      <c r="B4218" t="s">
        <v>4092</v>
      </c>
      <c r="C4218">
        <v>30</v>
      </c>
      <c r="D4218" t="s">
        <v>4102</v>
      </c>
      <c r="E4218" t="s">
        <v>4103</v>
      </c>
      <c r="F4218" t="s">
        <v>4076</v>
      </c>
    </row>
    <row r="4219" spans="1:6" x14ac:dyDescent="0.25">
      <c r="A4219">
        <v>3773</v>
      </c>
      <c r="B4219" t="s">
        <v>4092</v>
      </c>
      <c r="C4219">
        <v>50</v>
      </c>
      <c r="D4219" t="s">
        <v>4102</v>
      </c>
      <c r="E4219" t="s">
        <v>4103</v>
      </c>
      <c r="F4219" t="s">
        <v>4079</v>
      </c>
    </row>
    <row r="4220" spans="1:6" x14ac:dyDescent="0.25">
      <c r="A4220">
        <v>3774</v>
      </c>
      <c r="B4220" t="s">
        <v>4092</v>
      </c>
      <c r="C4220">
        <v>33</v>
      </c>
      <c r="D4220" t="s">
        <v>4109</v>
      </c>
      <c r="E4220" t="s">
        <v>4110</v>
      </c>
      <c r="F4220" t="s">
        <v>4075</v>
      </c>
    </row>
    <row r="4221" spans="1:6" x14ac:dyDescent="0.25">
      <c r="A4221">
        <v>3775</v>
      </c>
      <c r="B4221" t="s">
        <v>4092</v>
      </c>
      <c r="C4221">
        <v>33</v>
      </c>
      <c r="D4221" t="s">
        <v>4109</v>
      </c>
      <c r="E4221" t="s">
        <v>4110</v>
      </c>
      <c r="F4221" t="s">
        <v>4075</v>
      </c>
    </row>
    <row r="4222" spans="1:6" x14ac:dyDescent="0.25">
      <c r="A4222">
        <v>3776</v>
      </c>
      <c r="B4222" t="s">
        <v>4092</v>
      </c>
      <c r="C4222">
        <v>23</v>
      </c>
      <c r="D4222" t="s">
        <v>2757</v>
      </c>
      <c r="E4222" t="s">
        <v>4093</v>
      </c>
      <c r="F4222" t="s">
        <v>4075</v>
      </c>
    </row>
    <row r="4223" spans="1:6" x14ac:dyDescent="0.25">
      <c r="A4223">
        <v>3777</v>
      </c>
      <c r="B4223" t="s">
        <v>4092</v>
      </c>
      <c r="C4223">
        <v>23</v>
      </c>
      <c r="D4223" t="s">
        <v>2757</v>
      </c>
      <c r="E4223" t="s">
        <v>4093</v>
      </c>
      <c r="F4223" t="s">
        <v>4075</v>
      </c>
    </row>
    <row r="4224" spans="1:6" x14ac:dyDescent="0.25">
      <c r="A4224">
        <v>3778</v>
      </c>
      <c r="B4224" t="s">
        <v>4092</v>
      </c>
      <c r="C4224">
        <v>25</v>
      </c>
      <c r="D4224" t="s">
        <v>4102</v>
      </c>
      <c r="E4224" t="s">
        <v>4103</v>
      </c>
      <c r="F4224" t="s">
        <v>4075</v>
      </c>
    </row>
    <row r="4225" spans="1:6" x14ac:dyDescent="0.25">
      <c r="A4225">
        <v>3779</v>
      </c>
      <c r="B4225" t="s">
        <v>4072</v>
      </c>
      <c r="C4225">
        <v>6</v>
      </c>
      <c r="D4225" t="s">
        <v>4073</v>
      </c>
      <c r="E4225" t="s">
        <v>4074</v>
      </c>
      <c r="F4225" t="s">
        <v>4075</v>
      </c>
    </row>
    <row r="4226" spans="1:6" x14ac:dyDescent="0.25">
      <c r="A4226">
        <v>3780</v>
      </c>
      <c r="B4226" t="s">
        <v>4072</v>
      </c>
      <c r="C4226">
        <v>2</v>
      </c>
      <c r="D4226" t="s">
        <v>4082</v>
      </c>
      <c r="E4226" t="s">
        <v>4083</v>
      </c>
      <c r="F4226" t="s">
        <v>4075</v>
      </c>
    </row>
    <row r="4227" spans="1:6" x14ac:dyDescent="0.25">
      <c r="A4227">
        <v>3781</v>
      </c>
      <c r="B4227" t="s">
        <v>4072</v>
      </c>
      <c r="C4227">
        <v>1</v>
      </c>
      <c r="D4227" t="s">
        <v>2761</v>
      </c>
      <c r="E4227" t="s">
        <v>4089</v>
      </c>
      <c r="F4227" t="s">
        <v>4075</v>
      </c>
    </row>
    <row r="4228" spans="1:6" x14ac:dyDescent="0.25">
      <c r="A4228">
        <v>3781</v>
      </c>
      <c r="B4228" t="s">
        <v>4072</v>
      </c>
      <c r="C4228">
        <v>38</v>
      </c>
      <c r="D4228" t="s">
        <v>2761</v>
      </c>
      <c r="E4228" t="s">
        <v>4089</v>
      </c>
      <c r="F4228" t="s">
        <v>4076</v>
      </c>
    </row>
    <row r="4229" spans="1:6" x14ac:dyDescent="0.25">
      <c r="A4229">
        <v>3781</v>
      </c>
      <c r="B4229" t="s">
        <v>4072</v>
      </c>
      <c r="C4229">
        <v>43</v>
      </c>
      <c r="D4229" t="s">
        <v>2761</v>
      </c>
      <c r="E4229" t="s">
        <v>4089</v>
      </c>
      <c r="F4229" t="s">
        <v>4079</v>
      </c>
    </row>
    <row r="4230" spans="1:6" x14ac:dyDescent="0.25">
      <c r="A4230">
        <v>3782</v>
      </c>
      <c r="B4230" t="s">
        <v>4072</v>
      </c>
      <c r="C4230">
        <v>3</v>
      </c>
      <c r="D4230" t="s">
        <v>4085</v>
      </c>
      <c r="E4230" t="s">
        <v>4086</v>
      </c>
      <c r="F4230" t="s">
        <v>4075</v>
      </c>
    </row>
    <row r="4231" spans="1:6" x14ac:dyDescent="0.25">
      <c r="A4231">
        <v>3783</v>
      </c>
      <c r="B4231" t="s">
        <v>4072</v>
      </c>
      <c r="C4231">
        <v>4</v>
      </c>
      <c r="D4231" t="s">
        <v>4077</v>
      </c>
      <c r="E4231" t="s">
        <v>4078</v>
      </c>
      <c r="F4231" t="s">
        <v>4075</v>
      </c>
    </row>
    <row r="4232" spans="1:6" x14ac:dyDescent="0.25">
      <c r="A4232">
        <v>3784</v>
      </c>
      <c r="B4232" t="s">
        <v>4072</v>
      </c>
      <c r="C4232">
        <v>4</v>
      </c>
      <c r="D4232" t="s">
        <v>4077</v>
      </c>
      <c r="E4232" t="s">
        <v>4078</v>
      </c>
      <c r="F4232" t="s">
        <v>4075</v>
      </c>
    </row>
    <row r="4233" spans="1:6" x14ac:dyDescent="0.25">
      <c r="A4233">
        <v>3784</v>
      </c>
      <c r="B4233" t="s">
        <v>4072</v>
      </c>
      <c r="C4233">
        <v>5</v>
      </c>
      <c r="D4233" t="s">
        <v>4087</v>
      </c>
      <c r="E4233" t="s">
        <v>4088</v>
      </c>
      <c r="F4233" t="s">
        <v>4075</v>
      </c>
    </row>
    <row r="4234" spans="1:6" x14ac:dyDescent="0.25">
      <c r="A4234">
        <v>3785</v>
      </c>
      <c r="B4234" t="s">
        <v>4072</v>
      </c>
      <c r="C4234">
        <v>5</v>
      </c>
      <c r="D4234" t="s">
        <v>4087</v>
      </c>
      <c r="E4234" t="s">
        <v>4088</v>
      </c>
      <c r="F4234" t="s">
        <v>4075</v>
      </c>
    </row>
    <row r="4235" spans="1:6" x14ac:dyDescent="0.25">
      <c r="A4235">
        <v>3786</v>
      </c>
      <c r="B4235" t="s">
        <v>4072</v>
      </c>
      <c r="C4235">
        <v>5</v>
      </c>
      <c r="D4235" t="s">
        <v>4087</v>
      </c>
      <c r="E4235" t="s">
        <v>4088</v>
      </c>
      <c r="F4235" t="s">
        <v>4075</v>
      </c>
    </row>
    <row r="4236" spans="1:6" x14ac:dyDescent="0.25">
      <c r="A4236">
        <v>3787</v>
      </c>
      <c r="B4236" t="s">
        <v>4092</v>
      </c>
      <c r="C4236">
        <v>23</v>
      </c>
      <c r="D4236" t="s">
        <v>2757</v>
      </c>
      <c r="E4236" t="s">
        <v>4093</v>
      </c>
      <c r="F4236" t="s">
        <v>4075</v>
      </c>
    </row>
    <row r="4237" spans="1:6" x14ac:dyDescent="0.25">
      <c r="A4237">
        <v>3787</v>
      </c>
      <c r="B4237" t="s">
        <v>4092</v>
      </c>
      <c r="C4237">
        <v>28</v>
      </c>
      <c r="D4237" t="s">
        <v>2757</v>
      </c>
      <c r="E4237" t="s">
        <v>4093</v>
      </c>
      <c r="F4237" t="s">
        <v>4076</v>
      </c>
    </row>
    <row r="4238" spans="1:6" x14ac:dyDescent="0.25">
      <c r="A4238">
        <v>3787</v>
      </c>
      <c r="B4238" t="s">
        <v>4092</v>
      </c>
      <c r="C4238">
        <v>48</v>
      </c>
      <c r="D4238" t="s">
        <v>2757</v>
      </c>
      <c r="E4238" t="s">
        <v>4093</v>
      </c>
      <c r="F4238" t="s">
        <v>4079</v>
      </c>
    </row>
    <row r="4239" spans="1:6" x14ac:dyDescent="0.25">
      <c r="A4239">
        <v>3788</v>
      </c>
      <c r="B4239" t="s">
        <v>4092</v>
      </c>
      <c r="C4239">
        <v>33</v>
      </c>
      <c r="D4239" t="s">
        <v>4109</v>
      </c>
      <c r="E4239" t="s">
        <v>4110</v>
      </c>
      <c r="F4239" t="s">
        <v>4075</v>
      </c>
    </row>
    <row r="4240" spans="1:6" x14ac:dyDescent="0.25">
      <c r="A4240">
        <v>3789</v>
      </c>
      <c r="B4240" t="s">
        <v>4092</v>
      </c>
      <c r="C4240">
        <v>25</v>
      </c>
      <c r="D4240" t="s">
        <v>4102</v>
      </c>
      <c r="E4240" t="s">
        <v>4103</v>
      </c>
      <c r="F4240" t="s">
        <v>4075</v>
      </c>
    </row>
    <row r="4241" spans="1:6" x14ac:dyDescent="0.25">
      <c r="A4241">
        <v>3789</v>
      </c>
      <c r="B4241" t="s">
        <v>4092</v>
      </c>
      <c r="C4241">
        <v>30</v>
      </c>
      <c r="D4241" t="s">
        <v>4102</v>
      </c>
      <c r="E4241" t="s">
        <v>4103</v>
      </c>
      <c r="F4241" t="s">
        <v>4076</v>
      </c>
    </row>
    <row r="4242" spans="1:6" x14ac:dyDescent="0.25">
      <c r="A4242">
        <v>3789</v>
      </c>
      <c r="B4242" t="s">
        <v>4092</v>
      </c>
      <c r="C4242">
        <v>50</v>
      </c>
      <c r="D4242" t="s">
        <v>4102</v>
      </c>
      <c r="E4242" t="s">
        <v>4103</v>
      </c>
      <c r="F4242" t="s">
        <v>4079</v>
      </c>
    </row>
    <row r="4243" spans="1:6" x14ac:dyDescent="0.25">
      <c r="A4243">
        <v>3790</v>
      </c>
      <c r="B4243" t="s">
        <v>4072</v>
      </c>
      <c r="C4243">
        <v>6</v>
      </c>
      <c r="D4243" t="s">
        <v>4073</v>
      </c>
      <c r="E4243" t="s">
        <v>4074</v>
      </c>
      <c r="F4243" t="s">
        <v>4075</v>
      </c>
    </row>
    <row r="4244" spans="1:6" x14ac:dyDescent="0.25">
      <c r="A4244">
        <v>3790</v>
      </c>
      <c r="B4244" t="s">
        <v>4072</v>
      </c>
      <c r="C4244">
        <v>19</v>
      </c>
      <c r="D4244" t="s">
        <v>4073</v>
      </c>
      <c r="E4244" t="s">
        <v>4074</v>
      </c>
      <c r="F4244" t="s">
        <v>4076</v>
      </c>
    </row>
    <row r="4245" spans="1:6" x14ac:dyDescent="0.25">
      <c r="A4245">
        <v>3791</v>
      </c>
      <c r="B4245" t="s">
        <v>4092</v>
      </c>
      <c r="C4245">
        <v>23</v>
      </c>
      <c r="D4245" t="s">
        <v>2757</v>
      </c>
      <c r="E4245" t="s">
        <v>4093</v>
      </c>
      <c r="F4245" t="s">
        <v>4075</v>
      </c>
    </row>
    <row r="4246" spans="1:6" x14ac:dyDescent="0.25">
      <c r="A4246">
        <v>3791</v>
      </c>
      <c r="B4246" t="s">
        <v>4092</v>
      </c>
      <c r="C4246">
        <v>28</v>
      </c>
      <c r="D4246" t="s">
        <v>2757</v>
      </c>
      <c r="E4246" t="s">
        <v>4093</v>
      </c>
      <c r="F4246" t="s">
        <v>4076</v>
      </c>
    </row>
    <row r="4247" spans="1:6" x14ac:dyDescent="0.25">
      <c r="A4247">
        <v>3792</v>
      </c>
      <c r="B4247" t="s">
        <v>4092</v>
      </c>
      <c r="C4247">
        <v>33</v>
      </c>
      <c r="D4247" t="s">
        <v>4109</v>
      </c>
      <c r="E4247" t="s">
        <v>4110</v>
      </c>
      <c r="F4247" t="s">
        <v>4075</v>
      </c>
    </row>
    <row r="4248" spans="1:6" x14ac:dyDescent="0.25">
      <c r="A4248">
        <v>3805</v>
      </c>
      <c r="B4248" t="s">
        <v>4092</v>
      </c>
      <c r="C4248">
        <v>23</v>
      </c>
      <c r="D4248" t="s">
        <v>2757</v>
      </c>
      <c r="E4248" t="s">
        <v>4093</v>
      </c>
      <c r="F4248" t="s">
        <v>4075</v>
      </c>
    </row>
    <row r="4249" spans="1:6" x14ac:dyDescent="0.25">
      <c r="A4249">
        <v>3806</v>
      </c>
      <c r="B4249" t="s">
        <v>4092</v>
      </c>
      <c r="C4249">
        <v>25</v>
      </c>
      <c r="D4249" t="s">
        <v>4102</v>
      </c>
      <c r="E4249" t="s">
        <v>4103</v>
      </c>
      <c r="F4249" t="s">
        <v>4075</v>
      </c>
    </row>
    <row r="4250" spans="1:6" x14ac:dyDescent="0.25">
      <c r="A4250">
        <v>3807</v>
      </c>
      <c r="B4250" t="s">
        <v>4092</v>
      </c>
      <c r="C4250">
        <v>33</v>
      </c>
      <c r="D4250" t="s">
        <v>4109</v>
      </c>
      <c r="E4250" t="s">
        <v>4110</v>
      </c>
      <c r="F4250" t="s">
        <v>4075</v>
      </c>
    </row>
    <row r="4251" spans="1:6" x14ac:dyDescent="0.25">
      <c r="A4251">
        <v>3808</v>
      </c>
      <c r="B4251" t="s">
        <v>4092</v>
      </c>
      <c r="C4251">
        <v>23</v>
      </c>
      <c r="D4251" t="s">
        <v>2757</v>
      </c>
      <c r="E4251" t="s">
        <v>4093</v>
      </c>
      <c r="F4251" t="s">
        <v>4075</v>
      </c>
    </row>
    <row r="4252" spans="1:6" x14ac:dyDescent="0.25">
      <c r="A4252">
        <v>3809</v>
      </c>
      <c r="B4252" t="s">
        <v>4092</v>
      </c>
      <c r="C4252">
        <v>23</v>
      </c>
      <c r="D4252" t="s">
        <v>2757</v>
      </c>
      <c r="E4252" t="s">
        <v>4093</v>
      </c>
      <c r="F4252" t="s">
        <v>4075</v>
      </c>
    </row>
    <row r="4253" spans="1:6" x14ac:dyDescent="0.25">
      <c r="A4253">
        <v>3810</v>
      </c>
      <c r="B4253" t="s">
        <v>4092</v>
      </c>
      <c r="C4253">
        <v>24</v>
      </c>
      <c r="D4253" t="s">
        <v>2760</v>
      </c>
      <c r="E4253" t="s">
        <v>4108</v>
      </c>
      <c r="F4253" t="s">
        <v>4075</v>
      </c>
    </row>
    <row r="4254" spans="1:6" x14ac:dyDescent="0.25">
      <c r="A4254">
        <v>3812</v>
      </c>
      <c r="B4254" t="s">
        <v>4072</v>
      </c>
      <c r="C4254">
        <v>13</v>
      </c>
      <c r="D4254" t="s">
        <v>4097</v>
      </c>
      <c r="E4254" t="s">
        <v>4098</v>
      </c>
      <c r="F4254" t="s">
        <v>4076</v>
      </c>
    </row>
    <row r="4255" spans="1:6" x14ac:dyDescent="0.25">
      <c r="A4255">
        <v>3812</v>
      </c>
      <c r="B4255" t="s">
        <v>4072</v>
      </c>
      <c r="C4255">
        <v>46</v>
      </c>
      <c r="D4255" t="s">
        <v>4099</v>
      </c>
      <c r="E4255" t="s">
        <v>4100</v>
      </c>
      <c r="F4255" t="s">
        <v>4079</v>
      </c>
    </row>
    <row r="4256" spans="1:6" x14ac:dyDescent="0.25">
      <c r="A4256">
        <v>3813</v>
      </c>
      <c r="B4256" t="s">
        <v>4072</v>
      </c>
      <c r="C4256">
        <v>19</v>
      </c>
      <c r="D4256" t="s">
        <v>4073</v>
      </c>
      <c r="E4256" t="s">
        <v>4074</v>
      </c>
      <c r="F4256" t="s">
        <v>4076</v>
      </c>
    </row>
    <row r="4257" spans="1:6" x14ac:dyDescent="0.25">
      <c r="A4257">
        <v>3813</v>
      </c>
      <c r="B4257" t="s">
        <v>4072</v>
      </c>
      <c r="C4257">
        <v>39</v>
      </c>
      <c r="D4257" t="s">
        <v>4073</v>
      </c>
      <c r="E4257" t="s">
        <v>4074</v>
      </c>
      <c r="F4257" t="s">
        <v>4079</v>
      </c>
    </row>
    <row r="4258" spans="1:6" x14ac:dyDescent="0.25">
      <c r="A4258">
        <v>3814</v>
      </c>
      <c r="B4258" t="s">
        <v>4092</v>
      </c>
      <c r="C4258">
        <v>32</v>
      </c>
      <c r="D4258" t="s">
        <v>4106</v>
      </c>
      <c r="E4258" t="s">
        <v>4107</v>
      </c>
      <c r="F4258" t="s">
        <v>4076</v>
      </c>
    </row>
    <row r="4259" spans="1:6" x14ac:dyDescent="0.25">
      <c r="A4259">
        <v>3814</v>
      </c>
      <c r="B4259" t="s">
        <v>4092</v>
      </c>
      <c r="C4259">
        <v>52</v>
      </c>
      <c r="D4259" t="s">
        <v>4106</v>
      </c>
      <c r="E4259" t="s">
        <v>4107</v>
      </c>
      <c r="F4259" t="s">
        <v>4079</v>
      </c>
    </row>
    <row r="4260" spans="1:6" x14ac:dyDescent="0.25">
      <c r="A4260">
        <v>3815</v>
      </c>
      <c r="B4260" t="s">
        <v>4092</v>
      </c>
      <c r="C4260">
        <v>24</v>
      </c>
      <c r="D4260" t="s">
        <v>2760</v>
      </c>
      <c r="E4260" t="s">
        <v>4108</v>
      </c>
      <c r="F4260" t="s">
        <v>4075</v>
      </c>
    </row>
    <row r="4261" spans="1:6" x14ac:dyDescent="0.25">
      <c r="A4261">
        <v>3815</v>
      </c>
      <c r="B4261" t="s">
        <v>4092</v>
      </c>
      <c r="C4261">
        <v>29</v>
      </c>
      <c r="D4261" t="s">
        <v>2760</v>
      </c>
      <c r="E4261" t="s">
        <v>4108</v>
      </c>
      <c r="F4261" t="s">
        <v>4076</v>
      </c>
    </row>
    <row r="4262" spans="1:6" x14ac:dyDescent="0.25">
      <c r="A4262">
        <v>3815</v>
      </c>
      <c r="B4262" t="s">
        <v>4092</v>
      </c>
      <c r="C4262">
        <v>49</v>
      </c>
      <c r="D4262" t="s">
        <v>2760</v>
      </c>
      <c r="E4262" t="s">
        <v>4108</v>
      </c>
      <c r="F4262" t="s">
        <v>4079</v>
      </c>
    </row>
    <row r="4263" spans="1:6" x14ac:dyDescent="0.25">
      <c r="A4263">
        <v>3817</v>
      </c>
      <c r="B4263" t="s">
        <v>4072</v>
      </c>
      <c r="C4263">
        <v>2</v>
      </c>
      <c r="D4263" t="s">
        <v>4082</v>
      </c>
      <c r="E4263" t="s">
        <v>4083</v>
      </c>
      <c r="F4263" t="s">
        <v>4075</v>
      </c>
    </row>
    <row r="4264" spans="1:6" x14ac:dyDescent="0.25">
      <c r="A4264">
        <v>3817</v>
      </c>
      <c r="B4264" t="s">
        <v>4072</v>
      </c>
      <c r="C4264">
        <v>17</v>
      </c>
      <c r="D4264" t="s">
        <v>4082</v>
      </c>
      <c r="E4264" t="s">
        <v>4084</v>
      </c>
      <c r="F4264" t="s">
        <v>4076</v>
      </c>
    </row>
    <row r="4265" spans="1:6" x14ac:dyDescent="0.25">
      <c r="A4265">
        <v>3817</v>
      </c>
      <c r="B4265" t="s">
        <v>4072</v>
      </c>
      <c r="C4265">
        <v>42</v>
      </c>
      <c r="D4265" t="s">
        <v>4082</v>
      </c>
      <c r="E4265" t="s">
        <v>4083</v>
      </c>
      <c r="F4265" t="s">
        <v>4079</v>
      </c>
    </row>
    <row r="4266" spans="1:6" x14ac:dyDescent="0.25">
      <c r="A4266">
        <v>3818</v>
      </c>
      <c r="B4266" t="s">
        <v>4072</v>
      </c>
      <c r="C4266">
        <v>2</v>
      </c>
      <c r="D4266" t="s">
        <v>4082</v>
      </c>
      <c r="E4266" t="s">
        <v>4083</v>
      </c>
      <c r="F4266" t="s">
        <v>4075</v>
      </c>
    </row>
    <row r="4267" spans="1:6" x14ac:dyDescent="0.25">
      <c r="A4267">
        <v>3818</v>
      </c>
      <c r="B4267" t="s">
        <v>4072</v>
      </c>
      <c r="C4267">
        <v>17</v>
      </c>
      <c r="D4267" t="s">
        <v>4082</v>
      </c>
      <c r="E4267" t="s">
        <v>4084</v>
      </c>
      <c r="F4267" t="s">
        <v>4076</v>
      </c>
    </row>
    <row r="4268" spans="1:6" x14ac:dyDescent="0.25">
      <c r="A4268">
        <v>3818</v>
      </c>
      <c r="B4268" t="s">
        <v>4072</v>
      </c>
      <c r="C4268">
        <v>42</v>
      </c>
      <c r="D4268" t="s">
        <v>4082</v>
      </c>
      <c r="E4268" t="s">
        <v>4083</v>
      </c>
      <c r="F4268" t="s">
        <v>4079</v>
      </c>
    </row>
    <row r="4269" spans="1:6" x14ac:dyDescent="0.25">
      <c r="A4269">
        <v>3819</v>
      </c>
      <c r="B4269" t="s">
        <v>4072</v>
      </c>
      <c r="C4269">
        <v>5</v>
      </c>
      <c r="D4269" t="s">
        <v>4087</v>
      </c>
      <c r="E4269" t="s">
        <v>4088</v>
      </c>
      <c r="F4269" t="s">
        <v>4075</v>
      </c>
    </row>
    <row r="4270" spans="1:6" x14ac:dyDescent="0.25">
      <c r="A4270">
        <v>3819</v>
      </c>
      <c r="B4270" t="s">
        <v>4072</v>
      </c>
      <c r="C4270">
        <v>15</v>
      </c>
      <c r="D4270" t="s">
        <v>4080</v>
      </c>
      <c r="E4270" t="s">
        <v>4081</v>
      </c>
      <c r="F4270" t="s">
        <v>4076</v>
      </c>
    </row>
    <row r="4271" spans="1:6" x14ac:dyDescent="0.25">
      <c r="A4271">
        <v>3819</v>
      </c>
      <c r="B4271" t="s">
        <v>4072</v>
      </c>
      <c r="C4271">
        <v>40</v>
      </c>
      <c r="D4271" t="s">
        <v>4080</v>
      </c>
      <c r="E4271" t="s">
        <v>4081</v>
      </c>
      <c r="F4271" t="s">
        <v>4079</v>
      </c>
    </row>
    <row r="4272" spans="1:6" x14ac:dyDescent="0.25">
      <c r="A4272">
        <v>3820</v>
      </c>
      <c r="B4272" t="s">
        <v>4072</v>
      </c>
      <c r="C4272">
        <v>5</v>
      </c>
      <c r="D4272" t="s">
        <v>4087</v>
      </c>
      <c r="E4272" t="s">
        <v>4088</v>
      </c>
      <c r="F4272" t="s">
        <v>4075</v>
      </c>
    </row>
    <row r="4273" spans="1:6" x14ac:dyDescent="0.25">
      <c r="A4273">
        <v>3820</v>
      </c>
      <c r="B4273" t="s">
        <v>4072</v>
      </c>
      <c r="C4273">
        <v>15</v>
      </c>
      <c r="D4273" t="s">
        <v>4080</v>
      </c>
      <c r="E4273" t="s">
        <v>4081</v>
      </c>
      <c r="F4273" t="s">
        <v>4076</v>
      </c>
    </row>
    <row r="4274" spans="1:6" x14ac:dyDescent="0.25">
      <c r="A4274">
        <v>3820</v>
      </c>
      <c r="B4274" t="s">
        <v>4072</v>
      </c>
      <c r="C4274">
        <v>40</v>
      </c>
      <c r="D4274" t="s">
        <v>4080</v>
      </c>
      <c r="E4274" t="s">
        <v>4081</v>
      </c>
      <c r="F4274" t="s">
        <v>4079</v>
      </c>
    </row>
    <row r="4275" spans="1:6" x14ac:dyDescent="0.25">
      <c r="A4275">
        <v>3821</v>
      </c>
      <c r="B4275" t="s">
        <v>4072</v>
      </c>
      <c r="C4275">
        <v>4</v>
      </c>
      <c r="D4275" t="s">
        <v>4077</v>
      </c>
      <c r="E4275" t="s">
        <v>4078</v>
      </c>
      <c r="F4275" t="s">
        <v>4075</v>
      </c>
    </row>
    <row r="4276" spans="1:6" x14ac:dyDescent="0.25">
      <c r="A4276">
        <v>3822</v>
      </c>
      <c r="B4276" t="s">
        <v>4072</v>
      </c>
      <c r="C4276">
        <v>10</v>
      </c>
      <c r="D4276" t="s">
        <v>4095</v>
      </c>
      <c r="E4276" t="s">
        <v>4096</v>
      </c>
      <c r="F4276" t="s">
        <v>4075</v>
      </c>
    </row>
    <row r="4277" spans="1:6" x14ac:dyDescent="0.25">
      <c r="A4277">
        <v>3824</v>
      </c>
      <c r="B4277" t="s">
        <v>4072</v>
      </c>
      <c r="C4277">
        <v>19</v>
      </c>
      <c r="D4277" t="s">
        <v>4073</v>
      </c>
      <c r="E4277" t="s">
        <v>4074</v>
      </c>
      <c r="F4277" t="s">
        <v>4076</v>
      </c>
    </row>
    <row r="4278" spans="1:6" x14ac:dyDescent="0.25">
      <c r="A4278">
        <v>3824</v>
      </c>
      <c r="B4278" t="s">
        <v>4072</v>
      </c>
      <c r="C4278">
        <v>39</v>
      </c>
      <c r="D4278" t="s">
        <v>4073</v>
      </c>
      <c r="E4278" t="s">
        <v>4074</v>
      </c>
      <c r="F4278" t="s">
        <v>4079</v>
      </c>
    </row>
    <row r="4279" spans="1:6" x14ac:dyDescent="0.25">
      <c r="A4279">
        <v>3827</v>
      </c>
      <c r="B4279" t="s">
        <v>4072</v>
      </c>
      <c r="C4279">
        <v>5</v>
      </c>
      <c r="D4279" t="s">
        <v>4087</v>
      </c>
      <c r="E4279" t="s">
        <v>4088</v>
      </c>
      <c r="F4279" t="s">
        <v>4075</v>
      </c>
    </row>
    <row r="4280" spans="1:6" x14ac:dyDescent="0.25">
      <c r="A4280">
        <v>3827</v>
      </c>
      <c r="B4280" t="s">
        <v>4072</v>
      </c>
      <c r="C4280">
        <v>15</v>
      </c>
      <c r="D4280" t="s">
        <v>4080</v>
      </c>
      <c r="E4280" t="s">
        <v>4081</v>
      </c>
      <c r="F4280" t="s">
        <v>4076</v>
      </c>
    </row>
    <row r="4281" spans="1:6" x14ac:dyDescent="0.25">
      <c r="A4281">
        <v>3828</v>
      </c>
      <c r="B4281" t="s">
        <v>4072</v>
      </c>
      <c r="C4281">
        <v>5</v>
      </c>
      <c r="D4281" t="s">
        <v>4087</v>
      </c>
      <c r="E4281" t="s">
        <v>4088</v>
      </c>
      <c r="F4281" t="s">
        <v>4075</v>
      </c>
    </row>
    <row r="4282" spans="1:6" x14ac:dyDescent="0.25">
      <c r="A4282">
        <v>3828</v>
      </c>
      <c r="B4282" t="s">
        <v>4072</v>
      </c>
      <c r="C4282">
        <v>15</v>
      </c>
      <c r="D4282" t="s">
        <v>4080</v>
      </c>
      <c r="E4282" t="s">
        <v>4081</v>
      </c>
      <c r="F4282" t="s">
        <v>4076</v>
      </c>
    </row>
    <row r="4283" spans="1:6" x14ac:dyDescent="0.25">
      <c r="A4283">
        <v>3829</v>
      </c>
      <c r="B4283" t="s">
        <v>4072</v>
      </c>
      <c r="C4283">
        <v>4</v>
      </c>
      <c r="D4283" t="s">
        <v>4077</v>
      </c>
      <c r="E4283" t="s">
        <v>4078</v>
      </c>
      <c r="F4283" t="s">
        <v>4075</v>
      </c>
    </row>
    <row r="4284" spans="1:6" x14ac:dyDescent="0.25">
      <c r="A4284">
        <v>3829</v>
      </c>
      <c r="B4284" t="s">
        <v>4072</v>
      </c>
      <c r="C4284">
        <v>16</v>
      </c>
      <c r="D4284" t="s">
        <v>4077</v>
      </c>
      <c r="E4284" t="s">
        <v>4078</v>
      </c>
      <c r="F4284" t="s">
        <v>4076</v>
      </c>
    </row>
    <row r="4285" spans="1:6" x14ac:dyDescent="0.25">
      <c r="A4285">
        <v>3830</v>
      </c>
      <c r="B4285" t="s">
        <v>4072</v>
      </c>
      <c r="C4285">
        <v>6</v>
      </c>
      <c r="D4285" t="s">
        <v>4073</v>
      </c>
      <c r="E4285" t="s">
        <v>4074</v>
      </c>
      <c r="F4285" t="s">
        <v>4075</v>
      </c>
    </row>
    <row r="4286" spans="1:6" x14ac:dyDescent="0.25">
      <c r="A4286">
        <v>3830</v>
      </c>
      <c r="B4286" t="s">
        <v>4072</v>
      </c>
      <c r="C4286">
        <v>19</v>
      </c>
      <c r="D4286" t="s">
        <v>4073</v>
      </c>
      <c r="E4286" t="s">
        <v>4074</v>
      </c>
      <c r="F4286" t="s">
        <v>4076</v>
      </c>
    </row>
    <row r="4287" spans="1:6" x14ac:dyDescent="0.25">
      <c r="A4287">
        <v>3831</v>
      </c>
      <c r="B4287" t="s">
        <v>4092</v>
      </c>
      <c r="C4287">
        <v>33</v>
      </c>
      <c r="D4287" t="s">
        <v>4109</v>
      </c>
      <c r="E4287" t="s">
        <v>4110</v>
      </c>
      <c r="F4287" t="s">
        <v>4075</v>
      </c>
    </row>
    <row r="4288" spans="1:6" x14ac:dyDescent="0.25">
      <c r="A4288">
        <v>3831</v>
      </c>
      <c r="B4288" t="s">
        <v>4092</v>
      </c>
      <c r="C4288">
        <v>34</v>
      </c>
      <c r="D4288" t="s">
        <v>4109</v>
      </c>
      <c r="E4288" t="s">
        <v>4110</v>
      </c>
      <c r="F4288" t="s">
        <v>4076</v>
      </c>
    </row>
    <row r="4289" spans="1:6" x14ac:dyDescent="0.25">
      <c r="A4289">
        <v>3834</v>
      </c>
      <c r="B4289" t="s">
        <v>4072</v>
      </c>
      <c r="C4289">
        <v>5</v>
      </c>
      <c r="D4289" t="s">
        <v>4087</v>
      </c>
      <c r="E4289" t="s">
        <v>4088</v>
      </c>
      <c r="F4289" t="s">
        <v>4075</v>
      </c>
    </row>
    <row r="4290" spans="1:6" x14ac:dyDescent="0.25">
      <c r="A4290">
        <v>3834</v>
      </c>
      <c r="B4290" t="s">
        <v>4072</v>
      </c>
      <c r="C4290">
        <v>15</v>
      </c>
      <c r="D4290" t="s">
        <v>4080</v>
      </c>
      <c r="E4290" t="s">
        <v>4081</v>
      </c>
      <c r="F4290" t="s">
        <v>4076</v>
      </c>
    </row>
    <row r="4291" spans="1:6" x14ac:dyDescent="0.25">
      <c r="A4291">
        <v>3834</v>
      </c>
      <c r="B4291" t="s">
        <v>4072</v>
      </c>
      <c r="C4291">
        <v>40</v>
      </c>
      <c r="D4291" t="s">
        <v>4080</v>
      </c>
      <c r="E4291" t="s">
        <v>4081</v>
      </c>
      <c r="F4291" t="s">
        <v>4079</v>
      </c>
    </row>
    <row r="4292" spans="1:6" x14ac:dyDescent="0.25">
      <c r="A4292">
        <v>3835</v>
      </c>
      <c r="B4292" t="s">
        <v>4072</v>
      </c>
      <c r="C4292">
        <v>5</v>
      </c>
      <c r="D4292" t="s">
        <v>4087</v>
      </c>
      <c r="E4292" t="s">
        <v>4088</v>
      </c>
      <c r="F4292" t="s">
        <v>4075</v>
      </c>
    </row>
    <row r="4293" spans="1:6" x14ac:dyDescent="0.25">
      <c r="A4293">
        <v>3835</v>
      </c>
      <c r="B4293" t="s">
        <v>4072</v>
      </c>
      <c r="C4293">
        <v>15</v>
      </c>
      <c r="D4293" t="s">
        <v>4080</v>
      </c>
      <c r="E4293" t="s">
        <v>4081</v>
      </c>
      <c r="F4293" t="s">
        <v>4076</v>
      </c>
    </row>
    <row r="4294" spans="1:6" x14ac:dyDescent="0.25">
      <c r="A4294">
        <v>3835</v>
      </c>
      <c r="B4294" t="s">
        <v>4072</v>
      </c>
      <c r="C4294">
        <v>40</v>
      </c>
      <c r="D4294" t="s">
        <v>4080</v>
      </c>
      <c r="E4294" t="s">
        <v>4081</v>
      </c>
      <c r="F4294" t="s">
        <v>4079</v>
      </c>
    </row>
    <row r="4295" spans="1:6" x14ac:dyDescent="0.25">
      <c r="A4295">
        <v>3836</v>
      </c>
      <c r="B4295" t="s">
        <v>4072</v>
      </c>
      <c r="C4295">
        <v>5</v>
      </c>
      <c r="D4295" t="s">
        <v>4087</v>
      </c>
      <c r="E4295" t="s">
        <v>4088</v>
      </c>
      <c r="F4295" t="s">
        <v>4075</v>
      </c>
    </row>
    <row r="4296" spans="1:6" x14ac:dyDescent="0.25">
      <c r="A4296">
        <v>3836</v>
      </c>
      <c r="B4296" t="s">
        <v>4072</v>
      </c>
      <c r="C4296">
        <v>15</v>
      </c>
      <c r="D4296" t="s">
        <v>4080</v>
      </c>
      <c r="E4296" t="s">
        <v>4081</v>
      </c>
      <c r="F4296" t="s">
        <v>4076</v>
      </c>
    </row>
    <row r="4297" spans="1:6" x14ac:dyDescent="0.25">
      <c r="A4297">
        <v>3836</v>
      </c>
      <c r="B4297" t="s">
        <v>4072</v>
      </c>
      <c r="C4297">
        <v>40</v>
      </c>
      <c r="D4297" t="s">
        <v>4080</v>
      </c>
      <c r="E4297" t="s">
        <v>4081</v>
      </c>
      <c r="F4297" t="s">
        <v>4079</v>
      </c>
    </row>
    <row r="4298" spans="1:6" x14ac:dyDescent="0.25">
      <c r="A4298">
        <v>3838</v>
      </c>
      <c r="B4298" t="s">
        <v>4092</v>
      </c>
      <c r="C4298">
        <v>24</v>
      </c>
      <c r="D4298" t="s">
        <v>2760</v>
      </c>
      <c r="E4298" t="s">
        <v>4108</v>
      </c>
      <c r="F4298" t="s">
        <v>4075</v>
      </c>
    </row>
    <row r="4299" spans="1:6" x14ac:dyDescent="0.25">
      <c r="A4299">
        <v>3838</v>
      </c>
      <c r="B4299" t="s">
        <v>4092</v>
      </c>
      <c r="C4299">
        <v>29</v>
      </c>
      <c r="D4299" t="s">
        <v>2760</v>
      </c>
      <c r="E4299" t="s">
        <v>4108</v>
      </c>
      <c r="F4299" t="s">
        <v>4076</v>
      </c>
    </row>
    <row r="4300" spans="1:6" x14ac:dyDescent="0.25">
      <c r="A4300">
        <v>3839</v>
      </c>
      <c r="B4300" t="s">
        <v>4092</v>
      </c>
      <c r="C4300">
        <v>24</v>
      </c>
      <c r="D4300" t="s">
        <v>2760</v>
      </c>
      <c r="E4300" t="s">
        <v>4108</v>
      </c>
      <c r="F4300" t="s">
        <v>4075</v>
      </c>
    </row>
    <row r="4301" spans="1:6" x14ac:dyDescent="0.25">
      <c r="A4301">
        <v>3839</v>
      </c>
      <c r="B4301" t="s">
        <v>4092</v>
      </c>
      <c r="C4301">
        <v>29</v>
      </c>
      <c r="D4301" t="s">
        <v>2760</v>
      </c>
      <c r="E4301" t="s">
        <v>4108</v>
      </c>
      <c r="F4301" t="s">
        <v>4076</v>
      </c>
    </row>
    <row r="4302" spans="1:6" x14ac:dyDescent="0.25">
      <c r="A4302">
        <v>3841</v>
      </c>
      <c r="B4302" t="s">
        <v>4092</v>
      </c>
      <c r="C4302">
        <v>24</v>
      </c>
      <c r="D4302" t="s">
        <v>2760</v>
      </c>
      <c r="E4302" t="s">
        <v>4108</v>
      </c>
      <c r="F4302" t="s">
        <v>4075</v>
      </c>
    </row>
    <row r="4303" spans="1:6" x14ac:dyDescent="0.25">
      <c r="A4303">
        <v>3841</v>
      </c>
      <c r="B4303" t="s">
        <v>4092</v>
      </c>
      <c r="C4303">
        <v>29</v>
      </c>
      <c r="D4303" t="s">
        <v>2760</v>
      </c>
      <c r="E4303" t="s">
        <v>4108</v>
      </c>
      <c r="F4303" t="s">
        <v>4076</v>
      </c>
    </row>
    <row r="4304" spans="1:6" x14ac:dyDescent="0.25">
      <c r="A4304">
        <v>3841</v>
      </c>
      <c r="B4304" t="s">
        <v>4092</v>
      </c>
      <c r="C4304">
        <v>49</v>
      </c>
      <c r="D4304" t="s">
        <v>2760</v>
      </c>
      <c r="E4304" t="s">
        <v>4108</v>
      </c>
      <c r="F4304" t="s">
        <v>4079</v>
      </c>
    </row>
    <row r="4305" spans="1:6" x14ac:dyDescent="0.25">
      <c r="A4305">
        <v>3842</v>
      </c>
      <c r="B4305" t="s">
        <v>4072</v>
      </c>
      <c r="C4305">
        <v>2</v>
      </c>
      <c r="D4305" t="s">
        <v>4082</v>
      </c>
      <c r="E4305" t="s">
        <v>4083</v>
      </c>
      <c r="F4305" t="s">
        <v>4075</v>
      </c>
    </row>
    <row r="4306" spans="1:6" x14ac:dyDescent="0.25">
      <c r="A4306">
        <v>3842</v>
      </c>
      <c r="B4306" t="s">
        <v>4072</v>
      </c>
      <c r="C4306">
        <v>17</v>
      </c>
      <c r="D4306" t="s">
        <v>4082</v>
      </c>
      <c r="E4306" t="s">
        <v>4084</v>
      </c>
      <c r="F4306" t="s">
        <v>4076</v>
      </c>
    </row>
    <row r="4307" spans="1:6" x14ac:dyDescent="0.25">
      <c r="A4307">
        <v>3842</v>
      </c>
      <c r="B4307" t="s">
        <v>4072</v>
      </c>
      <c r="C4307">
        <v>42</v>
      </c>
      <c r="D4307" t="s">
        <v>4082</v>
      </c>
      <c r="E4307" t="s">
        <v>4083</v>
      </c>
      <c r="F4307" t="s">
        <v>4079</v>
      </c>
    </row>
    <row r="4308" spans="1:6" x14ac:dyDescent="0.25">
      <c r="A4308">
        <v>3846</v>
      </c>
      <c r="B4308" t="s">
        <v>4092</v>
      </c>
      <c r="C4308">
        <v>24</v>
      </c>
      <c r="D4308" t="s">
        <v>2760</v>
      </c>
      <c r="E4308" t="s">
        <v>4108</v>
      </c>
      <c r="F4308" t="s">
        <v>4075</v>
      </c>
    </row>
    <row r="4309" spans="1:6" x14ac:dyDescent="0.25">
      <c r="A4309">
        <v>3846</v>
      </c>
      <c r="B4309" t="s">
        <v>4092</v>
      </c>
      <c r="C4309">
        <v>29</v>
      </c>
      <c r="D4309" t="s">
        <v>2760</v>
      </c>
      <c r="E4309" t="s">
        <v>4108</v>
      </c>
      <c r="F4309" t="s">
        <v>4076</v>
      </c>
    </row>
    <row r="4310" spans="1:6" x14ac:dyDescent="0.25">
      <c r="A4310">
        <v>3846</v>
      </c>
      <c r="B4310" t="s">
        <v>4092</v>
      </c>
      <c r="C4310">
        <v>49</v>
      </c>
      <c r="D4310" t="s">
        <v>2760</v>
      </c>
      <c r="E4310" t="s">
        <v>4108</v>
      </c>
      <c r="F4310" t="s">
        <v>4079</v>
      </c>
    </row>
    <row r="4311" spans="1:6" x14ac:dyDescent="0.25">
      <c r="A4311">
        <v>3847</v>
      </c>
      <c r="B4311" t="s">
        <v>4072</v>
      </c>
      <c r="C4311">
        <v>6</v>
      </c>
      <c r="D4311" t="s">
        <v>4073</v>
      </c>
      <c r="E4311" t="s">
        <v>4074</v>
      </c>
      <c r="F4311" t="s">
        <v>4075</v>
      </c>
    </row>
    <row r="4312" spans="1:6" x14ac:dyDescent="0.25">
      <c r="A4312">
        <v>3847</v>
      </c>
      <c r="B4312" t="s">
        <v>4072</v>
      </c>
      <c r="C4312">
        <v>19</v>
      </c>
      <c r="D4312" t="s">
        <v>4073</v>
      </c>
      <c r="E4312" t="s">
        <v>4074</v>
      </c>
      <c r="F4312" t="s">
        <v>4076</v>
      </c>
    </row>
    <row r="4313" spans="1:6" x14ac:dyDescent="0.25">
      <c r="A4313">
        <v>3848</v>
      </c>
      <c r="B4313" t="s">
        <v>4072</v>
      </c>
      <c r="C4313">
        <v>13</v>
      </c>
      <c r="D4313" t="s">
        <v>4097</v>
      </c>
      <c r="E4313" t="s">
        <v>4098</v>
      </c>
      <c r="F4313" t="s">
        <v>4076</v>
      </c>
    </row>
    <row r="4314" spans="1:6" x14ac:dyDescent="0.25">
      <c r="A4314">
        <v>3848</v>
      </c>
      <c r="B4314" t="s">
        <v>4072</v>
      </c>
      <c r="C4314">
        <v>46</v>
      </c>
      <c r="D4314" t="s">
        <v>4099</v>
      </c>
      <c r="E4314" t="s">
        <v>4100</v>
      </c>
      <c r="F4314" t="s">
        <v>4079</v>
      </c>
    </row>
    <row r="4315" spans="1:6" x14ac:dyDescent="0.25">
      <c r="A4315">
        <v>3850</v>
      </c>
      <c r="B4315" t="s">
        <v>4072</v>
      </c>
      <c r="C4315">
        <v>5</v>
      </c>
      <c r="D4315" t="s">
        <v>4087</v>
      </c>
      <c r="E4315" t="s">
        <v>4088</v>
      </c>
      <c r="F4315" t="s">
        <v>4075</v>
      </c>
    </row>
    <row r="4316" spans="1:6" x14ac:dyDescent="0.25">
      <c r="A4316">
        <v>3851</v>
      </c>
      <c r="B4316" t="s">
        <v>4072</v>
      </c>
      <c r="C4316">
        <v>5</v>
      </c>
      <c r="D4316" t="s">
        <v>4087</v>
      </c>
      <c r="E4316" t="s">
        <v>4088</v>
      </c>
      <c r="F4316" t="s">
        <v>4075</v>
      </c>
    </row>
    <row r="4317" spans="1:6" x14ac:dyDescent="0.25">
      <c r="A4317">
        <v>3852</v>
      </c>
      <c r="B4317" t="s">
        <v>4092</v>
      </c>
      <c r="C4317">
        <v>24</v>
      </c>
      <c r="D4317" t="s">
        <v>2760</v>
      </c>
      <c r="E4317" t="s">
        <v>4108</v>
      </c>
      <c r="F4317" t="s">
        <v>4075</v>
      </c>
    </row>
    <row r="4318" spans="1:6" x14ac:dyDescent="0.25">
      <c r="A4318">
        <v>3852</v>
      </c>
      <c r="B4318" t="s">
        <v>4092</v>
      </c>
      <c r="C4318">
        <v>29</v>
      </c>
      <c r="D4318" t="s">
        <v>2760</v>
      </c>
      <c r="E4318" t="s">
        <v>4108</v>
      </c>
      <c r="F4318" t="s">
        <v>4076</v>
      </c>
    </row>
    <row r="4319" spans="1:6" x14ac:dyDescent="0.25">
      <c r="A4319">
        <v>3854</v>
      </c>
      <c r="B4319" t="s">
        <v>4072</v>
      </c>
      <c r="C4319">
        <v>5</v>
      </c>
      <c r="D4319" t="s">
        <v>4087</v>
      </c>
      <c r="E4319" t="s">
        <v>4088</v>
      </c>
      <c r="F4319" t="s">
        <v>4075</v>
      </c>
    </row>
    <row r="4320" spans="1:6" x14ac:dyDescent="0.25">
      <c r="A4320">
        <v>3854</v>
      </c>
      <c r="B4320" t="s">
        <v>4072</v>
      </c>
      <c r="C4320">
        <v>15</v>
      </c>
      <c r="D4320" t="s">
        <v>4080</v>
      </c>
      <c r="E4320" t="s">
        <v>4081</v>
      </c>
      <c r="F4320" t="s">
        <v>4076</v>
      </c>
    </row>
    <row r="4321" spans="1:6" x14ac:dyDescent="0.25">
      <c r="A4321">
        <v>3855</v>
      </c>
      <c r="B4321" t="s">
        <v>4072</v>
      </c>
      <c r="C4321">
        <v>6</v>
      </c>
      <c r="D4321" t="s">
        <v>4073</v>
      </c>
      <c r="E4321" t="s">
        <v>4074</v>
      </c>
      <c r="F4321" t="s">
        <v>4075</v>
      </c>
    </row>
    <row r="4322" spans="1:6" x14ac:dyDescent="0.25">
      <c r="A4322">
        <v>3855</v>
      </c>
      <c r="B4322" t="s">
        <v>4072</v>
      </c>
      <c r="C4322">
        <v>19</v>
      </c>
      <c r="D4322" t="s">
        <v>4073</v>
      </c>
      <c r="E4322" t="s">
        <v>4074</v>
      </c>
      <c r="F4322" t="s">
        <v>4076</v>
      </c>
    </row>
    <row r="4323" spans="1:6" x14ac:dyDescent="0.25">
      <c r="A4323">
        <v>3856</v>
      </c>
      <c r="B4323" t="s">
        <v>4072</v>
      </c>
      <c r="C4323">
        <v>19</v>
      </c>
      <c r="D4323" t="s">
        <v>4073</v>
      </c>
      <c r="E4323" t="s">
        <v>4074</v>
      </c>
      <c r="F4323" t="s">
        <v>4076</v>
      </c>
    </row>
    <row r="4324" spans="1:6" x14ac:dyDescent="0.25">
      <c r="A4324">
        <v>3857</v>
      </c>
      <c r="B4324" t="s">
        <v>4072</v>
      </c>
      <c r="C4324">
        <v>4</v>
      </c>
      <c r="D4324" t="s">
        <v>4077</v>
      </c>
      <c r="E4324" t="s">
        <v>4078</v>
      </c>
      <c r="F4324" t="s">
        <v>4075</v>
      </c>
    </row>
    <row r="4325" spans="1:6" x14ac:dyDescent="0.25">
      <c r="A4325">
        <v>3857</v>
      </c>
      <c r="B4325" t="s">
        <v>4072</v>
      </c>
      <c r="C4325">
        <v>16</v>
      </c>
      <c r="D4325" t="s">
        <v>4077</v>
      </c>
      <c r="E4325" t="s">
        <v>4078</v>
      </c>
      <c r="F4325" t="s">
        <v>4076</v>
      </c>
    </row>
    <row r="4326" spans="1:6" x14ac:dyDescent="0.25">
      <c r="A4326">
        <v>3857</v>
      </c>
      <c r="B4326" t="s">
        <v>4072</v>
      </c>
      <c r="C4326">
        <v>44</v>
      </c>
      <c r="D4326" t="s">
        <v>4077</v>
      </c>
      <c r="E4326" t="s">
        <v>4078</v>
      </c>
      <c r="F4326" t="s">
        <v>4079</v>
      </c>
    </row>
    <row r="4327" spans="1:6" x14ac:dyDescent="0.25">
      <c r="A4327">
        <v>3859</v>
      </c>
      <c r="B4327" t="s">
        <v>4072</v>
      </c>
      <c r="C4327">
        <v>5</v>
      </c>
      <c r="D4327" t="s">
        <v>4087</v>
      </c>
      <c r="E4327" t="s">
        <v>4088</v>
      </c>
      <c r="F4327" t="s">
        <v>4075</v>
      </c>
    </row>
    <row r="4328" spans="1:6" x14ac:dyDescent="0.25">
      <c r="A4328">
        <v>3859</v>
      </c>
      <c r="B4328" t="s">
        <v>4072</v>
      </c>
      <c r="C4328">
        <v>15</v>
      </c>
      <c r="D4328" t="s">
        <v>4080</v>
      </c>
      <c r="E4328" t="s">
        <v>4081</v>
      </c>
      <c r="F4328" t="s">
        <v>4076</v>
      </c>
    </row>
    <row r="4329" spans="1:6" x14ac:dyDescent="0.25">
      <c r="A4329">
        <v>3862</v>
      </c>
      <c r="B4329" t="s">
        <v>4092</v>
      </c>
      <c r="C4329">
        <v>33</v>
      </c>
      <c r="D4329" t="s">
        <v>4109</v>
      </c>
      <c r="E4329" t="s">
        <v>4110</v>
      </c>
      <c r="F4329" t="s">
        <v>4075</v>
      </c>
    </row>
    <row r="4330" spans="1:6" x14ac:dyDescent="0.25">
      <c r="A4330">
        <v>3863</v>
      </c>
      <c r="B4330" t="s">
        <v>4072</v>
      </c>
      <c r="C4330">
        <v>3</v>
      </c>
      <c r="D4330" t="s">
        <v>4085</v>
      </c>
      <c r="E4330" t="s">
        <v>4086</v>
      </c>
      <c r="F4330" t="s">
        <v>4075</v>
      </c>
    </row>
    <row r="4331" spans="1:6" x14ac:dyDescent="0.25">
      <c r="A4331">
        <v>3863</v>
      </c>
      <c r="B4331" t="s">
        <v>4072</v>
      </c>
      <c r="C4331">
        <v>15</v>
      </c>
      <c r="D4331" t="s">
        <v>4080</v>
      </c>
      <c r="E4331" t="s">
        <v>4081</v>
      </c>
      <c r="F4331" t="s">
        <v>4076</v>
      </c>
    </row>
    <row r="4332" spans="1:6" x14ac:dyDescent="0.25">
      <c r="A4332">
        <v>3863</v>
      </c>
      <c r="B4332" t="s">
        <v>4072</v>
      </c>
      <c r="C4332">
        <v>40</v>
      </c>
      <c r="D4332" t="s">
        <v>4080</v>
      </c>
      <c r="E4332" t="s">
        <v>4081</v>
      </c>
      <c r="F4332" t="s">
        <v>4079</v>
      </c>
    </row>
    <row r="4333" spans="1:6" x14ac:dyDescent="0.25">
      <c r="A4333">
        <v>3864</v>
      </c>
      <c r="B4333" t="s">
        <v>4072</v>
      </c>
      <c r="C4333">
        <v>6</v>
      </c>
      <c r="D4333" t="s">
        <v>4073</v>
      </c>
      <c r="E4333" t="s">
        <v>4074</v>
      </c>
      <c r="F4333" t="s">
        <v>4075</v>
      </c>
    </row>
    <row r="4334" spans="1:6" x14ac:dyDescent="0.25">
      <c r="A4334">
        <v>3864</v>
      </c>
      <c r="B4334" t="s">
        <v>4072</v>
      </c>
      <c r="C4334">
        <v>19</v>
      </c>
      <c r="D4334" t="s">
        <v>4073</v>
      </c>
      <c r="E4334" t="s">
        <v>4074</v>
      </c>
      <c r="F4334" t="s">
        <v>4076</v>
      </c>
    </row>
    <row r="4335" spans="1:6" x14ac:dyDescent="0.25">
      <c r="A4335">
        <v>3864</v>
      </c>
      <c r="B4335" t="s">
        <v>4072</v>
      </c>
      <c r="C4335">
        <v>39</v>
      </c>
      <c r="D4335" t="s">
        <v>4073</v>
      </c>
      <c r="E4335" t="s">
        <v>4074</v>
      </c>
      <c r="F4335" t="s">
        <v>4079</v>
      </c>
    </row>
    <row r="4336" spans="1:6" x14ac:dyDescent="0.25">
      <c r="A4336">
        <v>3865</v>
      </c>
      <c r="B4336" t="s">
        <v>4072</v>
      </c>
      <c r="C4336">
        <v>4</v>
      </c>
      <c r="D4336" t="s">
        <v>4077</v>
      </c>
      <c r="E4336" t="s">
        <v>4078</v>
      </c>
      <c r="F4336" t="s">
        <v>4075</v>
      </c>
    </row>
    <row r="4337" spans="1:6" x14ac:dyDescent="0.25">
      <c r="A4337">
        <v>3865</v>
      </c>
      <c r="B4337" t="s">
        <v>4072</v>
      </c>
      <c r="C4337">
        <v>16</v>
      </c>
      <c r="D4337" t="s">
        <v>4077</v>
      </c>
      <c r="E4337" t="s">
        <v>4078</v>
      </c>
      <c r="F4337" t="s">
        <v>4076</v>
      </c>
    </row>
    <row r="4338" spans="1:6" x14ac:dyDescent="0.25">
      <c r="A4338">
        <v>3865</v>
      </c>
      <c r="B4338" t="s">
        <v>4072</v>
      </c>
      <c r="C4338">
        <v>44</v>
      </c>
      <c r="D4338" t="s">
        <v>4077</v>
      </c>
      <c r="E4338" t="s">
        <v>4078</v>
      </c>
      <c r="F4338" t="s">
        <v>4079</v>
      </c>
    </row>
    <row r="4339" spans="1:6" x14ac:dyDescent="0.25">
      <c r="A4339">
        <v>3871</v>
      </c>
      <c r="B4339" t="s">
        <v>4072</v>
      </c>
      <c r="C4339">
        <v>6</v>
      </c>
      <c r="D4339" t="s">
        <v>4073</v>
      </c>
      <c r="E4339" t="s">
        <v>4074</v>
      </c>
      <c r="F4339" t="s">
        <v>4075</v>
      </c>
    </row>
    <row r="4340" spans="1:6" x14ac:dyDescent="0.25">
      <c r="A4340">
        <v>3871</v>
      </c>
      <c r="B4340" t="s">
        <v>4072</v>
      </c>
      <c r="C4340">
        <v>19</v>
      </c>
      <c r="D4340" t="s">
        <v>4073</v>
      </c>
      <c r="E4340" t="s">
        <v>4074</v>
      </c>
      <c r="F4340" t="s">
        <v>4076</v>
      </c>
    </row>
    <row r="4341" spans="1:6" x14ac:dyDescent="0.25">
      <c r="A4341">
        <v>3872</v>
      </c>
      <c r="B4341" t="s">
        <v>4072</v>
      </c>
      <c r="C4341">
        <v>19</v>
      </c>
      <c r="D4341" t="s">
        <v>4073</v>
      </c>
      <c r="E4341" t="s">
        <v>4074</v>
      </c>
      <c r="F4341" t="s">
        <v>4076</v>
      </c>
    </row>
    <row r="4342" spans="1:6" x14ac:dyDescent="0.25">
      <c r="A4342">
        <v>3873</v>
      </c>
      <c r="B4342" t="s">
        <v>4092</v>
      </c>
      <c r="C4342">
        <v>33</v>
      </c>
      <c r="D4342" t="s">
        <v>4109</v>
      </c>
      <c r="E4342" t="s">
        <v>4110</v>
      </c>
      <c r="F4342" t="s">
        <v>4075</v>
      </c>
    </row>
    <row r="4343" spans="1:6" x14ac:dyDescent="0.25">
      <c r="A4343">
        <v>3873</v>
      </c>
      <c r="B4343" t="s">
        <v>4092</v>
      </c>
      <c r="C4343">
        <v>34</v>
      </c>
      <c r="D4343" t="s">
        <v>4109</v>
      </c>
      <c r="E4343" t="s">
        <v>4110</v>
      </c>
      <c r="F4343" t="s">
        <v>4076</v>
      </c>
    </row>
    <row r="4344" spans="1:6" x14ac:dyDescent="0.25">
      <c r="A4344">
        <v>3875</v>
      </c>
      <c r="B4344" t="s">
        <v>4072</v>
      </c>
      <c r="C4344">
        <v>2</v>
      </c>
      <c r="D4344" t="s">
        <v>4082</v>
      </c>
      <c r="E4344" t="s">
        <v>4083</v>
      </c>
      <c r="F4344" t="s">
        <v>4075</v>
      </c>
    </row>
    <row r="4345" spans="1:6" x14ac:dyDescent="0.25">
      <c r="A4345">
        <v>3875</v>
      </c>
      <c r="B4345" t="s">
        <v>4072</v>
      </c>
      <c r="C4345">
        <v>17</v>
      </c>
      <c r="D4345" t="s">
        <v>4082</v>
      </c>
      <c r="E4345" t="s">
        <v>4084</v>
      </c>
      <c r="F4345" t="s">
        <v>4076</v>
      </c>
    </row>
    <row r="4346" spans="1:6" x14ac:dyDescent="0.25">
      <c r="A4346">
        <v>3881</v>
      </c>
      <c r="B4346" t="s">
        <v>4072</v>
      </c>
      <c r="C4346">
        <v>5</v>
      </c>
      <c r="D4346" t="s">
        <v>4087</v>
      </c>
      <c r="E4346" t="s">
        <v>4088</v>
      </c>
      <c r="F4346" t="s">
        <v>4075</v>
      </c>
    </row>
    <row r="4347" spans="1:6" x14ac:dyDescent="0.25">
      <c r="A4347">
        <v>3881</v>
      </c>
      <c r="B4347" t="s">
        <v>4072</v>
      </c>
      <c r="C4347">
        <v>15</v>
      </c>
      <c r="D4347" t="s">
        <v>4080</v>
      </c>
      <c r="E4347" t="s">
        <v>4081</v>
      </c>
      <c r="F4347" t="s">
        <v>4076</v>
      </c>
    </row>
    <row r="4348" spans="1:6" x14ac:dyDescent="0.25">
      <c r="A4348">
        <v>3881</v>
      </c>
      <c r="B4348" t="s">
        <v>4072</v>
      </c>
      <c r="C4348">
        <v>40</v>
      </c>
      <c r="D4348" t="s">
        <v>4080</v>
      </c>
      <c r="E4348" t="s">
        <v>4081</v>
      </c>
      <c r="F4348" t="s">
        <v>4079</v>
      </c>
    </row>
    <row r="4349" spans="1:6" x14ac:dyDescent="0.25">
      <c r="A4349">
        <v>3883</v>
      </c>
      <c r="B4349" t="s">
        <v>4092</v>
      </c>
      <c r="C4349">
        <v>24</v>
      </c>
      <c r="D4349" t="s">
        <v>2760</v>
      </c>
      <c r="E4349" t="s">
        <v>4108</v>
      </c>
      <c r="F4349" t="s">
        <v>4075</v>
      </c>
    </row>
    <row r="4350" spans="1:6" x14ac:dyDescent="0.25">
      <c r="A4350">
        <v>3884</v>
      </c>
      <c r="B4350" t="s">
        <v>4072</v>
      </c>
      <c r="C4350">
        <v>5</v>
      </c>
      <c r="D4350" t="s">
        <v>4087</v>
      </c>
      <c r="E4350" t="s">
        <v>4088</v>
      </c>
      <c r="F4350" t="s">
        <v>4075</v>
      </c>
    </row>
    <row r="4351" spans="1:6" x14ac:dyDescent="0.25">
      <c r="A4351">
        <v>3884</v>
      </c>
      <c r="B4351" t="s">
        <v>4072</v>
      </c>
      <c r="C4351">
        <v>15</v>
      </c>
      <c r="D4351" t="s">
        <v>4080</v>
      </c>
      <c r="E4351" t="s">
        <v>4081</v>
      </c>
      <c r="F4351" t="s">
        <v>4076</v>
      </c>
    </row>
    <row r="4352" spans="1:6" x14ac:dyDescent="0.25">
      <c r="A4352">
        <v>3884</v>
      </c>
      <c r="B4352" t="s">
        <v>4072</v>
      </c>
      <c r="C4352">
        <v>40</v>
      </c>
      <c r="D4352" t="s">
        <v>4080</v>
      </c>
      <c r="E4352" t="s">
        <v>4081</v>
      </c>
      <c r="F4352" t="s">
        <v>4079</v>
      </c>
    </row>
    <row r="4353" spans="1:6" x14ac:dyDescent="0.25">
      <c r="A4353">
        <v>3885</v>
      </c>
      <c r="B4353" t="s">
        <v>4072</v>
      </c>
      <c r="C4353">
        <v>5</v>
      </c>
      <c r="D4353" t="s">
        <v>4087</v>
      </c>
      <c r="E4353" t="s">
        <v>4088</v>
      </c>
      <c r="F4353" t="s">
        <v>4075</v>
      </c>
    </row>
    <row r="4354" spans="1:6" x14ac:dyDescent="0.25">
      <c r="A4354">
        <v>3885</v>
      </c>
      <c r="B4354" t="s">
        <v>4072</v>
      </c>
      <c r="C4354">
        <v>15</v>
      </c>
      <c r="D4354" t="s">
        <v>4080</v>
      </c>
      <c r="E4354" t="s">
        <v>4081</v>
      </c>
      <c r="F4354" t="s">
        <v>4076</v>
      </c>
    </row>
    <row r="4355" spans="1:6" x14ac:dyDescent="0.25">
      <c r="A4355">
        <v>3885</v>
      </c>
      <c r="B4355" t="s">
        <v>4072</v>
      </c>
      <c r="C4355">
        <v>40</v>
      </c>
      <c r="D4355" t="s">
        <v>4080</v>
      </c>
      <c r="E4355" t="s">
        <v>4081</v>
      </c>
      <c r="F4355" t="s">
        <v>4079</v>
      </c>
    </row>
    <row r="4356" spans="1:6" x14ac:dyDescent="0.25">
      <c r="A4356">
        <v>3886</v>
      </c>
      <c r="B4356" t="s">
        <v>4072</v>
      </c>
      <c r="C4356">
        <v>4</v>
      </c>
      <c r="D4356" t="s">
        <v>4077</v>
      </c>
      <c r="E4356" t="s">
        <v>4078</v>
      </c>
      <c r="F4356" t="s">
        <v>4075</v>
      </c>
    </row>
    <row r="4357" spans="1:6" x14ac:dyDescent="0.25">
      <c r="A4357">
        <v>3886</v>
      </c>
      <c r="B4357" t="s">
        <v>4072</v>
      </c>
      <c r="C4357">
        <v>16</v>
      </c>
      <c r="D4357" t="s">
        <v>4077</v>
      </c>
      <c r="E4357" t="s">
        <v>4078</v>
      </c>
      <c r="F4357" t="s">
        <v>4076</v>
      </c>
    </row>
    <row r="4358" spans="1:6" x14ac:dyDescent="0.25">
      <c r="A4358">
        <v>3887</v>
      </c>
      <c r="B4358" t="s">
        <v>4092</v>
      </c>
      <c r="C4358">
        <v>23</v>
      </c>
      <c r="D4358" t="s">
        <v>2757</v>
      </c>
      <c r="E4358" t="s">
        <v>4093</v>
      </c>
      <c r="F4358" t="s">
        <v>4075</v>
      </c>
    </row>
    <row r="4359" spans="1:6" x14ac:dyDescent="0.25">
      <c r="A4359">
        <v>3887</v>
      </c>
      <c r="B4359" t="s">
        <v>4092</v>
      </c>
      <c r="C4359">
        <v>33</v>
      </c>
      <c r="D4359" t="s">
        <v>4109</v>
      </c>
      <c r="E4359" t="s">
        <v>4110</v>
      </c>
      <c r="F4359" t="s">
        <v>4075</v>
      </c>
    </row>
    <row r="4360" spans="1:6" x14ac:dyDescent="0.25">
      <c r="A4360">
        <v>3888</v>
      </c>
      <c r="B4360" t="s">
        <v>4072</v>
      </c>
      <c r="C4360">
        <v>13</v>
      </c>
      <c r="D4360" t="s">
        <v>4097</v>
      </c>
      <c r="E4360" t="s">
        <v>4098</v>
      </c>
      <c r="F4360" t="s">
        <v>4076</v>
      </c>
    </row>
    <row r="4361" spans="1:6" x14ac:dyDescent="0.25">
      <c r="A4361">
        <v>3888</v>
      </c>
      <c r="B4361" t="s">
        <v>4072</v>
      </c>
      <c r="C4361">
        <v>46</v>
      </c>
      <c r="D4361" t="s">
        <v>4099</v>
      </c>
      <c r="E4361" t="s">
        <v>4100</v>
      </c>
      <c r="F4361" t="s">
        <v>4079</v>
      </c>
    </row>
    <row r="4362" spans="1:6" x14ac:dyDescent="0.25">
      <c r="A4362">
        <v>3890</v>
      </c>
      <c r="B4362" t="s">
        <v>4092</v>
      </c>
      <c r="C4362">
        <v>33</v>
      </c>
      <c r="D4362" t="s">
        <v>4109</v>
      </c>
      <c r="E4362" t="s">
        <v>4110</v>
      </c>
      <c r="F4362" t="s">
        <v>4075</v>
      </c>
    </row>
    <row r="4363" spans="1:6" x14ac:dyDescent="0.25">
      <c r="A4363">
        <v>3890</v>
      </c>
      <c r="B4363" t="s">
        <v>4092</v>
      </c>
      <c r="C4363">
        <v>34</v>
      </c>
      <c r="D4363" t="s">
        <v>4109</v>
      </c>
      <c r="E4363" t="s">
        <v>4110</v>
      </c>
      <c r="F4363" t="s">
        <v>4076</v>
      </c>
    </row>
    <row r="4364" spans="1:6" x14ac:dyDescent="0.25">
      <c r="A4364">
        <v>3891</v>
      </c>
      <c r="B4364" t="s">
        <v>4092</v>
      </c>
      <c r="C4364">
        <v>23</v>
      </c>
      <c r="D4364" t="s">
        <v>2757</v>
      </c>
      <c r="E4364" t="s">
        <v>4093</v>
      </c>
      <c r="F4364" t="s">
        <v>4075</v>
      </c>
    </row>
    <row r="4365" spans="1:6" x14ac:dyDescent="0.25">
      <c r="A4365">
        <v>3892</v>
      </c>
      <c r="B4365" t="s">
        <v>4092</v>
      </c>
      <c r="C4365">
        <v>23</v>
      </c>
      <c r="D4365" t="s">
        <v>2757</v>
      </c>
      <c r="E4365" t="s">
        <v>4093</v>
      </c>
      <c r="F4365" t="s">
        <v>4075</v>
      </c>
    </row>
    <row r="4366" spans="1:6" x14ac:dyDescent="0.25">
      <c r="A4366">
        <v>3892</v>
      </c>
      <c r="B4366" t="s">
        <v>4092</v>
      </c>
      <c r="C4366">
        <v>28</v>
      </c>
      <c r="D4366" t="s">
        <v>2757</v>
      </c>
      <c r="E4366" t="s">
        <v>4093</v>
      </c>
      <c r="F4366" t="s">
        <v>4076</v>
      </c>
    </row>
    <row r="4367" spans="1:6" x14ac:dyDescent="0.25">
      <c r="A4367">
        <v>3892</v>
      </c>
      <c r="B4367" t="s">
        <v>4092</v>
      </c>
      <c r="C4367">
        <v>33</v>
      </c>
      <c r="D4367" t="s">
        <v>4109</v>
      </c>
      <c r="E4367" t="s">
        <v>4110</v>
      </c>
      <c r="F4367" t="s">
        <v>4075</v>
      </c>
    </row>
    <row r="4368" spans="1:6" x14ac:dyDescent="0.25">
      <c r="A4368">
        <v>3892</v>
      </c>
      <c r="B4368" t="s">
        <v>4092</v>
      </c>
      <c r="C4368">
        <v>34</v>
      </c>
      <c r="D4368" t="s">
        <v>4109</v>
      </c>
      <c r="E4368" t="s">
        <v>4110</v>
      </c>
      <c r="F4368" t="s">
        <v>4076</v>
      </c>
    </row>
    <row r="4369" spans="1:6" x14ac:dyDescent="0.25">
      <c r="A4369">
        <v>3893</v>
      </c>
      <c r="B4369" t="s">
        <v>4092</v>
      </c>
      <c r="C4369">
        <v>33</v>
      </c>
      <c r="D4369" t="s">
        <v>4109</v>
      </c>
      <c r="E4369" t="s">
        <v>4110</v>
      </c>
      <c r="F4369" t="s">
        <v>4075</v>
      </c>
    </row>
    <row r="4370" spans="1:6" x14ac:dyDescent="0.25">
      <c r="A4370">
        <v>3894</v>
      </c>
      <c r="B4370" t="s">
        <v>4092</v>
      </c>
      <c r="C4370">
        <v>33</v>
      </c>
      <c r="D4370" t="s">
        <v>4109</v>
      </c>
      <c r="E4370" t="s">
        <v>4110</v>
      </c>
      <c r="F4370" t="s">
        <v>4075</v>
      </c>
    </row>
    <row r="4371" spans="1:6" x14ac:dyDescent="0.25">
      <c r="A4371">
        <v>3896</v>
      </c>
      <c r="B4371" t="s">
        <v>4072</v>
      </c>
      <c r="C4371">
        <v>6</v>
      </c>
      <c r="D4371" t="s">
        <v>4073</v>
      </c>
      <c r="E4371" t="s">
        <v>4074</v>
      </c>
      <c r="F4371" t="s">
        <v>4075</v>
      </c>
    </row>
    <row r="4372" spans="1:6" x14ac:dyDescent="0.25">
      <c r="A4372">
        <v>3896</v>
      </c>
      <c r="B4372" t="s">
        <v>4072</v>
      </c>
      <c r="C4372">
        <v>19</v>
      </c>
      <c r="D4372" t="s">
        <v>4073</v>
      </c>
      <c r="E4372" t="s">
        <v>4074</v>
      </c>
      <c r="F4372" t="s">
        <v>4076</v>
      </c>
    </row>
    <row r="4373" spans="1:6" x14ac:dyDescent="0.25">
      <c r="A4373">
        <v>3897</v>
      </c>
      <c r="B4373" t="s">
        <v>4072</v>
      </c>
      <c r="C4373">
        <v>2</v>
      </c>
      <c r="D4373" t="s">
        <v>4082</v>
      </c>
      <c r="E4373" t="s">
        <v>4083</v>
      </c>
      <c r="F4373" t="s">
        <v>4075</v>
      </c>
    </row>
    <row r="4374" spans="1:6" x14ac:dyDescent="0.25">
      <c r="A4374">
        <v>3897</v>
      </c>
      <c r="B4374" t="s">
        <v>4072</v>
      </c>
      <c r="C4374">
        <v>17</v>
      </c>
      <c r="D4374" t="s">
        <v>4082</v>
      </c>
      <c r="E4374" t="s">
        <v>4084</v>
      </c>
      <c r="F4374" t="s">
        <v>4076</v>
      </c>
    </row>
    <row r="4375" spans="1:6" x14ac:dyDescent="0.25">
      <c r="A4375">
        <v>3898</v>
      </c>
      <c r="B4375" t="s">
        <v>4072</v>
      </c>
      <c r="C4375">
        <v>5</v>
      </c>
      <c r="D4375" t="s">
        <v>4087</v>
      </c>
      <c r="E4375" t="s">
        <v>4088</v>
      </c>
      <c r="F4375" t="s">
        <v>4075</v>
      </c>
    </row>
    <row r="4376" spans="1:6" x14ac:dyDescent="0.25">
      <c r="A4376">
        <v>3898</v>
      </c>
      <c r="B4376" t="s">
        <v>4072</v>
      </c>
      <c r="C4376">
        <v>15</v>
      </c>
      <c r="D4376" t="s">
        <v>4080</v>
      </c>
      <c r="E4376" t="s">
        <v>4081</v>
      </c>
      <c r="F4376" t="s">
        <v>4076</v>
      </c>
    </row>
    <row r="4377" spans="1:6" x14ac:dyDescent="0.25">
      <c r="A4377">
        <v>3900</v>
      </c>
      <c r="B4377" t="s">
        <v>4072</v>
      </c>
      <c r="C4377">
        <v>3</v>
      </c>
      <c r="D4377" t="s">
        <v>4085</v>
      </c>
      <c r="E4377" t="s">
        <v>4086</v>
      </c>
      <c r="F4377" t="s">
        <v>4075</v>
      </c>
    </row>
    <row r="4378" spans="1:6" x14ac:dyDescent="0.25">
      <c r="A4378">
        <v>3903</v>
      </c>
      <c r="B4378" t="s">
        <v>4072</v>
      </c>
      <c r="C4378">
        <v>10</v>
      </c>
      <c r="D4378" t="s">
        <v>4095</v>
      </c>
      <c r="E4378" t="s">
        <v>4096</v>
      </c>
      <c r="F4378" t="s">
        <v>4075</v>
      </c>
    </row>
    <row r="4379" spans="1:6" x14ac:dyDescent="0.25">
      <c r="A4379">
        <v>3905</v>
      </c>
      <c r="B4379" t="s">
        <v>4072</v>
      </c>
      <c r="C4379">
        <v>19</v>
      </c>
      <c r="D4379" t="s">
        <v>4073</v>
      </c>
      <c r="E4379" t="s">
        <v>4074</v>
      </c>
      <c r="F4379" t="s">
        <v>4076</v>
      </c>
    </row>
    <row r="4380" spans="1:6" x14ac:dyDescent="0.25">
      <c r="A4380">
        <v>3905</v>
      </c>
      <c r="B4380" t="s">
        <v>4112</v>
      </c>
      <c r="C4380">
        <v>55</v>
      </c>
      <c r="D4380" t="s">
        <v>4113</v>
      </c>
      <c r="E4380" t="s">
        <v>4114</v>
      </c>
      <c r="F4380" t="s">
        <v>4079</v>
      </c>
    </row>
    <row r="4381" spans="1:6" x14ac:dyDescent="0.25">
      <c r="A4381">
        <v>3906</v>
      </c>
      <c r="B4381" t="s">
        <v>4072</v>
      </c>
      <c r="C4381">
        <v>39</v>
      </c>
      <c r="D4381" t="s">
        <v>4073</v>
      </c>
      <c r="E4381" t="s">
        <v>4074</v>
      </c>
      <c r="F4381" t="s">
        <v>4079</v>
      </c>
    </row>
    <row r="4382" spans="1:6" x14ac:dyDescent="0.25">
      <c r="A4382">
        <v>3908</v>
      </c>
      <c r="B4382" t="s">
        <v>4072</v>
      </c>
      <c r="C4382">
        <v>5</v>
      </c>
      <c r="D4382" t="s">
        <v>4087</v>
      </c>
      <c r="E4382" t="s">
        <v>4088</v>
      </c>
      <c r="F4382" t="s">
        <v>4075</v>
      </c>
    </row>
    <row r="4383" spans="1:6" x14ac:dyDescent="0.25">
      <c r="A4383">
        <v>3908</v>
      </c>
      <c r="B4383" t="s">
        <v>4072</v>
      </c>
      <c r="C4383">
        <v>15</v>
      </c>
      <c r="D4383" t="s">
        <v>4080</v>
      </c>
      <c r="E4383" t="s">
        <v>4081</v>
      </c>
      <c r="F4383" t="s">
        <v>4076</v>
      </c>
    </row>
    <row r="4384" spans="1:6" x14ac:dyDescent="0.25">
      <c r="A4384">
        <v>3908</v>
      </c>
      <c r="B4384" t="s">
        <v>4072</v>
      </c>
      <c r="C4384">
        <v>40</v>
      </c>
      <c r="D4384" t="s">
        <v>4080</v>
      </c>
      <c r="E4384" t="s">
        <v>4081</v>
      </c>
      <c r="F4384" t="s">
        <v>4079</v>
      </c>
    </row>
    <row r="4385" spans="1:6" x14ac:dyDescent="0.25">
      <c r="A4385">
        <v>3913</v>
      </c>
      <c r="B4385" t="s">
        <v>4072</v>
      </c>
      <c r="C4385">
        <v>19</v>
      </c>
      <c r="D4385" t="s">
        <v>4073</v>
      </c>
      <c r="E4385" t="s">
        <v>4074</v>
      </c>
      <c r="F4385" t="s">
        <v>4076</v>
      </c>
    </row>
    <row r="4386" spans="1:6" x14ac:dyDescent="0.25">
      <c r="A4386">
        <v>3913</v>
      </c>
      <c r="B4386" t="s">
        <v>4072</v>
      </c>
      <c r="C4386">
        <v>39</v>
      </c>
      <c r="D4386" t="s">
        <v>4073</v>
      </c>
      <c r="E4386" t="s">
        <v>4074</v>
      </c>
      <c r="F4386" t="s">
        <v>4079</v>
      </c>
    </row>
    <row r="4387" spans="1:6" x14ac:dyDescent="0.25">
      <c r="A4387">
        <v>3914</v>
      </c>
      <c r="B4387" t="s">
        <v>4072</v>
      </c>
      <c r="C4387">
        <v>5</v>
      </c>
      <c r="D4387" t="s">
        <v>4087</v>
      </c>
      <c r="E4387" t="s">
        <v>4088</v>
      </c>
      <c r="F4387" t="s">
        <v>4075</v>
      </c>
    </row>
    <row r="4388" spans="1:6" x14ac:dyDescent="0.25">
      <c r="A4388">
        <v>3914</v>
      </c>
      <c r="B4388" t="s">
        <v>4072</v>
      </c>
      <c r="C4388">
        <v>15</v>
      </c>
      <c r="D4388" t="s">
        <v>4080</v>
      </c>
      <c r="E4388" t="s">
        <v>4081</v>
      </c>
      <c r="F4388" t="s">
        <v>4076</v>
      </c>
    </row>
    <row r="4389" spans="1:6" x14ac:dyDescent="0.25">
      <c r="A4389">
        <v>3914</v>
      </c>
      <c r="B4389" t="s">
        <v>4072</v>
      </c>
      <c r="C4389">
        <v>40</v>
      </c>
      <c r="D4389" t="s">
        <v>4080</v>
      </c>
      <c r="E4389" t="s">
        <v>4081</v>
      </c>
      <c r="F4389" t="s">
        <v>4079</v>
      </c>
    </row>
    <row r="4390" spans="1:6" x14ac:dyDescent="0.25">
      <c r="A4390">
        <v>3916</v>
      </c>
      <c r="B4390" t="s">
        <v>4072</v>
      </c>
      <c r="C4390">
        <v>4</v>
      </c>
      <c r="D4390" t="s">
        <v>4077</v>
      </c>
      <c r="E4390" t="s">
        <v>4078</v>
      </c>
      <c r="F4390" t="s">
        <v>4075</v>
      </c>
    </row>
    <row r="4391" spans="1:6" x14ac:dyDescent="0.25">
      <c r="A4391">
        <v>3916</v>
      </c>
      <c r="B4391" t="s">
        <v>4072</v>
      </c>
      <c r="C4391">
        <v>16</v>
      </c>
      <c r="D4391" t="s">
        <v>4077</v>
      </c>
      <c r="E4391" t="s">
        <v>4078</v>
      </c>
      <c r="F4391" t="s">
        <v>4076</v>
      </c>
    </row>
    <row r="4392" spans="1:6" x14ac:dyDescent="0.25">
      <c r="A4392">
        <v>3917</v>
      </c>
      <c r="B4392" t="s">
        <v>4072</v>
      </c>
      <c r="C4392">
        <v>5</v>
      </c>
      <c r="D4392" t="s">
        <v>4087</v>
      </c>
      <c r="E4392" t="s">
        <v>4088</v>
      </c>
      <c r="F4392" t="s">
        <v>4075</v>
      </c>
    </row>
    <row r="4393" spans="1:6" x14ac:dyDescent="0.25">
      <c r="A4393">
        <v>3917</v>
      </c>
      <c r="B4393" t="s">
        <v>4072</v>
      </c>
      <c r="C4393">
        <v>15</v>
      </c>
      <c r="D4393" t="s">
        <v>4080</v>
      </c>
      <c r="E4393" t="s">
        <v>4081</v>
      </c>
      <c r="F4393" t="s">
        <v>4076</v>
      </c>
    </row>
    <row r="4394" spans="1:6" x14ac:dyDescent="0.25">
      <c r="A4394">
        <v>3917</v>
      </c>
      <c r="B4394" t="s">
        <v>4072</v>
      </c>
      <c r="C4394">
        <v>40</v>
      </c>
      <c r="D4394" t="s">
        <v>4080</v>
      </c>
      <c r="E4394" t="s">
        <v>4081</v>
      </c>
      <c r="F4394" t="s">
        <v>4079</v>
      </c>
    </row>
    <row r="4395" spans="1:6" x14ac:dyDescent="0.25">
      <c r="A4395">
        <v>3920</v>
      </c>
      <c r="B4395" t="s">
        <v>4072</v>
      </c>
      <c r="C4395">
        <v>12</v>
      </c>
      <c r="D4395" t="s">
        <v>2159</v>
      </c>
      <c r="E4395" t="s">
        <v>4094</v>
      </c>
      <c r="F4395" t="s">
        <v>4076</v>
      </c>
    </row>
    <row r="4396" spans="1:6" x14ac:dyDescent="0.25">
      <c r="A4396">
        <v>3920</v>
      </c>
      <c r="B4396" t="s">
        <v>4072</v>
      </c>
      <c r="C4396">
        <v>45</v>
      </c>
      <c r="D4396" t="s">
        <v>2159</v>
      </c>
      <c r="E4396" t="s">
        <v>4094</v>
      </c>
      <c r="F4396" t="s">
        <v>4079</v>
      </c>
    </row>
    <row r="4397" spans="1:6" x14ac:dyDescent="0.25">
      <c r="A4397">
        <v>3921</v>
      </c>
      <c r="B4397" t="s">
        <v>4092</v>
      </c>
      <c r="C4397">
        <v>29</v>
      </c>
      <c r="D4397" t="s">
        <v>2760</v>
      </c>
      <c r="E4397" t="s">
        <v>4108</v>
      </c>
      <c r="F4397" t="s">
        <v>4076</v>
      </c>
    </row>
    <row r="4398" spans="1:6" x14ac:dyDescent="0.25">
      <c r="A4398">
        <v>3921</v>
      </c>
      <c r="B4398" t="s">
        <v>4092</v>
      </c>
      <c r="C4398">
        <v>49</v>
      </c>
      <c r="D4398" t="s">
        <v>2760</v>
      </c>
      <c r="E4398" t="s">
        <v>4108</v>
      </c>
      <c r="F4398" t="s">
        <v>4079</v>
      </c>
    </row>
    <row r="4399" spans="1:6" x14ac:dyDescent="0.25">
      <c r="A4399">
        <v>3922</v>
      </c>
      <c r="B4399" t="s">
        <v>4072</v>
      </c>
      <c r="C4399">
        <v>5</v>
      </c>
      <c r="D4399" t="s">
        <v>4087</v>
      </c>
      <c r="E4399" t="s">
        <v>4088</v>
      </c>
      <c r="F4399" t="s">
        <v>4075</v>
      </c>
    </row>
    <row r="4400" spans="1:6" x14ac:dyDescent="0.25">
      <c r="A4400">
        <v>3922</v>
      </c>
      <c r="B4400" t="s">
        <v>4072</v>
      </c>
      <c r="C4400">
        <v>15</v>
      </c>
      <c r="D4400" t="s">
        <v>4080</v>
      </c>
      <c r="E4400" t="s">
        <v>4081</v>
      </c>
      <c r="F4400" t="s">
        <v>4076</v>
      </c>
    </row>
    <row r="4401" spans="1:6" x14ac:dyDescent="0.25">
      <c r="A4401">
        <v>3923</v>
      </c>
      <c r="B4401" t="s">
        <v>4072</v>
      </c>
      <c r="C4401">
        <v>4</v>
      </c>
      <c r="D4401" t="s">
        <v>4077</v>
      </c>
      <c r="E4401" t="s">
        <v>4078</v>
      </c>
      <c r="F4401" t="s">
        <v>4075</v>
      </c>
    </row>
    <row r="4402" spans="1:6" x14ac:dyDescent="0.25">
      <c r="A4402">
        <v>3923</v>
      </c>
      <c r="B4402" t="s">
        <v>4072</v>
      </c>
      <c r="C4402">
        <v>16</v>
      </c>
      <c r="D4402" t="s">
        <v>4077</v>
      </c>
      <c r="E4402" t="s">
        <v>4078</v>
      </c>
      <c r="F4402" t="s">
        <v>4076</v>
      </c>
    </row>
    <row r="4403" spans="1:6" x14ac:dyDescent="0.25">
      <c r="A4403">
        <v>3925</v>
      </c>
      <c r="B4403" t="s">
        <v>4072</v>
      </c>
      <c r="C4403">
        <v>3</v>
      </c>
      <c r="D4403" t="s">
        <v>4085</v>
      </c>
      <c r="E4403" t="s">
        <v>4086</v>
      </c>
      <c r="F4403" t="s">
        <v>4075</v>
      </c>
    </row>
    <row r="4404" spans="1:6" x14ac:dyDescent="0.25">
      <c r="A4404">
        <v>3925</v>
      </c>
      <c r="B4404" t="s">
        <v>4072</v>
      </c>
      <c r="C4404">
        <v>15</v>
      </c>
      <c r="D4404" t="s">
        <v>4080</v>
      </c>
      <c r="E4404" t="s">
        <v>4081</v>
      </c>
      <c r="F4404" t="s">
        <v>4076</v>
      </c>
    </row>
    <row r="4405" spans="1:6" x14ac:dyDescent="0.25">
      <c r="A4405">
        <v>3926</v>
      </c>
      <c r="B4405" t="s">
        <v>4072</v>
      </c>
      <c r="C4405">
        <v>5</v>
      </c>
      <c r="D4405" t="s">
        <v>4087</v>
      </c>
      <c r="E4405" t="s">
        <v>4088</v>
      </c>
      <c r="F4405" t="s">
        <v>4075</v>
      </c>
    </row>
    <row r="4406" spans="1:6" x14ac:dyDescent="0.25">
      <c r="A4406">
        <v>3926</v>
      </c>
      <c r="B4406" t="s">
        <v>4072</v>
      </c>
      <c r="C4406">
        <v>15</v>
      </c>
      <c r="D4406" t="s">
        <v>4080</v>
      </c>
      <c r="E4406" t="s">
        <v>4081</v>
      </c>
      <c r="F4406" t="s">
        <v>4076</v>
      </c>
    </row>
    <row r="4407" spans="1:6" x14ac:dyDescent="0.25">
      <c r="A4407">
        <v>3926</v>
      </c>
      <c r="B4407" t="s">
        <v>4072</v>
      </c>
      <c r="C4407">
        <v>40</v>
      </c>
      <c r="D4407" t="s">
        <v>4080</v>
      </c>
      <c r="E4407" t="s">
        <v>4081</v>
      </c>
      <c r="F4407" t="s">
        <v>4079</v>
      </c>
    </row>
    <row r="4408" spans="1:6" x14ac:dyDescent="0.25">
      <c r="A4408">
        <v>3928</v>
      </c>
      <c r="B4408" t="s">
        <v>4072</v>
      </c>
      <c r="C4408">
        <v>5</v>
      </c>
      <c r="D4408" t="s">
        <v>4087</v>
      </c>
      <c r="E4408" t="s">
        <v>4088</v>
      </c>
      <c r="F4408" t="s">
        <v>4075</v>
      </c>
    </row>
    <row r="4409" spans="1:6" x14ac:dyDescent="0.25">
      <c r="A4409">
        <v>3928</v>
      </c>
      <c r="B4409" t="s">
        <v>4072</v>
      </c>
      <c r="C4409">
        <v>15</v>
      </c>
      <c r="D4409" t="s">
        <v>4080</v>
      </c>
      <c r="E4409" t="s">
        <v>4081</v>
      </c>
      <c r="F4409" t="s">
        <v>4076</v>
      </c>
    </row>
    <row r="4410" spans="1:6" x14ac:dyDescent="0.25">
      <c r="A4410">
        <v>3929</v>
      </c>
      <c r="B4410" t="s">
        <v>4072</v>
      </c>
      <c r="C4410">
        <v>2</v>
      </c>
      <c r="D4410" t="s">
        <v>4082</v>
      </c>
      <c r="E4410" t="s">
        <v>4083</v>
      </c>
      <c r="F4410" t="s">
        <v>4075</v>
      </c>
    </row>
    <row r="4411" spans="1:6" x14ac:dyDescent="0.25">
      <c r="A4411">
        <v>3929</v>
      </c>
      <c r="B4411" t="s">
        <v>4072</v>
      </c>
      <c r="C4411">
        <v>17</v>
      </c>
      <c r="D4411" t="s">
        <v>4082</v>
      </c>
      <c r="E4411" t="s">
        <v>4084</v>
      </c>
      <c r="F4411" t="s">
        <v>4076</v>
      </c>
    </row>
    <row r="4412" spans="1:6" x14ac:dyDescent="0.25">
      <c r="A4412">
        <v>3930</v>
      </c>
      <c r="B4412" t="s">
        <v>4072</v>
      </c>
      <c r="C4412">
        <v>4</v>
      </c>
      <c r="D4412" t="s">
        <v>4077</v>
      </c>
      <c r="E4412" t="s">
        <v>4078</v>
      </c>
      <c r="F4412" t="s">
        <v>4075</v>
      </c>
    </row>
    <row r="4413" spans="1:6" x14ac:dyDescent="0.25">
      <c r="A4413">
        <v>3930</v>
      </c>
      <c r="B4413" t="s">
        <v>4072</v>
      </c>
      <c r="C4413">
        <v>16</v>
      </c>
      <c r="D4413" t="s">
        <v>4077</v>
      </c>
      <c r="E4413" t="s">
        <v>4078</v>
      </c>
      <c r="F4413" t="s">
        <v>4076</v>
      </c>
    </row>
    <row r="4414" spans="1:6" x14ac:dyDescent="0.25">
      <c r="A4414">
        <v>3931</v>
      </c>
      <c r="B4414" t="s">
        <v>4092</v>
      </c>
      <c r="C4414">
        <v>24</v>
      </c>
      <c r="D4414" t="s">
        <v>2760</v>
      </c>
      <c r="E4414" t="s">
        <v>4108</v>
      </c>
      <c r="F4414" t="s">
        <v>4075</v>
      </c>
    </row>
    <row r="4415" spans="1:6" x14ac:dyDescent="0.25">
      <c r="A4415">
        <v>3931</v>
      </c>
      <c r="B4415" t="s">
        <v>4092</v>
      </c>
      <c r="C4415">
        <v>29</v>
      </c>
      <c r="D4415" t="s">
        <v>2760</v>
      </c>
      <c r="E4415" t="s">
        <v>4108</v>
      </c>
      <c r="F4415" t="s">
        <v>4076</v>
      </c>
    </row>
    <row r="4416" spans="1:6" x14ac:dyDescent="0.25">
      <c r="A4416">
        <v>3932</v>
      </c>
      <c r="B4416" t="s">
        <v>4092</v>
      </c>
      <c r="C4416">
        <v>34</v>
      </c>
      <c r="D4416" t="s">
        <v>4109</v>
      </c>
      <c r="E4416" t="s">
        <v>4110</v>
      </c>
      <c r="F4416" t="s">
        <v>4076</v>
      </c>
    </row>
    <row r="4417" spans="1:6" x14ac:dyDescent="0.25">
      <c r="A4417">
        <v>3933</v>
      </c>
      <c r="B4417" t="s">
        <v>4092</v>
      </c>
      <c r="C4417">
        <v>34</v>
      </c>
      <c r="D4417" t="s">
        <v>4109</v>
      </c>
      <c r="E4417" t="s">
        <v>4110</v>
      </c>
      <c r="F4417" t="s">
        <v>4076</v>
      </c>
    </row>
    <row r="4418" spans="1:6" x14ac:dyDescent="0.25">
      <c r="A4418">
        <v>3934</v>
      </c>
      <c r="B4418" t="s">
        <v>4072</v>
      </c>
      <c r="C4418">
        <v>6</v>
      </c>
      <c r="D4418" t="s">
        <v>4073</v>
      </c>
      <c r="E4418" t="s">
        <v>4074</v>
      </c>
      <c r="F4418" t="s">
        <v>4075</v>
      </c>
    </row>
    <row r="4419" spans="1:6" x14ac:dyDescent="0.25">
      <c r="A4419">
        <v>3934</v>
      </c>
      <c r="B4419" t="s">
        <v>4072</v>
      </c>
      <c r="C4419">
        <v>19</v>
      </c>
      <c r="D4419" t="s">
        <v>4073</v>
      </c>
      <c r="E4419" t="s">
        <v>4074</v>
      </c>
      <c r="F4419" t="s">
        <v>4076</v>
      </c>
    </row>
    <row r="4420" spans="1:6" x14ac:dyDescent="0.25">
      <c r="A4420">
        <v>3934</v>
      </c>
      <c r="B4420" t="s">
        <v>4072</v>
      </c>
      <c r="C4420">
        <v>39</v>
      </c>
      <c r="D4420" t="s">
        <v>4073</v>
      </c>
      <c r="E4420" t="s">
        <v>4074</v>
      </c>
      <c r="F4420" t="s">
        <v>4079</v>
      </c>
    </row>
    <row r="4421" spans="1:6" x14ac:dyDescent="0.25">
      <c r="A4421">
        <v>3935</v>
      </c>
      <c r="B4421" t="s">
        <v>4072</v>
      </c>
      <c r="C4421">
        <v>19</v>
      </c>
      <c r="D4421" t="s">
        <v>4073</v>
      </c>
      <c r="E4421" t="s">
        <v>4074</v>
      </c>
      <c r="F4421" t="s">
        <v>4076</v>
      </c>
    </row>
    <row r="4422" spans="1:6" x14ac:dyDescent="0.25">
      <c r="A4422">
        <v>3936</v>
      </c>
      <c r="B4422" t="s">
        <v>4072</v>
      </c>
      <c r="C4422">
        <v>4</v>
      </c>
      <c r="D4422" t="s">
        <v>4077</v>
      </c>
      <c r="E4422" t="s">
        <v>4078</v>
      </c>
      <c r="F4422" t="s">
        <v>4075</v>
      </c>
    </row>
    <row r="4423" spans="1:6" x14ac:dyDescent="0.25">
      <c r="A4423">
        <v>3936</v>
      </c>
      <c r="B4423" t="s">
        <v>4072</v>
      </c>
      <c r="C4423">
        <v>16</v>
      </c>
      <c r="D4423" t="s">
        <v>4077</v>
      </c>
      <c r="E4423" t="s">
        <v>4078</v>
      </c>
      <c r="F4423" t="s">
        <v>4076</v>
      </c>
    </row>
    <row r="4424" spans="1:6" x14ac:dyDescent="0.25">
      <c r="A4424">
        <v>3938</v>
      </c>
      <c r="B4424" t="s">
        <v>4072</v>
      </c>
      <c r="C4424">
        <v>2</v>
      </c>
      <c r="D4424" t="s">
        <v>4082</v>
      </c>
      <c r="E4424" t="s">
        <v>4083</v>
      </c>
      <c r="F4424" t="s">
        <v>4075</v>
      </c>
    </row>
    <row r="4425" spans="1:6" x14ac:dyDescent="0.25">
      <c r="A4425">
        <v>3938</v>
      </c>
      <c r="B4425" t="s">
        <v>4072</v>
      </c>
      <c r="C4425">
        <v>17</v>
      </c>
      <c r="D4425" t="s">
        <v>4082</v>
      </c>
      <c r="E4425" t="s">
        <v>4084</v>
      </c>
      <c r="F4425" t="s">
        <v>4076</v>
      </c>
    </row>
    <row r="4426" spans="1:6" x14ac:dyDescent="0.25">
      <c r="A4426">
        <v>3939</v>
      </c>
      <c r="B4426" t="s">
        <v>4072</v>
      </c>
      <c r="C4426">
        <v>5</v>
      </c>
      <c r="D4426" t="s">
        <v>4087</v>
      </c>
      <c r="E4426" t="s">
        <v>4088</v>
      </c>
      <c r="F4426" t="s">
        <v>4075</v>
      </c>
    </row>
    <row r="4427" spans="1:6" x14ac:dyDescent="0.25">
      <c r="A4427">
        <v>3939</v>
      </c>
      <c r="B4427" t="s">
        <v>4072</v>
      </c>
      <c r="C4427">
        <v>15</v>
      </c>
      <c r="D4427" t="s">
        <v>4080</v>
      </c>
      <c r="E4427" t="s">
        <v>4081</v>
      </c>
      <c r="F4427" t="s">
        <v>4076</v>
      </c>
    </row>
    <row r="4428" spans="1:6" x14ac:dyDescent="0.25">
      <c r="A4428">
        <v>3940</v>
      </c>
      <c r="B4428" t="s">
        <v>4072</v>
      </c>
      <c r="C4428">
        <v>5</v>
      </c>
      <c r="D4428" t="s">
        <v>4087</v>
      </c>
      <c r="E4428" t="s">
        <v>4088</v>
      </c>
      <c r="F4428" t="s">
        <v>4075</v>
      </c>
    </row>
    <row r="4429" spans="1:6" x14ac:dyDescent="0.25">
      <c r="A4429">
        <v>3940</v>
      </c>
      <c r="B4429" t="s">
        <v>4072</v>
      </c>
      <c r="C4429">
        <v>15</v>
      </c>
      <c r="D4429" t="s">
        <v>4080</v>
      </c>
      <c r="E4429" t="s">
        <v>4081</v>
      </c>
      <c r="F4429" t="s">
        <v>4076</v>
      </c>
    </row>
    <row r="4430" spans="1:6" x14ac:dyDescent="0.25">
      <c r="A4430">
        <v>3941</v>
      </c>
      <c r="B4430" t="s">
        <v>4072</v>
      </c>
      <c r="C4430">
        <v>3</v>
      </c>
      <c r="D4430" t="s">
        <v>4085</v>
      </c>
      <c r="E4430" t="s">
        <v>4086</v>
      </c>
      <c r="F4430" t="s">
        <v>4075</v>
      </c>
    </row>
    <row r="4431" spans="1:6" x14ac:dyDescent="0.25">
      <c r="A4431">
        <v>3941</v>
      </c>
      <c r="B4431" t="s">
        <v>4072</v>
      </c>
      <c r="C4431">
        <v>15</v>
      </c>
      <c r="D4431" t="s">
        <v>4080</v>
      </c>
      <c r="E4431" t="s">
        <v>4081</v>
      </c>
      <c r="F4431" t="s">
        <v>4076</v>
      </c>
    </row>
    <row r="4432" spans="1:6" x14ac:dyDescent="0.25">
      <c r="A4432">
        <v>3942</v>
      </c>
      <c r="B4432" t="s">
        <v>4072</v>
      </c>
      <c r="C4432">
        <v>5</v>
      </c>
      <c r="D4432" t="s">
        <v>4087</v>
      </c>
      <c r="E4432" t="s">
        <v>4088</v>
      </c>
      <c r="F4432" t="s">
        <v>4075</v>
      </c>
    </row>
    <row r="4433" spans="1:6" x14ac:dyDescent="0.25">
      <c r="A4433">
        <v>3942</v>
      </c>
      <c r="B4433" t="s">
        <v>4072</v>
      </c>
      <c r="C4433">
        <v>15</v>
      </c>
      <c r="D4433" t="s">
        <v>4080</v>
      </c>
      <c r="E4433" t="s">
        <v>4081</v>
      </c>
      <c r="F4433" t="s">
        <v>4076</v>
      </c>
    </row>
    <row r="4434" spans="1:6" x14ac:dyDescent="0.25">
      <c r="A4434">
        <v>3943</v>
      </c>
      <c r="B4434" t="s">
        <v>4072</v>
      </c>
      <c r="C4434">
        <v>4</v>
      </c>
      <c r="D4434" t="s">
        <v>4077</v>
      </c>
      <c r="E4434" t="s">
        <v>4078</v>
      </c>
      <c r="F4434" t="s">
        <v>4075</v>
      </c>
    </row>
    <row r="4435" spans="1:6" x14ac:dyDescent="0.25">
      <c r="A4435">
        <v>3943</v>
      </c>
      <c r="B4435" t="s">
        <v>4072</v>
      </c>
      <c r="C4435">
        <v>16</v>
      </c>
      <c r="D4435" t="s">
        <v>4077</v>
      </c>
      <c r="E4435" t="s">
        <v>4078</v>
      </c>
      <c r="F4435" t="s">
        <v>4076</v>
      </c>
    </row>
    <row r="4436" spans="1:6" x14ac:dyDescent="0.25">
      <c r="A4436">
        <v>3944</v>
      </c>
      <c r="B4436" t="s">
        <v>4072</v>
      </c>
      <c r="C4436">
        <v>2</v>
      </c>
      <c r="D4436" t="s">
        <v>4082</v>
      </c>
      <c r="E4436" t="s">
        <v>4083</v>
      </c>
      <c r="F4436" t="s">
        <v>4075</v>
      </c>
    </row>
    <row r="4437" spans="1:6" x14ac:dyDescent="0.25">
      <c r="A4437">
        <v>3944</v>
      </c>
      <c r="B4437" t="s">
        <v>4072</v>
      </c>
      <c r="C4437">
        <v>17</v>
      </c>
      <c r="D4437" t="s">
        <v>4082</v>
      </c>
      <c r="E4437" t="s">
        <v>4084</v>
      </c>
      <c r="F4437" t="s">
        <v>4076</v>
      </c>
    </row>
    <row r="4438" spans="1:6" x14ac:dyDescent="0.25">
      <c r="A4438">
        <v>3944</v>
      </c>
      <c r="B4438" t="s">
        <v>4072</v>
      </c>
      <c r="C4438">
        <v>42</v>
      </c>
      <c r="D4438" t="s">
        <v>4082</v>
      </c>
      <c r="E4438" t="s">
        <v>4083</v>
      </c>
      <c r="F4438" t="s">
        <v>4079</v>
      </c>
    </row>
    <row r="4439" spans="1:6" x14ac:dyDescent="0.25">
      <c r="A4439">
        <v>3945</v>
      </c>
      <c r="B4439" t="s">
        <v>4072</v>
      </c>
      <c r="C4439">
        <v>5</v>
      </c>
      <c r="D4439" t="s">
        <v>4087</v>
      </c>
      <c r="E4439" t="s">
        <v>4088</v>
      </c>
      <c r="F4439" t="s">
        <v>4075</v>
      </c>
    </row>
    <row r="4440" spans="1:6" x14ac:dyDescent="0.25">
      <c r="A4440">
        <v>3945</v>
      </c>
      <c r="B4440" t="s">
        <v>4072</v>
      </c>
      <c r="C4440">
        <v>15</v>
      </c>
      <c r="D4440" t="s">
        <v>4080</v>
      </c>
      <c r="E4440" t="s">
        <v>4081</v>
      </c>
      <c r="F4440" t="s">
        <v>4076</v>
      </c>
    </row>
    <row r="4441" spans="1:6" x14ac:dyDescent="0.25">
      <c r="A4441">
        <v>3945</v>
      </c>
      <c r="B4441" t="s">
        <v>4072</v>
      </c>
      <c r="C4441">
        <v>40</v>
      </c>
      <c r="D4441" t="s">
        <v>4080</v>
      </c>
      <c r="E4441" t="s">
        <v>4081</v>
      </c>
      <c r="F4441" t="s">
        <v>4079</v>
      </c>
    </row>
    <row r="4442" spans="1:6" x14ac:dyDescent="0.25">
      <c r="A4442">
        <v>3946</v>
      </c>
      <c r="B4442" t="s">
        <v>4072</v>
      </c>
      <c r="C4442">
        <v>5</v>
      </c>
      <c r="D4442" t="s">
        <v>4087</v>
      </c>
      <c r="E4442" t="s">
        <v>4088</v>
      </c>
      <c r="F4442" t="s">
        <v>4075</v>
      </c>
    </row>
    <row r="4443" spans="1:6" x14ac:dyDescent="0.25">
      <c r="A4443">
        <v>3946</v>
      </c>
      <c r="B4443" t="s">
        <v>4072</v>
      </c>
      <c r="C4443">
        <v>15</v>
      </c>
      <c r="D4443" t="s">
        <v>4080</v>
      </c>
      <c r="E4443" t="s">
        <v>4081</v>
      </c>
      <c r="F4443" t="s">
        <v>4076</v>
      </c>
    </row>
    <row r="4444" spans="1:6" x14ac:dyDescent="0.25">
      <c r="A4444">
        <v>3946</v>
      </c>
      <c r="B4444" t="s">
        <v>4072</v>
      </c>
      <c r="C4444">
        <v>40</v>
      </c>
      <c r="D4444" t="s">
        <v>4080</v>
      </c>
      <c r="E4444" t="s">
        <v>4081</v>
      </c>
      <c r="F4444" t="s">
        <v>4079</v>
      </c>
    </row>
    <row r="4445" spans="1:6" x14ac:dyDescent="0.25">
      <c r="A4445">
        <v>3947</v>
      </c>
      <c r="B4445" t="s">
        <v>4092</v>
      </c>
      <c r="C4445">
        <v>28</v>
      </c>
      <c r="D4445" t="s">
        <v>2757</v>
      </c>
      <c r="E4445" t="s">
        <v>4093</v>
      </c>
      <c r="F4445" t="s">
        <v>4076</v>
      </c>
    </row>
    <row r="4446" spans="1:6" x14ac:dyDescent="0.25">
      <c r="A4446">
        <v>3947</v>
      </c>
      <c r="B4446" t="s">
        <v>4092</v>
      </c>
      <c r="C4446">
        <v>48</v>
      </c>
      <c r="D4446" t="s">
        <v>2757</v>
      </c>
      <c r="E4446" t="s">
        <v>4093</v>
      </c>
      <c r="F4446" t="s">
        <v>4079</v>
      </c>
    </row>
    <row r="4447" spans="1:6" x14ac:dyDescent="0.25">
      <c r="A4447">
        <v>3948</v>
      </c>
      <c r="B4447" t="s">
        <v>4092</v>
      </c>
      <c r="C4447">
        <v>24</v>
      </c>
      <c r="D4447" t="s">
        <v>2760</v>
      </c>
      <c r="E4447" t="s">
        <v>4108</v>
      </c>
      <c r="F4447" t="s">
        <v>4075</v>
      </c>
    </row>
    <row r="4448" spans="1:6" x14ac:dyDescent="0.25">
      <c r="A4448">
        <v>3948</v>
      </c>
      <c r="B4448" t="s">
        <v>4092</v>
      </c>
      <c r="C4448">
        <v>29</v>
      </c>
      <c r="D4448" t="s">
        <v>2760</v>
      </c>
      <c r="E4448" t="s">
        <v>4108</v>
      </c>
      <c r="F4448" t="s">
        <v>4076</v>
      </c>
    </row>
    <row r="4449" spans="1:6" x14ac:dyDescent="0.25">
      <c r="A4449">
        <v>3948</v>
      </c>
      <c r="B4449" t="s">
        <v>4092</v>
      </c>
      <c r="C4449">
        <v>49</v>
      </c>
      <c r="D4449" t="s">
        <v>2760</v>
      </c>
      <c r="E4449" t="s">
        <v>4108</v>
      </c>
      <c r="F4449" t="s">
        <v>4079</v>
      </c>
    </row>
    <row r="4450" spans="1:6" x14ac:dyDescent="0.25">
      <c r="A4450">
        <v>3950</v>
      </c>
      <c r="B4450" t="s">
        <v>4092</v>
      </c>
      <c r="C4450">
        <v>24</v>
      </c>
      <c r="D4450" t="s">
        <v>2760</v>
      </c>
      <c r="E4450" t="s">
        <v>4108</v>
      </c>
      <c r="F4450" t="s">
        <v>4075</v>
      </c>
    </row>
    <row r="4451" spans="1:6" x14ac:dyDescent="0.25">
      <c r="A4451">
        <v>3950</v>
      </c>
      <c r="B4451" t="s">
        <v>4092</v>
      </c>
      <c r="C4451">
        <v>29</v>
      </c>
      <c r="D4451" t="s">
        <v>2760</v>
      </c>
      <c r="E4451" t="s">
        <v>4108</v>
      </c>
      <c r="F4451" t="s">
        <v>4076</v>
      </c>
    </row>
    <row r="4452" spans="1:6" x14ac:dyDescent="0.25">
      <c r="A4452">
        <v>3950</v>
      </c>
      <c r="B4452" t="s">
        <v>4092</v>
      </c>
      <c r="C4452">
        <v>49</v>
      </c>
      <c r="D4452" t="s">
        <v>2760</v>
      </c>
      <c r="E4452" t="s">
        <v>4108</v>
      </c>
      <c r="F4452" t="s">
        <v>4079</v>
      </c>
    </row>
    <row r="4453" spans="1:6" x14ac:dyDescent="0.25">
      <c r="A4453">
        <v>3951</v>
      </c>
      <c r="B4453" t="s">
        <v>4072</v>
      </c>
      <c r="C4453">
        <v>4</v>
      </c>
      <c r="D4453" t="s">
        <v>4077</v>
      </c>
      <c r="E4453" t="s">
        <v>4078</v>
      </c>
      <c r="F4453" t="s">
        <v>4075</v>
      </c>
    </row>
    <row r="4454" spans="1:6" x14ac:dyDescent="0.25">
      <c r="A4454">
        <v>3951</v>
      </c>
      <c r="B4454" t="s">
        <v>4072</v>
      </c>
      <c r="C4454">
        <v>16</v>
      </c>
      <c r="D4454" t="s">
        <v>4077</v>
      </c>
      <c r="E4454" t="s">
        <v>4078</v>
      </c>
      <c r="F4454" t="s">
        <v>4076</v>
      </c>
    </row>
    <row r="4455" spans="1:6" x14ac:dyDescent="0.25">
      <c r="A4455">
        <v>3951</v>
      </c>
      <c r="B4455" t="s">
        <v>4072</v>
      </c>
      <c r="C4455">
        <v>44</v>
      </c>
      <c r="D4455" t="s">
        <v>4077</v>
      </c>
      <c r="E4455" t="s">
        <v>4078</v>
      </c>
      <c r="F4455" t="s">
        <v>4079</v>
      </c>
    </row>
    <row r="4456" spans="1:6" x14ac:dyDescent="0.25">
      <c r="A4456">
        <v>3952</v>
      </c>
      <c r="B4456" t="s">
        <v>4072</v>
      </c>
      <c r="C4456">
        <v>6</v>
      </c>
      <c r="D4456" t="s">
        <v>4073</v>
      </c>
      <c r="E4456" t="s">
        <v>4074</v>
      </c>
      <c r="F4456" t="s">
        <v>4075</v>
      </c>
    </row>
    <row r="4457" spans="1:6" x14ac:dyDescent="0.25">
      <c r="A4457">
        <v>3952</v>
      </c>
      <c r="B4457" t="s">
        <v>4072</v>
      </c>
      <c r="C4457">
        <v>19</v>
      </c>
      <c r="D4457" t="s">
        <v>4073</v>
      </c>
      <c r="E4457" t="s">
        <v>4074</v>
      </c>
      <c r="F4457" t="s">
        <v>4076</v>
      </c>
    </row>
    <row r="4458" spans="1:6" x14ac:dyDescent="0.25">
      <c r="A4458">
        <v>3952</v>
      </c>
      <c r="B4458" t="s">
        <v>4072</v>
      </c>
      <c r="C4458">
        <v>39</v>
      </c>
      <c r="D4458" t="s">
        <v>4073</v>
      </c>
      <c r="E4458" t="s">
        <v>4074</v>
      </c>
      <c r="F4458" t="s">
        <v>4079</v>
      </c>
    </row>
    <row r="4459" spans="1:6" x14ac:dyDescent="0.25">
      <c r="A4459">
        <v>3953</v>
      </c>
      <c r="B4459" t="s">
        <v>4072</v>
      </c>
      <c r="C4459">
        <v>5</v>
      </c>
      <c r="D4459" t="s">
        <v>4087</v>
      </c>
      <c r="E4459" t="s">
        <v>4088</v>
      </c>
      <c r="F4459" t="s">
        <v>4075</v>
      </c>
    </row>
    <row r="4460" spans="1:6" x14ac:dyDescent="0.25">
      <c r="A4460">
        <v>3953</v>
      </c>
      <c r="B4460" t="s">
        <v>4072</v>
      </c>
      <c r="C4460">
        <v>15</v>
      </c>
      <c r="D4460" t="s">
        <v>4080</v>
      </c>
      <c r="E4460" t="s">
        <v>4081</v>
      </c>
      <c r="F4460" t="s">
        <v>4076</v>
      </c>
    </row>
    <row r="4461" spans="1:6" x14ac:dyDescent="0.25">
      <c r="A4461">
        <v>3953</v>
      </c>
      <c r="B4461" t="s">
        <v>4072</v>
      </c>
      <c r="C4461">
        <v>40</v>
      </c>
      <c r="D4461" t="s">
        <v>4080</v>
      </c>
      <c r="E4461" t="s">
        <v>4081</v>
      </c>
      <c r="F4461" t="s">
        <v>4079</v>
      </c>
    </row>
    <row r="4462" spans="1:6" x14ac:dyDescent="0.25">
      <c r="A4462">
        <v>3954</v>
      </c>
      <c r="B4462" t="s">
        <v>4072</v>
      </c>
      <c r="C4462">
        <v>1</v>
      </c>
      <c r="D4462" t="s">
        <v>2761</v>
      </c>
      <c r="E4462" t="s">
        <v>4089</v>
      </c>
      <c r="F4462" t="s">
        <v>4075</v>
      </c>
    </row>
    <row r="4463" spans="1:6" x14ac:dyDescent="0.25">
      <c r="A4463">
        <v>3954</v>
      </c>
      <c r="B4463" t="s">
        <v>4072</v>
      </c>
      <c r="C4463">
        <v>38</v>
      </c>
      <c r="D4463" t="s">
        <v>2761</v>
      </c>
      <c r="E4463" t="s">
        <v>4089</v>
      </c>
      <c r="F4463" t="s">
        <v>4076</v>
      </c>
    </row>
    <row r="4464" spans="1:6" x14ac:dyDescent="0.25">
      <c r="A4464">
        <v>3954</v>
      </c>
      <c r="B4464" t="s">
        <v>4072</v>
      </c>
      <c r="C4464">
        <v>43</v>
      </c>
      <c r="D4464" t="s">
        <v>2761</v>
      </c>
      <c r="E4464" t="s">
        <v>4089</v>
      </c>
      <c r="F4464" t="s">
        <v>4079</v>
      </c>
    </row>
    <row r="4465" spans="1:6" x14ac:dyDescent="0.25">
      <c r="A4465">
        <v>3955</v>
      </c>
      <c r="B4465" t="s">
        <v>4072</v>
      </c>
      <c r="C4465">
        <v>2</v>
      </c>
      <c r="D4465" t="s">
        <v>4082</v>
      </c>
      <c r="E4465" t="s">
        <v>4083</v>
      </c>
      <c r="F4465" t="s">
        <v>4075</v>
      </c>
    </row>
    <row r="4466" spans="1:6" x14ac:dyDescent="0.25">
      <c r="A4466">
        <v>3955</v>
      </c>
      <c r="B4466" t="s">
        <v>4072</v>
      </c>
      <c r="C4466">
        <v>17</v>
      </c>
      <c r="D4466" t="s">
        <v>4082</v>
      </c>
      <c r="E4466" t="s">
        <v>4084</v>
      </c>
      <c r="F4466" t="s">
        <v>4076</v>
      </c>
    </row>
    <row r="4467" spans="1:6" x14ac:dyDescent="0.25">
      <c r="A4467">
        <v>3955</v>
      </c>
      <c r="B4467" t="s">
        <v>4072</v>
      </c>
      <c r="C4467">
        <v>42</v>
      </c>
      <c r="D4467" t="s">
        <v>4082</v>
      </c>
      <c r="E4467" t="s">
        <v>4083</v>
      </c>
      <c r="F4467" t="s">
        <v>4079</v>
      </c>
    </row>
    <row r="4468" spans="1:6" x14ac:dyDescent="0.25">
      <c r="A4468">
        <v>3962</v>
      </c>
      <c r="B4468" t="s">
        <v>4072</v>
      </c>
      <c r="C4468">
        <v>2</v>
      </c>
      <c r="D4468" t="s">
        <v>4082</v>
      </c>
      <c r="E4468" t="s">
        <v>4083</v>
      </c>
      <c r="F4468" t="s">
        <v>4075</v>
      </c>
    </row>
    <row r="4469" spans="1:6" x14ac:dyDescent="0.25">
      <c r="A4469">
        <v>3962</v>
      </c>
      <c r="B4469" t="s">
        <v>4072</v>
      </c>
      <c r="C4469">
        <v>17</v>
      </c>
      <c r="D4469" t="s">
        <v>4082</v>
      </c>
      <c r="E4469" t="s">
        <v>4084</v>
      </c>
      <c r="F4469" t="s">
        <v>4076</v>
      </c>
    </row>
    <row r="4470" spans="1:6" x14ac:dyDescent="0.25">
      <c r="A4470">
        <v>3964</v>
      </c>
      <c r="B4470" t="s">
        <v>4072</v>
      </c>
      <c r="C4470">
        <v>19</v>
      </c>
      <c r="D4470" t="s">
        <v>4073</v>
      </c>
      <c r="E4470" t="s">
        <v>4074</v>
      </c>
      <c r="F4470" t="s">
        <v>4076</v>
      </c>
    </row>
    <row r="4471" spans="1:6" x14ac:dyDescent="0.25">
      <c r="A4471">
        <v>3965</v>
      </c>
      <c r="B4471" t="s">
        <v>4072</v>
      </c>
      <c r="C4471">
        <v>5</v>
      </c>
      <c r="D4471" t="s">
        <v>4087</v>
      </c>
      <c r="E4471" t="s">
        <v>4088</v>
      </c>
      <c r="F4471" t="s">
        <v>4075</v>
      </c>
    </row>
    <row r="4472" spans="1:6" x14ac:dyDescent="0.25">
      <c r="A4472">
        <v>3965</v>
      </c>
      <c r="B4472" t="s">
        <v>4072</v>
      </c>
      <c r="C4472">
        <v>15</v>
      </c>
      <c r="D4472" t="s">
        <v>4080</v>
      </c>
      <c r="E4472" t="s">
        <v>4081</v>
      </c>
      <c r="F4472" t="s">
        <v>4076</v>
      </c>
    </row>
    <row r="4473" spans="1:6" x14ac:dyDescent="0.25">
      <c r="A4473">
        <v>3969</v>
      </c>
      <c r="B4473" t="s">
        <v>4092</v>
      </c>
      <c r="C4473">
        <v>32</v>
      </c>
      <c r="D4473" t="s">
        <v>4106</v>
      </c>
      <c r="E4473" t="s">
        <v>4107</v>
      </c>
      <c r="F4473" t="s">
        <v>4076</v>
      </c>
    </row>
    <row r="4474" spans="1:6" x14ac:dyDescent="0.25">
      <c r="A4474">
        <v>3970</v>
      </c>
      <c r="B4474" t="s">
        <v>4072</v>
      </c>
      <c r="C4474">
        <v>6</v>
      </c>
      <c r="D4474" t="s">
        <v>4073</v>
      </c>
      <c r="E4474" t="s">
        <v>4074</v>
      </c>
      <c r="F4474" t="s">
        <v>4075</v>
      </c>
    </row>
    <row r="4475" spans="1:6" x14ac:dyDescent="0.25">
      <c r="A4475">
        <v>3970</v>
      </c>
      <c r="B4475" t="s">
        <v>4072</v>
      </c>
      <c r="C4475">
        <v>19</v>
      </c>
      <c r="D4475" t="s">
        <v>4073</v>
      </c>
      <c r="E4475" t="s">
        <v>4074</v>
      </c>
      <c r="F4475" t="s">
        <v>4076</v>
      </c>
    </row>
    <row r="4476" spans="1:6" x14ac:dyDescent="0.25">
      <c r="A4476">
        <v>3972</v>
      </c>
      <c r="B4476" t="s">
        <v>4072</v>
      </c>
      <c r="C4476">
        <v>4</v>
      </c>
      <c r="D4476" t="s">
        <v>4077</v>
      </c>
      <c r="E4476" t="s">
        <v>4078</v>
      </c>
      <c r="F4476" t="s">
        <v>4075</v>
      </c>
    </row>
    <row r="4477" spans="1:6" x14ac:dyDescent="0.25">
      <c r="A4477">
        <v>3972</v>
      </c>
      <c r="B4477" t="s">
        <v>4072</v>
      </c>
      <c r="C4477">
        <v>16</v>
      </c>
      <c r="D4477" t="s">
        <v>4077</v>
      </c>
      <c r="E4477" t="s">
        <v>4078</v>
      </c>
      <c r="F4477" t="s">
        <v>4076</v>
      </c>
    </row>
    <row r="4478" spans="1:6" x14ac:dyDescent="0.25">
      <c r="A4478">
        <v>3973</v>
      </c>
      <c r="B4478" t="s">
        <v>4072</v>
      </c>
      <c r="C4478">
        <v>6</v>
      </c>
      <c r="D4478" t="s">
        <v>4073</v>
      </c>
      <c r="E4478" t="s">
        <v>4074</v>
      </c>
      <c r="F4478" t="s">
        <v>4075</v>
      </c>
    </row>
    <row r="4479" spans="1:6" x14ac:dyDescent="0.25">
      <c r="A4479">
        <v>3973</v>
      </c>
      <c r="B4479" t="s">
        <v>4072</v>
      </c>
      <c r="C4479">
        <v>19</v>
      </c>
      <c r="D4479" t="s">
        <v>4073</v>
      </c>
      <c r="E4479" t="s">
        <v>4074</v>
      </c>
      <c r="F4479" t="s">
        <v>4076</v>
      </c>
    </row>
    <row r="4480" spans="1:6" x14ac:dyDescent="0.25">
      <c r="A4480">
        <v>3974</v>
      </c>
      <c r="B4480" t="s">
        <v>4092</v>
      </c>
      <c r="C4480">
        <v>33</v>
      </c>
      <c r="D4480" t="s">
        <v>4109</v>
      </c>
      <c r="E4480" t="s">
        <v>4110</v>
      </c>
      <c r="F4480" t="s">
        <v>4075</v>
      </c>
    </row>
    <row r="4481" spans="1:6" x14ac:dyDescent="0.25">
      <c r="A4481">
        <v>3975</v>
      </c>
      <c r="B4481" t="s">
        <v>4072</v>
      </c>
      <c r="C4481">
        <v>10</v>
      </c>
      <c r="D4481" t="s">
        <v>4095</v>
      </c>
      <c r="E4481" t="s">
        <v>4096</v>
      </c>
      <c r="F4481" t="s">
        <v>4075</v>
      </c>
    </row>
    <row r="4482" spans="1:6" x14ac:dyDescent="0.25">
      <c r="A4482">
        <v>3975</v>
      </c>
      <c r="B4482" t="s">
        <v>4072</v>
      </c>
      <c r="C4482">
        <v>12</v>
      </c>
      <c r="D4482" t="s">
        <v>2159</v>
      </c>
      <c r="E4482" t="s">
        <v>4094</v>
      </c>
      <c r="F4482" t="s">
        <v>4076</v>
      </c>
    </row>
    <row r="4483" spans="1:6" x14ac:dyDescent="0.25">
      <c r="A4483">
        <v>3976</v>
      </c>
      <c r="B4483" t="s">
        <v>4072</v>
      </c>
      <c r="C4483">
        <v>6</v>
      </c>
      <c r="D4483" t="s">
        <v>4073</v>
      </c>
      <c r="E4483" t="s">
        <v>4074</v>
      </c>
      <c r="F4483" t="s">
        <v>4075</v>
      </c>
    </row>
    <row r="4484" spans="1:6" x14ac:dyDescent="0.25">
      <c r="A4484">
        <v>3976</v>
      </c>
      <c r="B4484" t="s">
        <v>4072</v>
      </c>
      <c r="C4484">
        <v>19</v>
      </c>
      <c r="D4484" t="s">
        <v>4073</v>
      </c>
      <c r="E4484" t="s">
        <v>4074</v>
      </c>
      <c r="F4484" t="s">
        <v>4076</v>
      </c>
    </row>
    <row r="4485" spans="1:6" x14ac:dyDescent="0.25">
      <c r="A4485">
        <v>3976</v>
      </c>
      <c r="B4485" t="s">
        <v>4072</v>
      </c>
      <c r="C4485">
        <v>39</v>
      </c>
      <c r="D4485" t="s">
        <v>4073</v>
      </c>
      <c r="E4485" t="s">
        <v>4074</v>
      </c>
      <c r="F4485" t="s">
        <v>4079</v>
      </c>
    </row>
    <row r="4486" spans="1:6" x14ac:dyDescent="0.25">
      <c r="A4486">
        <v>3977</v>
      </c>
      <c r="B4486" t="s">
        <v>4072</v>
      </c>
      <c r="C4486">
        <v>6</v>
      </c>
      <c r="D4486" t="s">
        <v>4073</v>
      </c>
      <c r="E4486" t="s">
        <v>4074</v>
      </c>
      <c r="F4486" t="s">
        <v>4075</v>
      </c>
    </row>
    <row r="4487" spans="1:6" x14ac:dyDescent="0.25">
      <c r="A4487">
        <v>3977</v>
      </c>
      <c r="B4487" t="s">
        <v>4072</v>
      </c>
      <c r="C4487">
        <v>19</v>
      </c>
      <c r="D4487" t="s">
        <v>4073</v>
      </c>
      <c r="E4487" t="s">
        <v>4074</v>
      </c>
      <c r="F4487" t="s">
        <v>4076</v>
      </c>
    </row>
    <row r="4488" spans="1:6" x14ac:dyDescent="0.25">
      <c r="A4488">
        <v>3977</v>
      </c>
      <c r="B4488" t="s">
        <v>4072</v>
      </c>
      <c r="C4488">
        <v>39</v>
      </c>
      <c r="D4488" t="s">
        <v>4073</v>
      </c>
      <c r="E4488" t="s">
        <v>4074</v>
      </c>
      <c r="F4488" t="s">
        <v>4079</v>
      </c>
    </row>
    <row r="4489" spans="1:6" x14ac:dyDescent="0.25">
      <c r="A4489">
        <v>3978</v>
      </c>
      <c r="B4489" t="s">
        <v>4072</v>
      </c>
      <c r="C4489">
        <v>2</v>
      </c>
      <c r="D4489" t="s">
        <v>4082</v>
      </c>
      <c r="E4489" t="s">
        <v>4083</v>
      </c>
      <c r="F4489" t="s">
        <v>4075</v>
      </c>
    </row>
    <row r="4490" spans="1:6" x14ac:dyDescent="0.25">
      <c r="A4490">
        <v>3978</v>
      </c>
      <c r="B4490" t="s">
        <v>4072</v>
      </c>
      <c r="C4490">
        <v>17</v>
      </c>
      <c r="D4490" t="s">
        <v>4082</v>
      </c>
      <c r="E4490" t="s">
        <v>4084</v>
      </c>
      <c r="F4490" t="s">
        <v>4076</v>
      </c>
    </row>
    <row r="4491" spans="1:6" x14ac:dyDescent="0.25">
      <c r="A4491">
        <v>3979</v>
      </c>
      <c r="B4491" t="s">
        <v>4072</v>
      </c>
      <c r="C4491">
        <v>1</v>
      </c>
      <c r="D4491" t="s">
        <v>2761</v>
      </c>
      <c r="E4491" t="s">
        <v>4089</v>
      </c>
      <c r="F4491" t="s">
        <v>4075</v>
      </c>
    </row>
    <row r="4492" spans="1:6" x14ac:dyDescent="0.25">
      <c r="A4492">
        <v>3979</v>
      </c>
      <c r="B4492" t="s">
        <v>4072</v>
      </c>
      <c r="C4492">
        <v>38</v>
      </c>
      <c r="D4492" t="s">
        <v>2761</v>
      </c>
      <c r="E4492" t="s">
        <v>4089</v>
      </c>
      <c r="F4492" t="s">
        <v>4076</v>
      </c>
    </row>
    <row r="4493" spans="1:6" x14ac:dyDescent="0.25">
      <c r="A4493">
        <v>3980</v>
      </c>
      <c r="B4493" t="s">
        <v>4072</v>
      </c>
      <c r="C4493">
        <v>5</v>
      </c>
      <c r="D4493" t="s">
        <v>4087</v>
      </c>
      <c r="E4493" t="s">
        <v>4088</v>
      </c>
      <c r="F4493" t="s">
        <v>4075</v>
      </c>
    </row>
    <row r="4494" spans="1:6" x14ac:dyDescent="0.25">
      <c r="A4494">
        <v>3980</v>
      </c>
      <c r="B4494" t="s">
        <v>4072</v>
      </c>
      <c r="C4494">
        <v>15</v>
      </c>
      <c r="D4494" t="s">
        <v>4080</v>
      </c>
      <c r="E4494" t="s">
        <v>4081</v>
      </c>
      <c r="F4494" t="s">
        <v>4076</v>
      </c>
    </row>
    <row r="4495" spans="1:6" x14ac:dyDescent="0.25">
      <c r="A4495">
        <v>3981</v>
      </c>
      <c r="B4495" t="s">
        <v>4072</v>
      </c>
      <c r="C4495">
        <v>3</v>
      </c>
      <c r="D4495" t="s">
        <v>4085</v>
      </c>
      <c r="E4495" t="s">
        <v>4086</v>
      </c>
      <c r="F4495" t="s">
        <v>4075</v>
      </c>
    </row>
    <row r="4496" spans="1:6" x14ac:dyDescent="0.25">
      <c r="A4496">
        <v>3981</v>
      </c>
      <c r="B4496" t="s">
        <v>4072</v>
      </c>
      <c r="C4496">
        <v>15</v>
      </c>
      <c r="D4496" t="s">
        <v>4080</v>
      </c>
      <c r="E4496" t="s">
        <v>4081</v>
      </c>
      <c r="F4496" t="s">
        <v>4076</v>
      </c>
    </row>
    <row r="4497" spans="1:6" x14ac:dyDescent="0.25">
      <c r="A4497">
        <v>3982</v>
      </c>
      <c r="B4497" t="s">
        <v>4072</v>
      </c>
      <c r="C4497">
        <v>4</v>
      </c>
      <c r="D4497" t="s">
        <v>4077</v>
      </c>
      <c r="E4497" t="s">
        <v>4078</v>
      </c>
      <c r="F4497" t="s">
        <v>4075</v>
      </c>
    </row>
    <row r="4498" spans="1:6" x14ac:dyDescent="0.25">
      <c r="A4498">
        <v>3982</v>
      </c>
      <c r="B4498" t="s">
        <v>4072</v>
      </c>
      <c r="C4498">
        <v>16</v>
      </c>
      <c r="D4498" t="s">
        <v>4077</v>
      </c>
      <c r="E4498" t="s">
        <v>4078</v>
      </c>
      <c r="F4498" t="s">
        <v>4076</v>
      </c>
    </row>
    <row r="4499" spans="1:6" x14ac:dyDescent="0.25">
      <c r="A4499">
        <v>3983</v>
      </c>
      <c r="B4499" t="s">
        <v>4072</v>
      </c>
      <c r="C4499">
        <v>4</v>
      </c>
      <c r="D4499" t="s">
        <v>4077</v>
      </c>
      <c r="E4499" t="s">
        <v>4078</v>
      </c>
      <c r="F4499" t="s">
        <v>4075</v>
      </c>
    </row>
    <row r="4500" spans="1:6" x14ac:dyDescent="0.25">
      <c r="A4500">
        <v>3983</v>
      </c>
      <c r="B4500" t="s">
        <v>4072</v>
      </c>
      <c r="C4500">
        <v>16</v>
      </c>
      <c r="D4500" t="s">
        <v>4077</v>
      </c>
      <c r="E4500" t="s">
        <v>4078</v>
      </c>
      <c r="F4500" t="s">
        <v>4076</v>
      </c>
    </row>
    <row r="4501" spans="1:6" x14ac:dyDescent="0.25">
      <c r="A4501">
        <v>3984</v>
      </c>
      <c r="B4501" t="s">
        <v>4092</v>
      </c>
      <c r="C4501">
        <v>33</v>
      </c>
      <c r="D4501" t="s">
        <v>4109</v>
      </c>
      <c r="E4501" t="s">
        <v>4110</v>
      </c>
      <c r="F4501" t="s">
        <v>4075</v>
      </c>
    </row>
    <row r="4502" spans="1:6" x14ac:dyDescent="0.25">
      <c r="A4502">
        <v>3984</v>
      </c>
      <c r="B4502" t="s">
        <v>4092</v>
      </c>
      <c r="C4502">
        <v>34</v>
      </c>
      <c r="D4502" t="s">
        <v>4109</v>
      </c>
      <c r="E4502" t="s">
        <v>4110</v>
      </c>
      <c r="F4502" t="s">
        <v>4076</v>
      </c>
    </row>
    <row r="4503" spans="1:6" x14ac:dyDescent="0.25">
      <c r="A4503">
        <v>3985</v>
      </c>
      <c r="B4503" t="s">
        <v>4092</v>
      </c>
      <c r="C4503">
        <v>23</v>
      </c>
      <c r="D4503" t="s">
        <v>2757</v>
      </c>
      <c r="E4503" t="s">
        <v>4093</v>
      </c>
      <c r="F4503" t="s">
        <v>4075</v>
      </c>
    </row>
    <row r="4504" spans="1:6" x14ac:dyDescent="0.25">
      <c r="A4504">
        <v>3985</v>
      </c>
      <c r="B4504" t="s">
        <v>4092</v>
      </c>
      <c r="C4504">
        <v>28</v>
      </c>
      <c r="D4504" t="s">
        <v>2757</v>
      </c>
      <c r="E4504" t="s">
        <v>4093</v>
      </c>
      <c r="F4504" t="s">
        <v>4076</v>
      </c>
    </row>
    <row r="4505" spans="1:6" x14ac:dyDescent="0.25">
      <c r="A4505">
        <v>3986</v>
      </c>
      <c r="B4505" t="s">
        <v>4092</v>
      </c>
      <c r="C4505">
        <v>24</v>
      </c>
      <c r="D4505" t="s">
        <v>2760</v>
      </c>
      <c r="E4505" t="s">
        <v>4108</v>
      </c>
      <c r="F4505" t="s">
        <v>4075</v>
      </c>
    </row>
    <row r="4506" spans="1:6" x14ac:dyDescent="0.25">
      <c r="A4506">
        <v>3986</v>
      </c>
      <c r="B4506" t="s">
        <v>4092</v>
      </c>
      <c r="C4506">
        <v>29</v>
      </c>
      <c r="D4506" t="s">
        <v>2760</v>
      </c>
      <c r="E4506" t="s">
        <v>4108</v>
      </c>
      <c r="F4506" t="s">
        <v>4076</v>
      </c>
    </row>
    <row r="4507" spans="1:6" x14ac:dyDescent="0.25">
      <c r="A4507">
        <v>3995</v>
      </c>
      <c r="B4507" t="s">
        <v>4072</v>
      </c>
      <c r="C4507">
        <v>5</v>
      </c>
      <c r="D4507" t="s">
        <v>4087</v>
      </c>
      <c r="E4507" t="s">
        <v>4088</v>
      </c>
      <c r="F4507" t="s">
        <v>4075</v>
      </c>
    </row>
    <row r="4508" spans="1:6" x14ac:dyDescent="0.25">
      <c r="A4508">
        <v>3995</v>
      </c>
      <c r="B4508" t="s">
        <v>4072</v>
      </c>
      <c r="C4508">
        <v>15</v>
      </c>
      <c r="D4508" t="s">
        <v>4080</v>
      </c>
      <c r="E4508" t="s">
        <v>4081</v>
      </c>
      <c r="F4508" t="s">
        <v>4076</v>
      </c>
    </row>
    <row r="4509" spans="1:6" x14ac:dyDescent="0.25">
      <c r="A4509">
        <v>3997</v>
      </c>
      <c r="B4509" t="s">
        <v>4092</v>
      </c>
      <c r="C4509">
        <v>33</v>
      </c>
      <c r="D4509" t="s">
        <v>4109</v>
      </c>
      <c r="E4509" t="s">
        <v>4110</v>
      </c>
      <c r="F4509" t="s">
        <v>4075</v>
      </c>
    </row>
    <row r="4510" spans="1:6" x14ac:dyDescent="0.25">
      <c r="A4510">
        <v>3998</v>
      </c>
      <c r="B4510" t="s">
        <v>4092</v>
      </c>
      <c r="C4510">
        <v>23</v>
      </c>
      <c r="D4510" t="s">
        <v>2757</v>
      </c>
      <c r="E4510" t="s">
        <v>4093</v>
      </c>
      <c r="F4510" t="s">
        <v>4075</v>
      </c>
    </row>
    <row r="4511" spans="1:6" x14ac:dyDescent="0.25">
      <c r="A4511">
        <v>3998</v>
      </c>
      <c r="B4511" t="s">
        <v>4092</v>
      </c>
      <c r="C4511">
        <v>28</v>
      </c>
      <c r="D4511" t="s">
        <v>2757</v>
      </c>
      <c r="E4511" t="s">
        <v>4093</v>
      </c>
      <c r="F4511" t="s">
        <v>4076</v>
      </c>
    </row>
    <row r="4512" spans="1:6" x14ac:dyDescent="0.25">
      <c r="A4512">
        <v>3999</v>
      </c>
      <c r="B4512" t="s">
        <v>4072</v>
      </c>
      <c r="C4512">
        <v>5</v>
      </c>
      <c r="D4512" t="s">
        <v>4087</v>
      </c>
      <c r="E4512" t="s">
        <v>4088</v>
      </c>
      <c r="F4512" t="s">
        <v>4075</v>
      </c>
    </row>
    <row r="4513" spans="1:6" x14ac:dyDescent="0.25">
      <c r="A4513">
        <v>3999</v>
      </c>
      <c r="B4513" t="s">
        <v>4072</v>
      </c>
      <c r="C4513">
        <v>15</v>
      </c>
      <c r="D4513" t="s">
        <v>4080</v>
      </c>
      <c r="E4513" t="s">
        <v>4081</v>
      </c>
      <c r="F4513" t="s">
        <v>4076</v>
      </c>
    </row>
    <row r="4514" spans="1:6" x14ac:dyDescent="0.25">
      <c r="A4514">
        <v>4000</v>
      </c>
      <c r="B4514" t="s">
        <v>4072</v>
      </c>
      <c r="C4514">
        <v>4</v>
      </c>
      <c r="D4514" t="s">
        <v>4077</v>
      </c>
      <c r="E4514" t="s">
        <v>4078</v>
      </c>
      <c r="F4514" t="s">
        <v>4075</v>
      </c>
    </row>
    <row r="4515" spans="1:6" x14ac:dyDescent="0.25">
      <c r="A4515">
        <v>4000</v>
      </c>
      <c r="B4515" t="s">
        <v>4072</v>
      </c>
      <c r="C4515">
        <v>16</v>
      </c>
      <c r="D4515" t="s">
        <v>4077</v>
      </c>
      <c r="E4515" t="s">
        <v>4078</v>
      </c>
      <c r="F4515" t="s">
        <v>4076</v>
      </c>
    </row>
    <row r="4516" spans="1:6" x14ac:dyDescent="0.25">
      <c r="A4516">
        <v>4002</v>
      </c>
      <c r="B4516" t="s">
        <v>4092</v>
      </c>
      <c r="C4516">
        <v>25</v>
      </c>
      <c r="D4516" t="s">
        <v>4102</v>
      </c>
      <c r="E4516" t="s">
        <v>4103</v>
      </c>
      <c r="F4516" t="s">
        <v>4075</v>
      </c>
    </row>
    <row r="4517" spans="1:6" x14ac:dyDescent="0.25">
      <c r="A4517">
        <v>4002</v>
      </c>
      <c r="B4517" t="s">
        <v>4092</v>
      </c>
      <c r="C4517">
        <v>30</v>
      </c>
      <c r="D4517" t="s">
        <v>4102</v>
      </c>
      <c r="E4517" t="s">
        <v>4103</v>
      </c>
      <c r="F4517" t="s">
        <v>4076</v>
      </c>
    </row>
    <row r="4518" spans="1:6" x14ac:dyDescent="0.25">
      <c r="A4518">
        <v>4003</v>
      </c>
      <c r="B4518" t="s">
        <v>4092</v>
      </c>
      <c r="C4518">
        <v>33</v>
      </c>
      <c r="D4518" t="s">
        <v>4109</v>
      </c>
      <c r="E4518" t="s">
        <v>4110</v>
      </c>
      <c r="F4518" t="s">
        <v>4075</v>
      </c>
    </row>
    <row r="4519" spans="1:6" x14ac:dyDescent="0.25">
      <c r="A4519">
        <v>4003</v>
      </c>
      <c r="B4519" t="s">
        <v>4092</v>
      </c>
      <c r="C4519">
        <v>34</v>
      </c>
      <c r="D4519" t="s">
        <v>4109</v>
      </c>
      <c r="E4519" t="s">
        <v>4110</v>
      </c>
      <c r="F4519" t="s">
        <v>4076</v>
      </c>
    </row>
    <row r="4520" spans="1:6" x14ac:dyDescent="0.25">
      <c r="A4520">
        <v>4003</v>
      </c>
      <c r="B4520" t="s">
        <v>4092</v>
      </c>
      <c r="C4520">
        <v>51</v>
      </c>
      <c r="D4520" t="s">
        <v>4109</v>
      </c>
      <c r="E4520" t="s">
        <v>4111</v>
      </c>
      <c r="F4520" t="s">
        <v>4079</v>
      </c>
    </row>
    <row r="4521" spans="1:6" x14ac:dyDescent="0.25">
      <c r="A4521">
        <v>4004</v>
      </c>
      <c r="B4521" t="s">
        <v>4092</v>
      </c>
      <c r="C4521">
        <v>25</v>
      </c>
      <c r="D4521" t="s">
        <v>4102</v>
      </c>
      <c r="E4521" t="s">
        <v>4103</v>
      </c>
      <c r="F4521" t="s">
        <v>4075</v>
      </c>
    </row>
    <row r="4522" spans="1:6" x14ac:dyDescent="0.25">
      <c r="A4522">
        <v>4004</v>
      </c>
      <c r="B4522" t="s">
        <v>4092</v>
      </c>
      <c r="C4522">
        <v>30</v>
      </c>
      <c r="D4522" t="s">
        <v>4102</v>
      </c>
      <c r="E4522" t="s">
        <v>4103</v>
      </c>
      <c r="F4522" t="s">
        <v>4076</v>
      </c>
    </row>
    <row r="4523" spans="1:6" x14ac:dyDescent="0.25">
      <c r="A4523">
        <v>4004</v>
      </c>
      <c r="B4523" t="s">
        <v>4092</v>
      </c>
      <c r="C4523">
        <v>50</v>
      </c>
      <c r="D4523" t="s">
        <v>4102</v>
      </c>
      <c r="E4523" t="s">
        <v>4103</v>
      </c>
      <c r="F4523" t="s">
        <v>4079</v>
      </c>
    </row>
    <row r="4524" spans="1:6" x14ac:dyDescent="0.25">
      <c r="A4524">
        <v>4006</v>
      </c>
      <c r="B4524" t="s">
        <v>4072</v>
      </c>
      <c r="C4524">
        <v>2</v>
      </c>
      <c r="D4524" t="s">
        <v>4082</v>
      </c>
      <c r="E4524" t="s">
        <v>4083</v>
      </c>
      <c r="F4524" t="s">
        <v>4075</v>
      </c>
    </row>
    <row r="4525" spans="1:6" x14ac:dyDescent="0.25">
      <c r="A4525">
        <v>4006</v>
      </c>
      <c r="B4525" t="s">
        <v>4072</v>
      </c>
      <c r="C4525">
        <v>17</v>
      </c>
      <c r="D4525" t="s">
        <v>4082</v>
      </c>
      <c r="E4525" t="s">
        <v>4084</v>
      </c>
      <c r="F4525" t="s">
        <v>4076</v>
      </c>
    </row>
    <row r="4526" spans="1:6" x14ac:dyDescent="0.25">
      <c r="A4526">
        <v>4007</v>
      </c>
      <c r="B4526" t="s">
        <v>4092</v>
      </c>
      <c r="C4526">
        <v>33</v>
      </c>
      <c r="D4526" t="s">
        <v>4109</v>
      </c>
      <c r="E4526" t="s">
        <v>4110</v>
      </c>
      <c r="F4526" t="s">
        <v>4075</v>
      </c>
    </row>
    <row r="4527" spans="1:6" x14ac:dyDescent="0.25">
      <c r="A4527">
        <v>4008</v>
      </c>
      <c r="B4527" t="s">
        <v>4072</v>
      </c>
      <c r="C4527">
        <v>2</v>
      </c>
      <c r="D4527" t="s">
        <v>4082</v>
      </c>
      <c r="E4527" t="s">
        <v>4083</v>
      </c>
      <c r="F4527" t="s">
        <v>4075</v>
      </c>
    </row>
    <row r="4528" spans="1:6" x14ac:dyDescent="0.25">
      <c r="A4528">
        <v>4008</v>
      </c>
      <c r="B4528" t="s">
        <v>4072</v>
      </c>
      <c r="C4528">
        <v>17</v>
      </c>
      <c r="D4528" t="s">
        <v>4082</v>
      </c>
      <c r="E4528" t="s">
        <v>4084</v>
      </c>
      <c r="F4528" t="s">
        <v>4076</v>
      </c>
    </row>
    <row r="4529" spans="1:6" x14ac:dyDescent="0.25">
      <c r="A4529">
        <v>4008</v>
      </c>
      <c r="B4529" t="s">
        <v>4072</v>
      </c>
      <c r="C4529">
        <v>42</v>
      </c>
      <c r="D4529" t="s">
        <v>4082</v>
      </c>
      <c r="E4529" t="s">
        <v>4083</v>
      </c>
      <c r="F4529" t="s">
        <v>4079</v>
      </c>
    </row>
    <row r="4530" spans="1:6" x14ac:dyDescent="0.25">
      <c r="A4530">
        <v>4009</v>
      </c>
      <c r="B4530" t="s">
        <v>4072</v>
      </c>
      <c r="C4530">
        <v>6</v>
      </c>
      <c r="D4530" t="s">
        <v>4073</v>
      </c>
      <c r="E4530" t="s">
        <v>4074</v>
      </c>
      <c r="F4530" t="s">
        <v>4075</v>
      </c>
    </row>
    <row r="4531" spans="1:6" x14ac:dyDescent="0.25">
      <c r="A4531">
        <v>4009</v>
      </c>
      <c r="B4531" t="s">
        <v>4072</v>
      </c>
      <c r="C4531">
        <v>19</v>
      </c>
      <c r="D4531" t="s">
        <v>4073</v>
      </c>
      <c r="E4531" t="s">
        <v>4074</v>
      </c>
      <c r="F4531" t="s">
        <v>4076</v>
      </c>
    </row>
    <row r="4532" spans="1:6" x14ac:dyDescent="0.25">
      <c r="A4532">
        <v>4009</v>
      </c>
      <c r="B4532" t="s">
        <v>4072</v>
      </c>
      <c r="C4532">
        <v>39</v>
      </c>
      <c r="D4532" t="s">
        <v>4073</v>
      </c>
      <c r="E4532" t="s">
        <v>4074</v>
      </c>
      <c r="F4532" t="s">
        <v>4079</v>
      </c>
    </row>
    <row r="4533" spans="1:6" x14ac:dyDescent="0.25">
      <c r="A4533">
        <v>4023</v>
      </c>
      <c r="B4533" t="s">
        <v>4092</v>
      </c>
      <c r="C4533">
        <v>24</v>
      </c>
      <c r="D4533" t="s">
        <v>2760</v>
      </c>
      <c r="E4533" t="s">
        <v>4108</v>
      </c>
      <c r="F4533" t="s">
        <v>4075</v>
      </c>
    </row>
    <row r="4534" spans="1:6" x14ac:dyDescent="0.25">
      <c r="A4534">
        <v>4023</v>
      </c>
      <c r="B4534" t="s">
        <v>4092</v>
      </c>
      <c r="C4534">
        <v>29</v>
      </c>
      <c r="D4534" t="s">
        <v>2760</v>
      </c>
      <c r="E4534" t="s">
        <v>4108</v>
      </c>
      <c r="F4534" t="s">
        <v>4076</v>
      </c>
    </row>
    <row r="4535" spans="1:6" x14ac:dyDescent="0.25">
      <c r="A4535">
        <v>4024</v>
      </c>
      <c r="B4535" t="s">
        <v>4072</v>
      </c>
      <c r="C4535">
        <v>5</v>
      </c>
      <c r="D4535" t="s">
        <v>4087</v>
      </c>
      <c r="E4535" t="s">
        <v>4088</v>
      </c>
      <c r="F4535" t="s">
        <v>4075</v>
      </c>
    </row>
    <row r="4536" spans="1:6" x14ac:dyDescent="0.25">
      <c r="A4536">
        <v>4024</v>
      </c>
      <c r="B4536" t="s">
        <v>4072</v>
      </c>
      <c r="C4536">
        <v>15</v>
      </c>
      <c r="D4536" t="s">
        <v>4080</v>
      </c>
      <c r="E4536" t="s">
        <v>4081</v>
      </c>
      <c r="F4536" t="s">
        <v>4076</v>
      </c>
    </row>
    <row r="4537" spans="1:6" x14ac:dyDescent="0.25">
      <c r="A4537">
        <v>4025</v>
      </c>
      <c r="B4537" t="s">
        <v>4072</v>
      </c>
      <c r="C4537">
        <v>2</v>
      </c>
      <c r="D4537" t="s">
        <v>4082</v>
      </c>
      <c r="E4537" t="s">
        <v>4083</v>
      </c>
      <c r="F4537" t="s">
        <v>4075</v>
      </c>
    </row>
    <row r="4538" spans="1:6" x14ac:dyDescent="0.25">
      <c r="A4538">
        <v>4025</v>
      </c>
      <c r="B4538" t="s">
        <v>4072</v>
      </c>
      <c r="C4538">
        <v>17</v>
      </c>
      <c r="D4538" t="s">
        <v>4082</v>
      </c>
      <c r="E4538" t="s">
        <v>4084</v>
      </c>
      <c r="F4538" t="s">
        <v>4076</v>
      </c>
    </row>
    <row r="4539" spans="1:6" x14ac:dyDescent="0.25">
      <c r="A4539">
        <v>4026</v>
      </c>
      <c r="B4539" t="s">
        <v>4072</v>
      </c>
      <c r="C4539">
        <v>5</v>
      </c>
      <c r="D4539" t="s">
        <v>4087</v>
      </c>
      <c r="E4539" t="s">
        <v>4088</v>
      </c>
      <c r="F4539" t="s">
        <v>4075</v>
      </c>
    </row>
    <row r="4540" spans="1:6" x14ac:dyDescent="0.25">
      <c r="A4540">
        <v>4026</v>
      </c>
      <c r="B4540" t="s">
        <v>4072</v>
      </c>
      <c r="C4540">
        <v>15</v>
      </c>
      <c r="D4540" t="s">
        <v>4080</v>
      </c>
      <c r="E4540" t="s">
        <v>4081</v>
      </c>
      <c r="F4540" t="s">
        <v>4076</v>
      </c>
    </row>
    <row r="4541" spans="1:6" x14ac:dyDescent="0.25">
      <c r="A4541">
        <v>4027</v>
      </c>
      <c r="B4541" t="s">
        <v>4072</v>
      </c>
      <c r="C4541">
        <v>4</v>
      </c>
      <c r="D4541" t="s">
        <v>4077</v>
      </c>
      <c r="E4541" t="s">
        <v>4078</v>
      </c>
      <c r="F4541" t="s">
        <v>4075</v>
      </c>
    </row>
    <row r="4542" spans="1:6" x14ac:dyDescent="0.25">
      <c r="A4542">
        <v>4027</v>
      </c>
      <c r="B4542" t="s">
        <v>4072</v>
      </c>
      <c r="C4542">
        <v>16</v>
      </c>
      <c r="D4542" t="s">
        <v>4077</v>
      </c>
      <c r="E4542" t="s">
        <v>4078</v>
      </c>
      <c r="F4542" t="s">
        <v>4076</v>
      </c>
    </row>
    <row r="4543" spans="1:6" x14ac:dyDescent="0.25">
      <c r="A4543">
        <v>4028</v>
      </c>
      <c r="B4543" t="s">
        <v>4072</v>
      </c>
      <c r="C4543">
        <v>4</v>
      </c>
      <c r="D4543" t="s">
        <v>4077</v>
      </c>
      <c r="E4543" t="s">
        <v>4078</v>
      </c>
      <c r="F4543" t="s">
        <v>4075</v>
      </c>
    </row>
    <row r="4544" spans="1:6" x14ac:dyDescent="0.25">
      <c r="A4544">
        <v>4028</v>
      </c>
      <c r="B4544" t="s">
        <v>4072</v>
      </c>
      <c r="C4544">
        <v>16</v>
      </c>
      <c r="D4544" t="s">
        <v>4077</v>
      </c>
      <c r="E4544" t="s">
        <v>4078</v>
      </c>
      <c r="F4544" t="s">
        <v>4076</v>
      </c>
    </row>
    <row r="4545" spans="1:6" x14ac:dyDescent="0.25">
      <c r="A4545">
        <v>4029</v>
      </c>
      <c r="B4545" t="s">
        <v>4072</v>
      </c>
      <c r="C4545">
        <v>4</v>
      </c>
      <c r="D4545" t="s">
        <v>4077</v>
      </c>
      <c r="E4545" t="s">
        <v>4078</v>
      </c>
      <c r="F4545" t="s">
        <v>4075</v>
      </c>
    </row>
    <row r="4546" spans="1:6" x14ac:dyDescent="0.25">
      <c r="A4546">
        <v>4029</v>
      </c>
      <c r="B4546" t="s">
        <v>4072</v>
      </c>
      <c r="C4546">
        <v>16</v>
      </c>
      <c r="D4546" t="s">
        <v>4077</v>
      </c>
      <c r="E4546" t="s">
        <v>4078</v>
      </c>
      <c r="F4546" t="s">
        <v>4076</v>
      </c>
    </row>
    <row r="4547" spans="1:6" x14ac:dyDescent="0.25">
      <c r="A4547">
        <v>4030</v>
      </c>
      <c r="B4547" t="s">
        <v>4072</v>
      </c>
      <c r="C4547">
        <v>4</v>
      </c>
      <c r="D4547" t="s">
        <v>4077</v>
      </c>
      <c r="E4547" t="s">
        <v>4078</v>
      </c>
      <c r="F4547" t="s">
        <v>4075</v>
      </c>
    </row>
    <row r="4548" spans="1:6" x14ac:dyDescent="0.25">
      <c r="A4548">
        <v>4030</v>
      </c>
      <c r="B4548" t="s">
        <v>4072</v>
      </c>
      <c r="C4548">
        <v>16</v>
      </c>
      <c r="D4548" t="s">
        <v>4077</v>
      </c>
      <c r="E4548" t="s">
        <v>4078</v>
      </c>
      <c r="F4548" t="s">
        <v>4076</v>
      </c>
    </row>
    <row r="4549" spans="1:6" x14ac:dyDescent="0.25">
      <c r="A4549">
        <v>4031</v>
      </c>
      <c r="B4549" t="s">
        <v>4072</v>
      </c>
      <c r="C4549">
        <v>19</v>
      </c>
      <c r="D4549" t="s">
        <v>4073</v>
      </c>
      <c r="E4549" t="s">
        <v>4074</v>
      </c>
      <c r="F4549" t="s">
        <v>4076</v>
      </c>
    </row>
    <row r="4550" spans="1:6" x14ac:dyDescent="0.25">
      <c r="A4550">
        <v>4032</v>
      </c>
      <c r="B4550" t="s">
        <v>4092</v>
      </c>
      <c r="C4550">
        <v>24</v>
      </c>
      <c r="D4550" t="s">
        <v>2760</v>
      </c>
      <c r="E4550" t="s">
        <v>4108</v>
      </c>
      <c r="F4550" t="s">
        <v>4075</v>
      </c>
    </row>
    <row r="4551" spans="1:6" x14ac:dyDescent="0.25">
      <c r="A4551">
        <v>4032</v>
      </c>
      <c r="B4551" t="s">
        <v>4092</v>
      </c>
      <c r="C4551">
        <v>29</v>
      </c>
      <c r="D4551" t="s">
        <v>2760</v>
      </c>
      <c r="E4551" t="s">
        <v>4108</v>
      </c>
      <c r="F4551" t="s">
        <v>4076</v>
      </c>
    </row>
    <row r="4552" spans="1:6" x14ac:dyDescent="0.25">
      <c r="A4552">
        <v>4033</v>
      </c>
      <c r="B4552" t="s">
        <v>4072</v>
      </c>
      <c r="C4552">
        <v>5</v>
      </c>
      <c r="D4552" t="s">
        <v>4087</v>
      </c>
      <c r="E4552" t="s">
        <v>4088</v>
      </c>
      <c r="F4552" t="s">
        <v>4075</v>
      </c>
    </row>
    <row r="4553" spans="1:6" x14ac:dyDescent="0.25">
      <c r="A4553">
        <v>4033</v>
      </c>
      <c r="B4553" t="s">
        <v>4072</v>
      </c>
      <c r="C4553">
        <v>15</v>
      </c>
      <c r="D4553" t="s">
        <v>4080</v>
      </c>
      <c r="E4553" t="s">
        <v>4081</v>
      </c>
      <c r="F4553" t="s">
        <v>4076</v>
      </c>
    </row>
    <row r="4554" spans="1:6" x14ac:dyDescent="0.25">
      <c r="A4554">
        <v>4034</v>
      </c>
      <c r="B4554" t="s">
        <v>4072</v>
      </c>
      <c r="C4554">
        <v>6</v>
      </c>
      <c r="D4554" t="s">
        <v>4073</v>
      </c>
      <c r="E4554" t="s">
        <v>4074</v>
      </c>
      <c r="F4554" t="s">
        <v>4075</v>
      </c>
    </row>
    <row r="4555" spans="1:6" x14ac:dyDescent="0.25">
      <c r="A4555">
        <v>4034</v>
      </c>
      <c r="B4555" t="s">
        <v>4072</v>
      </c>
      <c r="C4555">
        <v>19</v>
      </c>
      <c r="D4555" t="s">
        <v>4073</v>
      </c>
      <c r="E4555" t="s">
        <v>4074</v>
      </c>
      <c r="F4555" t="s">
        <v>4076</v>
      </c>
    </row>
    <row r="4556" spans="1:6" x14ac:dyDescent="0.25">
      <c r="A4556">
        <v>4035</v>
      </c>
      <c r="B4556" t="s">
        <v>4072</v>
      </c>
      <c r="C4556">
        <v>2</v>
      </c>
      <c r="D4556" t="s">
        <v>4082</v>
      </c>
      <c r="E4556" t="s">
        <v>4083</v>
      </c>
      <c r="F4556" t="s">
        <v>4075</v>
      </c>
    </row>
    <row r="4557" spans="1:6" x14ac:dyDescent="0.25">
      <c r="A4557">
        <v>4035</v>
      </c>
      <c r="B4557" t="s">
        <v>4072</v>
      </c>
      <c r="C4557">
        <v>17</v>
      </c>
      <c r="D4557" t="s">
        <v>4082</v>
      </c>
      <c r="E4557" t="s">
        <v>4084</v>
      </c>
      <c r="F4557" t="s">
        <v>4076</v>
      </c>
    </row>
    <row r="4558" spans="1:6" x14ac:dyDescent="0.25">
      <c r="A4558">
        <v>4036</v>
      </c>
      <c r="B4558" t="s">
        <v>4072</v>
      </c>
      <c r="C4558">
        <v>6</v>
      </c>
      <c r="D4558" t="s">
        <v>4073</v>
      </c>
      <c r="E4558" t="s">
        <v>4074</v>
      </c>
      <c r="F4558" t="s">
        <v>4075</v>
      </c>
    </row>
    <row r="4559" spans="1:6" x14ac:dyDescent="0.25">
      <c r="A4559">
        <v>4036</v>
      </c>
      <c r="B4559" t="s">
        <v>4072</v>
      </c>
      <c r="C4559">
        <v>19</v>
      </c>
      <c r="D4559" t="s">
        <v>4073</v>
      </c>
      <c r="E4559" t="s">
        <v>4074</v>
      </c>
      <c r="F4559" t="s">
        <v>4076</v>
      </c>
    </row>
    <row r="4560" spans="1:6" x14ac:dyDescent="0.25">
      <c r="A4560">
        <v>4037</v>
      </c>
      <c r="B4560" t="s">
        <v>4072</v>
      </c>
      <c r="C4560">
        <v>10</v>
      </c>
      <c r="D4560" t="s">
        <v>4095</v>
      </c>
      <c r="E4560" t="s">
        <v>4096</v>
      </c>
      <c r="F4560" t="s">
        <v>4075</v>
      </c>
    </row>
    <row r="4561" spans="1:6" x14ac:dyDescent="0.25">
      <c r="A4561">
        <v>4038</v>
      </c>
      <c r="B4561" t="s">
        <v>4072</v>
      </c>
      <c r="C4561">
        <v>6</v>
      </c>
      <c r="D4561" t="s">
        <v>4073</v>
      </c>
      <c r="E4561" t="s">
        <v>4074</v>
      </c>
      <c r="F4561" t="s">
        <v>4075</v>
      </c>
    </row>
    <row r="4562" spans="1:6" x14ac:dyDescent="0.25">
      <c r="A4562">
        <v>4038</v>
      </c>
      <c r="B4562" t="s">
        <v>4072</v>
      </c>
      <c r="C4562">
        <v>19</v>
      </c>
      <c r="D4562" t="s">
        <v>4073</v>
      </c>
      <c r="E4562" t="s">
        <v>4074</v>
      </c>
      <c r="F4562" t="s">
        <v>4076</v>
      </c>
    </row>
    <row r="4563" spans="1:6" x14ac:dyDescent="0.25">
      <c r="A4563">
        <v>4039</v>
      </c>
      <c r="B4563" t="s">
        <v>4092</v>
      </c>
      <c r="C4563">
        <v>33</v>
      </c>
      <c r="D4563" t="s">
        <v>4109</v>
      </c>
      <c r="E4563" t="s">
        <v>4110</v>
      </c>
      <c r="F4563" t="s">
        <v>4075</v>
      </c>
    </row>
    <row r="4564" spans="1:6" x14ac:dyDescent="0.25">
      <c r="A4564">
        <v>4039</v>
      </c>
      <c r="B4564" t="s">
        <v>4092</v>
      </c>
      <c r="C4564">
        <v>34</v>
      </c>
      <c r="D4564" t="s">
        <v>4109</v>
      </c>
      <c r="E4564" t="s">
        <v>4110</v>
      </c>
      <c r="F4564" t="s">
        <v>4076</v>
      </c>
    </row>
    <row r="4565" spans="1:6" x14ac:dyDescent="0.25">
      <c r="A4565">
        <v>4040</v>
      </c>
      <c r="B4565" t="s">
        <v>4092</v>
      </c>
      <c r="C4565">
        <v>33</v>
      </c>
      <c r="D4565" t="s">
        <v>4109</v>
      </c>
      <c r="E4565" t="s">
        <v>4110</v>
      </c>
      <c r="F4565" t="s">
        <v>4075</v>
      </c>
    </row>
    <row r="4566" spans="1:6" x14ac:dyDescent="0.25">
      <c r="A4566">
        <v>4040</v>
      </c>
      <c r="B4566" t="s">
        <v>4092</v>
      </c>
      <c r="C4566">
        <v>34</v>
      </c>
      <c r="D4566" t="s">
        <v>4109</v>
      </c>
      <c r="E4566" t="s">
        <v>4110</v>
      </c>
      <c r="F4566" t="s">
        <v>4076</v>
      </c>
    </row>
    <row r="4567" spans="1:6" x14ac:dyDescent="0.25">
      <c r="A4567">
        <v>4043</v>
      </c>
      <c r="B4567" t="s">
        <v>4072</v>
      </c>
      <c r="C4567">
        <v>19</v>
      </c>
      <c r="D4567" t="s">
        <v>4073</v>
      </c>
      <c r="E4567" t="s">
        <v>4074</v>
      </c>
      <c r="F4567" t="s">
        <v>4076</v>
      </c>
    </row>
    <row r="4568" spans="1:6" x14ac:dyDescent="0.25">
      <c r="A4568">
        <v>4043</v>
      </c>
      <c r="B4568" t="s">
        <v>4072</v>
      </c>
      <c r="C4568">
        <v>39</v>
      </c>
      <c r="D4568" t="s">
        <v>4073</v>
      </c>
      <c r="E4568" t="s">
        <v>4074</v>
      </c>
      <c r="F4568" t="s">
        <v>4079</v>
      </c>
    </row>
    <row r="4569" spans="1:6" x14ac:dyDescent="0.25">
      <c r="A4569">
        <v>4046</v>
      </c>
      <c r="B4569" t="s">
        <v>4072</v>
      </c>
      <c r="C4569">
        <v>5</v>
      </c>
      <c r="D4569" t="s">
        <v>4087</v>
      </c>
      <c r="E4569" t="s">
        <v>4088</v>
      </c>
      <c r="F4569" t="s">
        <v>4075</v>
      </c>
    </row>
    <row r="4570" spans="1:6" x14ac:dyDescent="0.25">
      <c r="A4570">
        <v>4046</v>
      </c>
      <c r="B4570" t="s">
        <v>4072</v>
      </c>
      <c r="C4570">
        <v>15</v>
      </c>
      <c r="D4570" t="s">
        <v>4080</v>
      </c>
      <c r="E4570" t="s">
        <v>4081</v>
      </c>
      <c r="F4570" t="s">
        <v>4076</v>
      </c>
    </row>
    <row r="4571" spans="1:6" x14ac:dyDescent="0.25">
      <c r="A4571">
        <v>4047</v>
      </c>
      <c r="B4571" t="s">
        <v>4092</v>
      </c>
      <c r="C4571">
        <v>24</v>
      </c>
      <c r="D4571" t="s">
        <v>2760</v>
      </c>
      <c r="E4571" t="s">
        <v>4108</v>
      </c>
      <c r="F4571" t="s">
        <v>4075</v>
      </c>
    </row>
    <row r="4572" spans="1:6" x14ac:dyDescent="0.25">
      <c r="A4572">
        <v>4047</v>
      </c>
      <c r="B4572" t="s">
        <v>4092</v>
      </c>
      <c r="C4572">
        <v>29</v>
      </c>
      <c r="D4572" t="s">
        <v>2760</v>
      </c>
      <c r="E4572" t="s">
        <v>4108</v>
      </c>
      <c r="F4572" t="s">
        <v>4076</v>
      </c>
    </row>
    <row r="4573" spans="1:6" x14ac:dyDescent="0.25">
      <c r="A4573">
        <v>4047</v>
      </c>
      <c r="B4573" t="s">
        <v>4092</v>
      </c>
      <c r="C4573">
        <v>49</v>
      </c>
      <c r="D4573" t="s">
        <v>2760</v>
      </c>
      <c r="E4573" t="s">
        <v>4108</v>
      </c>
      <c r="F4573" t="s">
        <v>4079</v>
      </c>
    </row>
    <row r="4574" spans="1:6" x14ac:dyDescent="0.25">
      <c r="A4574">
        <v>4050</v>
      </c>
      <c r="B4574" t="s">
        <v>4072</v>
      </c>
      <c r="C4574">
        <v>5</v>
      </c>
      <c r="D4574" t="s">
        <v>4087</v>
      </c>
      <c r="E4574" t="s">
        <v>4088</v>
      </c>
      <c r="F4574" t="s">
        <v>4075</v>
      </c>
    </row>
    <row r="4575" spans="1:6" x14ac:dyDescent="0.25">
      <c r="A4575">
        <v>4050</v>
      </c>
      <c r="B4575" t="s">
        <v>4072</v>
      </c>
      <c r="C4575">
        <v>15</v>
      </c>
      <c r="D4575" t="s">
        <v>4080</v>
      </c>
      <c r="E4575" t="s">
        <v>4081</v>
      </c>
      <c r="F4575" t="s">
        <v>4076</v>
      </c>
    </row>
    <row r="4576" spans="1:6" x14ac:dyDescent="0.25">
      <c r="A4576">
        <v>4050</v>
      </c>
      <c r="B4576" t="s">
        <v>4072</v>
      </c>
      <c r="C4576">
        <v>40</v>
      </c>
      <c r="D4576" t="s">
        <v>4080</v>
      </c>
      <c r="E4576" t="s">
        <v>4081</v>
      </c>
      <c r="F4576" t="s">
        <v>4079</v>
      </c>
    </row>
    <row r="4577" spans="1:6" x14ac:dyDescent="0.25">
      <c r="A4577">
        <v>4052</v>
      </c>
      <c r="B4577" t="s">
        <v>4072</v>
      </c>
      <c r="C4577">
        <v>3</v>
      </c>
      <c r="D4577" t="s">
        <v>4085</v>
      </c>
      <c r="E4577" t="s">
        <v>4086</v>
      </c>
      <c r="F4577" t="s">
        <v>4075</v>
      </c>
    </row>
    <row r="4578" spans="1:6" x14ac:dyDescent="0.25">
      <c r="A4578">
        <v>4052</v>
      </c>
      <c r="B4578" t="s">
        <v>4072</v>
      </c>
      <c r="C4578">
        <v>15</v>
      </c>
      <c r="D4578" t="s">
        <v>4080</v>
      </c>
      <c r="E4578" t="s">
        <v>4081</v>
      </c>
      <c r="F4578" t="s">
        <v>4076</v>
      </c>
    </row>
    <row r="4579" spans="1:6" x14ac:dyDescent="0.25">
      <c r="A4579">
        <v>4052</v>
      </c>
      <c r="B4579" t="s">
        <v>4072</v>
      </c>
      <c r="C4579">
        <v>40</v>
      </c>
      <c r="D4579" t="s">
        <v>4080</v>
      </c>
      <c r="E4579" t="s">
        <v>4081</v>
      </c>
      <c r="F4579" t="s">
        <v>4079</v>
      </c>
    </row>
    <row r="4580" spans="1:6" x14ac:dyDescent="0.25">
      <c r="A4580">
        <v>4053</v>
      </c>
      <c r="B4580" t="s">
        <v>4072</v>
      </c>
      <c r="C4580">
        <v>4</v>
      </c>
      <c r="D4580" t="s">
        <v>4077</v>
      </c>
      <c r="E4580" t="s">
        <v>4078</v>
      </c>
      <c r="F4580" t="s">
        <v>4075</v>
      </c>
    </row>
    <row r="4581" spans="1:6" x14ac:dyDescent="0.25">
      <c r="A4581">
        <v>4053</v>
      </c>
      <c r="B4581" t="s">
        <v>4072</v>
      </c>
      <c r="C4581">
        <v>16</v>
      </c>
      <c r="D4581" t="s">
        <v>4077</v>
      </c>
      <c r="E4581" t="s">
        <v>4078</v>
      </c>
      <c r="F4581" t="s">
        <v>4076</v>
      </c>
    </row>
    <row r="4582" spans="1:6" x14ac:dyDescent="0.25">
      <c r="A4582">
        <v>4053</v>
      </c>
      <c r="B4582" t="s">
        <v>4072</v>
      </c>
      <c r="C4582">
        <v>44</v>
      </c>
      <c r="D4582" t="s">
        <v>4077</v>
      </c>
      <c r="E4582" t="s">
        <v>4078</v>
      </c>
      <c r="F4582" t="s">
        <v>4079</v>
      </c>
    </row>
    <row r="4583" spans="1:6" x14ac:dyDescent="0.25">
      <c r="A4583">
        <v>4054</v>
      </c>
      <c r="B4583" t="s">
        <v>4072</v>
      </c>
      <c r="C4583">
        <v>5</v>
      </c>
      <c r="D4583" t="s">
        <v>4087</v>
      </c>
      <c r="E4583" t="s">
        <v>4088</v>
      </c>
      <c r="F4583" t="s">
        <v>4075</v>
      </c>
    </row>
    <row r="4584" spans="1:6" x14ac:dyDescent="0.25">
      <c r="A4584">
        <v>4054</v>
      </c>
      <c r="B4584" t="s">
        <v>4072</v>
      </c>
      <c r="C4584">
        <v>15</v>
      </c>
      <c r="D4584" t="s">
        <v>4080</v>
      </c>
      <c r="E4584" t="s">
        <v>4081</v>
      </c>
      <c r="F4584" t="s">
        <v>4076</v>
      </c>
    </row>
    <row r="4585" spans="1:6" x14ac:dyDescent="0.25">
      <c r="A4585">
        <v>4054</v>
      </c>
      <c r="B4585" t="s">
        <v>4072</v>
      </c>
      <c r="C4585">
        <v>40</v>
      </c>
      <c r="D4585" t="s">
        <v>4080</v>
      </c>
      <c r="E4585" t="s">
        <v>4081</v>
      </c>
      <c r="F4585" t="s">
        <v>4079</v>
      </c>
    </row>
    <row r="4586" spans="1:6" x14ac:dyDescent="0.25">
      <c r="A4586">
        <v>4055</v>
      </c>
      <c r="B4586" t="s">
        <v>4072</v>
      </c>
      <c r="C4586">
        <v>5</v>
      </c>
      <c r="D4586" t="s">
        <v>4087</v>
      </c>
      <c r="E4586" t="s">
        <v>4088</v>
      </c>
      <c r="F4586" t="s">
        <v>4075</v>
      </c>
    </row>
    <row r="4587" spans="1:6" x14ac:dyDescent="0.25">
      <c r="A4587">
        <v>4055</v>
      </c>
      <c r="B4587" t="s">
        <v>4072</v>
      </c>
      <c r="C4587">
        <v>15</v>
      </c>
      <c r="D4587" t="s">
        <v>4080</v>
      </c>
      <c r="E4587" t="s">
        <v>4081</v>
      </c>
      <c r="F4587" t="s">
        <v>4076</v>
      </c>
    </row>
    <row r="4588" spans="1:6" x14ac:dyDescent="0.25">
      <c r="A4588">
        <v>4055</v>
      </c>
      <c r="B4588" t="s">
        <v>4072</v>
      </c>
      <c r="C4588">
        <v>40</v>
      </c>
      <c r="D4588" t="s">
        <v>4080</v>
      </c>
      <c r="E4588" t="s">
        <v>4081</v>
      </c>
      <c r="F4588" t="s">
        <v>4079</v>
      </c>
    </row>
    <row r="4589" spans="1:6" x14ac:dyDescent="0.25">
      <c r="A4589">
        <v>4056</v>
      </c>
      <c r="B4589" t="s">
        <v>4072</v>
      </c>
      <c r="C4589">
        <v>2</v>
      </c>
      <c r="D4589" t="s">
        <v>4082</v>
      </c>
      <c r="E4589" t="s">
        <v>4083</v>
      </c>
      <c r="F4589" t="s">
        <v>4075</v>
      </c>
    </row>
    <row r="4590" spans="1:6" x14ac:dyDescent="0.25">
      <c r="A4590">
        <v>4056</v>
      </c>
      <c r="B4590" t="s">
        <v>4072</v>
      </c>
      <c r="C4590">
        <v>17</v>
      </c>
      <c r="D4590" t="s">
        <v>4082</v>
      </c>
      <c r="E4590" t="s">
        <v>4084</v>
      </c>
      <c r="F4590" t="s">
        <v>4076</v>
      </c>
    </row>
    <row r="4591" spans="1:6" x14ac:dyDescent="0.25">
      <c r="A4591">
        <v>4056</v>
      </c>
      <c r="B4591" t="s">
        <v>4072</v>
      </c>
      <c r="C4591">
        <v>42</v>
      </c>
      <c r="D4591" t="s">
        <v>4082</v>
      </c>
      <c r="E4591" t="s">
        <v>4083</v>
      </c>
      <c r="F4591" t="s">
        <v>4079</v>
      </c>
    </row>
    <row r="4592" spans="1:6" x14ac:dyDescent="0.25">
      <c r="A4592">
        <v>4057</v>
      </c>
      <c r="B4592" t="s">
        <v>4072</v>
      </c>
      <c r="C4592">
        <v>2</v>
      </c>
      <c r="D4592" t="s">
        <v>4082</v>
      </c>
      <c r="E4592" t="s">
        <v>4083</v>
      </c>
      <c r="F4592" t="s">
        <v>4075</v>
      </c>
    </row>
    <row r="4593" spans="1:6" x14ac:dyDescent="0.25">
      <c r="A4593">
        <v>4057</v>
      </c>
      <c r="B4593" t="s">
        <v>4072</v>
      </c>
      <c r="C4593">
        <v>17</v>
      </c>
      <c r="D4593" t="s">
        <v>4082</v>
      </c>
      <c r="E4593" t="s">
        <v>4084</v>
      </c>
      <c r="F4593" t="s">
        <v>4076</v>
      </c>
    </row>
    <row r="4594" spans="1:6" x14ac:dyDescent="0.25">
      <c r="A4594">
        <v>4057</v>
      </c>
      <c r="B4594" t="s">
        <v>4072</v>
      </c>
      <c r="C4594">
        <v>42</v>
      </c>
      <c r="D4594" t="s">
        <v>4082</v>
      </c>
      <c r="E4594" t="s">
        <v>4083</v>
      </c>
      <c r="F4594" t="s">
        <v>4079</v>
      </c>
    </row>
    <row r="4595" spans="1:6" x14ac:dyDescent="0.25">
      <c r="A4595">
        <v>4058</v>
      </c>
      <c r="B4595" t="s">
        <v>4072</v>
      </c>
      <c r="C4595">
        <v>2</v>
      </c>
      <c r="D4595" t="s">
        <v>4082</v>
      </c>
      <c r="E4595" t="s">
        <v>4083</v>
      </c>
      <c r="F4595" t="s">
        <v>4075</v>
      </c>
    </row>
    <row r="4596" spans="1:6" x14ac:dyDescent="0.25">
      <c r="A4596">
        <v>4058</v>
      </c>
      <c r="B4596" t="s">
        <v>4072</v>
      </c>
      <c r="C4596">
        <v>17</v>
      </c>
      <c r="D4596" t="s">
        <v>4082</v>
      </c>
      <c r="E4596" t="s">
        <v>4084</v>
      </c>
      <c r="F4596" t="s">
        <v>4076</v>
      </c>
    </row>
    <row r="4597" spans="1:6" x14ac:dyDescent="0.25">
      <c r="A4597">
        <v>4058</v>
      </c>
      <c r="B4597" t="s">
        <v>4072</v>
      </c>
      <c r="C4597">
        <v>42</v>
      </c>
      <c r="D4597" t="s">
        <v>4082</v>
      </c>
      <c r="E4597" t="s">
        <v>4083</v>
      </c>
      <c r="F4597" t="s">
        <v>4079</v>
      </c>
    </row>
    <row r="4598" spans="1:6" x14ac:dyDescent="0.25">
      <c r="A4598">
        <v>4059</v>
      </c>
      <c r="B4598" t="s">
        <v>4072</v>
      </c>
      <c r="C4598">
        <v>6</v>
      </c>
      <c r="D4598" t="s">
        <v>4073</v>
      </c>
      <c r="E4598" t="s">
        <v>4074</v>
      </c>
      <c r="F4598" t="s">
        <v>4075</v>
      </c>
    </row>
    <row r="4599" spans="1:6" x14ac:dyDescent="0.25">
      <c r="A4599">
        <v>4059</v>
      </c>
      <c r="B4599" t="s">
        <v>4072</v>
      </c>
      <c r="C4599">
        <v>19</v>
      </c>
      <c r="D4599" t="s">
        <v>4073</v>
      </c>
      <c r="E4599" t="s">
        <v>4074</v>
      </c>
      <c r="F4599" t="s">
        <v>4076</v>
      </c>
    </row>
    <row r="4600" spans="1:6" x14ac:dyDescent="0.25">
      <c r="A4600">
        <v>4059</v>
      </c>
      <c r="B4600" t="s">
        <v>4072</v>
      </c>
      <c r="C4600">
        <v>39</v>
      </c>
      <c r="D4600" t="s">
        <v>4073</v>
      </c>
      <c r="E4600" t="s">
        <v>4074</v>
      </c>
      <c r="F4600" t="s">
        <v>4079</v>
      </c>
    </row>
    <row r="4601" spans="1:6" x14ac:dyDescent="0.25">
      <c r="A4601">
        <v>4060</v>
      </c>
      <c r="B4601" t="s">
        <v>4092</v>
      </c>
      <c r="C4601">
        <v>33</v>
      </c>
      <c r="D4601" t="s">
        <v>4109</v>
      </c>
      <c r="E4601" t="s">
        <v>4110</v>
      </c>
      <c r="F4601" t="s">
        <v>4075</v>
      </c>
    </row>
    <row r="4602" spans="1:6" x14ac:dyDescent="0.25">
      <c r="A4602">
        <v>4060</v>
      </c>
      <c r="B4602" t="s">
        <v>4092</v>
      </c>
      <c r="C4602">
        <v>34</v>
      </c>
      <c r="D4602" t="s">
        <v>4109</v>
      </c>
      <c r="E4602" t="s">
        <v>4110</v>
      </c>
      <c r="F4602" t="s">
        <v>4076</v>
      </c>
    </row>
    <row r="4603" spans="1:6" x14ac:dyDescent="0.25">
      <c r="A4603">
        <v>4060</v>
      </c>
      <c r="B4603" t="s">
        <v>4092</v>
      </c>
      <c r="C4603">
        <v>51</v>
      </c>
      <c r="D4603" t="s">
        <v>4109</v>
      </c>
      <c r="E4603" t="s">
        <v>4111</v>
      </c>
      <c r="F4603" t="s">
        <v>4079</v>
      </c>
    </row>
    <row r="4604" spans="1:6" x14ac:dyDescent="0.25">
      <c r="A4604">
        <v>4061</v>
      </c>
      <c r="B4604" t="s">
        <v>4092</v>
      </c>
      <c r="C4604">
        <v>23</v>
      </c>
      <c r="D4604" t="s">
        <v>2757</v>
      </c>
      <c r="E4604" t="s">
        <v>4093</v>
      </c>
      <c r="F4604" t="s">
        <v>4075</v>
      </c>
    </row>
    <row r="4605" spans="1:6" x14ac:dyDescent="0.25">
      <c r="A4605">
        <v>4061</v>
      </c>
      <c r="B4605" t="s">
        <v>4092</v>
      </c>
      <c r="C4605">
        <v>28</v>
      </c>
      <c r="D4605" t="s">
        <v>2757</v>
      </c>
      <c r="E4605" t="s">
        <v>4093</v>
      </c>
      <c r="F4605" t="s">
        <v>4076</v>
      </c>
    </row>
    <row r="4606" spans="1:6" x14ac:dyDescent="0.25">
      <c r="A4606">
        <v>4061</v>
      </c>
      <c r="B4606" t="s">
        <v>4092</v>
      </c>
      <c r="C4606">
        <v>33</v>
      </c>
      <c r="D4606" t="s">
        <v>4109</v>
      </c>
      <c r="E4606" t="s">
        <v>4110</v>
      </c>
      <c r="F4606" t="s">
        <v>4075</v>
      </c>
    </row>
    <row r="4607" spans="1:6" x14ac:dyDescent="0.25">
      <c r="A4607">
        <v>4061</v>
      </c>
      <c r="B4607" t="s">
        <v>4092</v>
      </c>
      <c r="C4607">
        <v>34</v>
      </c>
      <c r="D4607" t="s">
        <v>4109</v>
      </c>
      <c r="E4607" t="s">
        <v>4110</v>
      </c>
      <c r="F4607" t="s">
        <v>4076</v>
      </c>
    </row>
    <row r="4608" spans="1:6" x14ac:dyDescent="0.25">
      <c r="A4608">
        <v>4061</v>
      </c>
      <c r="B4608" t="s">
        <v>4092</v>
      </c>
      <c r="C4608">
        <v>48</v>
      </c>
      <c r="D4608" t="s">
        <v>2757</v>
      </c>
      <c r="E4608" t="s">
        <v>4093</v>
      </c>
      <c r="F4608" t="s">
        <v>4079</v>
      </c>
    </row>
    <row r="4609" spans="1:6" x14ac:dyDescent="0.25">
      <c r="A4609">
        <v>4061</v>
      </c>
      <c r="B4609" t="s">
        <v>4092</v>
      </c>
      <c r="C4609">
        <v>51</v>
      </c>
      <c r="D4609" t="s">
        <v>4109</v>
      </c>
      <c r="E4609" t="s">
        <v>4111</v>
      </c>
      <c r="F4609" t="s">
        <v>4079</v>
      </c>
    </row>
    <row r="4610" spans="1:6" x14ac:dyDescent="0.25">
      <c r="A4610">
        <v>4062</v>
      </c>
      <c r="B4610" t="s">
        <v>4072</v>
      </c>
      <c r="C4610">
        <v>6</v>
      </c>
      <c r="D4610" t="s">
        <v>4073</v>
      </c>
      <c r="E4610" t="s">
        <v>4074</v>
      </c>
      <c r="F4610" t="s">
        <v>4075</v>
      </c>
    </row>
    <row r="4611" spans="1:6" x14ac:dyDescent="0.25">
      <c r="A4611">
        <v>4062</v>
      </c>
      <c r="B4611" t="s">
        <v>4072</v>
      </c>
      <c r="C4611">
        <v>19</v>
      </c>
      <c r="D4611" t="s">
        <v>4073</v>
      </c>
      <c r="E4611" t="s">
        <v>4074</v>
      </c>
      <c r="F4611" t="s">
        <v>4076</v>
      </c>
    </row>
    <row r="4612" spans="1:6" x14ac:dyDescent="0.25">
      <c r="A4612">
        <v>4063</v>
      </c>
      <c r="B4612" t="s">
        <v>4072</v>
      </c>
      <c r="C4612">
        <v>5</v>
      </c>
      <c r="D4612" t="s">
        <v>4087</v>
      </c>
      <c r="E4612" t="s">
        <v>4088</v>
      </c>
      <c r="F4612" t="s">
        <v>4075</v>
      </c>
    </row>
    <row r="4613" spans="1:6" x14ac:dyDescent="0.25">
      <c r="A4613">
        <v>4063</v>
      </c>
      <c r="B4613" t="s">
        <v>4072</v>
      </c>
      <c r="C4613">
        <v>15</v>
      </c>
      <c r="D4613" t="s">
        <v>4080</v>
      </c>
      <c r="E4613" t="s">
        <v>4081</v>
      </c>
      <c r="F4613" t="s">
        <v>4076</v>
      </c>
    </row>
    <row r="4614" spans="1:6" x14ac:dyDescent="0.25">
      <c r="A4614">
        <v>4064</v>
      </c>
      <c r="B4614" t="s">
        <v>4072</v>
      </c>
      <c r="C4614">
        <v>10</v>
      </c>
      <c r="D4614" t="s">
        <v>4095</v>
      </c>
      <c r="E4614" t="s">
        <v>4096</v>
      </c>
      <c r="F4614" t="s">
        <v>4075</v>
      </c>
    </row>
    <row r="4615" spans="1:6" x14ac:dyDescent="0.25">
      <c r="A4615">
        <v>4064</v>
      </c>
      <c r="B4615" t="s">
        <v>4072</v>
      </c>
      <c r="C4615">
        <v>13</v>
      </c>
      <c r="D4615" t="s">
        <v>4097</v>
      </c>
      <c r="E4615" t="s">
        <v>4098</v>
      </c>
      <c r="F4615" t="s">
        <v>4076</v>
      </c>
    </row>
    <row r="4616" spans="1:6" x14ac:dyDescent="0.25">
      <c r="A4616">
        <v>4065</v>
      </c>
      <c r="B4616" t="s">
        <v>4072</v>
      </c>
      <c r="C4616">
        <v>2</v>
      </c>
      <c r="D4616" t="s">
        <v>4082</v>
      </c>
      <c r="E4616" t="s">
        <v>4083</v>
      </c>
      <c r="F4616" t="s">
        <v>4075</v>
      </c>
    </row>
    <row r="4617" spans="1:6" x14ac:dyDescent="0.25">
      <c r="A4617">
        <v>4065</v>
      </c>
      <c r="B4617" t="s">
        <v>4072</v>
      </c>
      <c r="C4617">
        <v>17</v>
      </c>
      <c r="D4617" t="s">
        <v>4082</v>
      </c>
      <c r="E4617" t="s">
        <v>4084</v>
      </c>
      <c r="F4617" t="s">
        <v>4076</v>
      </c>
    </row>
    <row r="4618" spans="1:6" x14ac:dyDescent="0.25">
      <c r="A4618">
        <v>4066</v>
      </c>
      <c r="B4618" t="s">
        <v>4072</v>
      </c>
      <c r="C4618">
        <v>3</v>
      </c>
      <c r="D4618" t="s">
        <v>4085</v>
      </c>
      <c r="E4618" t="s">
        <v>4086</v>
      </c>
      <c r="F4618" t="s">
        <v>4075</v>
      </c>
    </row>
    <row r="4619" spans="1:6" x14ac:dyDescent="0.25">
      <c r="A4619">
        <v>4066</v>
      </c>
      <c r="B4619" t="s">
        <v>4072</v>
      </c>
      <c r="C4619">
        <v>13</v>
      </c>
      <c r="D4619" t="s">
        <v>4097</v>
      </c>
      <c r="E4619" t="s">
        <v>4098</v>
      </c>
      <c r="F4619" t="s">
        <v>4076</v>
      </c>
    </row>
    <row r="4620" spans="1:6" x14ac:dyDescent="0.25">
      <c r="A4620">
        <v>4067</v>
      </c>
      <c r="B4620" t="s">
        <v>4072</v>
      </c>
      <c r="C4620">
        <v>5</v>
      </c>
      <c r="D4620" t="s">
        <v>4087</v>
      </c>
      <c r="E4620" t="s">
        <v>4088</v>
      </c>
      <c r="F4620" t="s">
        <v>4075</v>
      </c>
    </row>
    <row r="4621" spans="1:6" x14ac:dyDescent="0.25">
      <c r="A4621">
        <v>4067</v>
      </c>
      <c r="B4621" t="s">
        <v>4072</v>
      </c>
      <c r="C4621">
        <v>15</v>
      </c>
      <c r="D4621" t="s">
        <v>4080</v>
      </c>
      <c r="E4621" t="s">
        <v>4081</v>
      </c>
      <c r="F4621" t="s">
        <v>4076</v>
      </c>
    </row>
    <row r="4622" spans="1:6" x14ac:dyDescent="0.25">
      <c r="A4622">
        <v>4067</v>
      </c>
      <c r="B4622" t="s">
        <v>4072</v>
      </c>
      <c r="C4622">
        <v>40</v>
      </c>
      <c r="D4622" t="s">
        <v>4080</v>
      </c>
      <c r="E4622" t="s">
        <v>4081</v>
      </c>
      <c r="F4622" t="s">
        <v>4079</v>
      </c>
    </row>
    <row r="4623" spans="1:6" x14ac:dyDescent="0.25">
      <c r="A4623">
        <v>4068</v>
      </c>
      <c r="B4623" t="s">
        <v>4072</v>
      </c>
      <c r="C4623">
        <v>5</v>
      </c>
      <c r="D4623" t="s">
        <v>4087</v>
      </c>
      <c r="E4623" t="s">
        <v>4088</v>
      </c>
      <c r="F4623" t="s">
        <v>4075</v>
      </c>
    </row>
    <row r="4624" spans="1:6" x14ac:dyDescent="0.25">
      <c r="A4624">
        <v>4068</v>
      </c>
      <c r="B4624" t="s">
        <v>4072</v>
      </c>
      <c r="C4624">
        <v>15</v>
      </c>
      <c r="D4624" t="s">
        <v>4080</v>
      </c>
      <c r="E4624" t="s">
        <v>4081</v>
      </c>
      <c r="F4624" t="s">
        <v>4076</v>
      </c>
    </row>
    <row r="4625" spans="1:6" x14ac:dyDescent="0.25">
      <c r="A4625">
        <v>4069</v>
      </c>
      <c r="B4625" t="s">
        <v>4072</v>
      </c>
      <c r="C4625">
        <v>5</v>
      </c>
      <c r="D4625" t="s">
        <v>4087</v>
      </c>
      <c r="E4625" t="s">
        <v>4088</v>
      </c>
      <c r="F4625" t="s">
        <v>4075</v>
      </c>
    </row>
    <row r="4626" spans="1:6" x14ac:dyDescent="0.25">
      <c r="A4626">
        <v>4069</v>
      </c>
      <c r="B4626" t="s">
        <v>4072</v>
      </c>
      <c r="C4626">
        <v>15</v>
      </c>
      <c r="D4626" t="s">
        <v>4080</v>
      </c>
      <c r="E4626" t="s">
        <v>4081</v>
      </c>
      <c r="F4626" t="s">
        <v>4076</v>
      </c>
    </row>
    <row r="4627" spans="1:6" x14ac:dyDescent="0.25">
      <c r="A4627">
        <v>4069</v>
      </c>
      <c r="B4627" t="s">
        <v>4072</v>
      </c>
      <c r="C4627">
        <v>40</v>
      </c>
      <c r="D4627" t="s">
        <v>4080</v>
      </c>
      <c r="E4627" t="s">
        <v>4081</v>
      </c>
      <c r="F4627" t="s">
        <v>4079</v>
      </c>
    </row>
    <row r="4628" spans="1:6" x14ac:dyDescent="0.25">
      <c r="A4628">
        <v>4075</v>
      </c>
      <c r="B4628" t="s">
        <v>4092</v>
      </c>
      <c r="C4628">
        <v>23</v>
      </c>
      <c r="D4628" t="s">
        <v>2757</v>
      </c>
      <c r="E4628" t="s">
        <v>4093</v>
      </c>
      <c r="F4628" t="s">
        <v>4075</v>
      </c>
    </row>
    <row r="4629" spans="1:6" x14ac:dyDescent="0.25">
      <c r="A4629">
        <v>4075</v>
      </c>
      <c r="B4629" t="s">
        <v>4092</v>
      </c>
      <c r="C4629">
        <v>28</v>
      </c>
      <c r="D4629" t="s">
        <v>2757</v>
      </c>
      <c r="E4629" t="s">
        <v>4093</v>
      </c>
      <c r="F4629" t="s">
        <v>4076</v>
      </c>
    </row>
    <row r="4630" spans="1:6" x14ac:dyDescent="0.25">
      <c r="A4630">
        <v>4075</v>
      </c>
      <c r="B4630" t="s">
        <v>4092</v>
      </c>
      <c r="C4630">
        <v>48</v>
      </c>
      <c r="D4630" t="s">
        <v>2757</v>
      </c>
      <c r="E4630" t="s">
        <v>4093</v>
      </c>
      <c r="F4630" t="s">
        <v>4079</v>
      </c>
    </row>
    <row r="4631" spans="1:6" x14ac:dyDescent="0.25">
      <c r="A4631">
        <v>4076</v>
      </c>
      <c r="B4631" t="s">
        <v>4072</v>
      </c>
      <c r="C4631">
        <v>6</v>
      </c>
      <c r="D4631" t="s">
        <v>4073</v>
      </c>
      <c r="E4631" t="s">
        <v>4074</v>
      </c>
      <c r="F4631" t="s">
        <v>4075</v>
      </c>
    </row>
    <row r="4632" spans="1:6" x14ac:dyDescent="0.25">
      <c r="A4632">
        <v>4076</v>
      </c>
      <c r="B4632" t="s">
        <v>4072</v>
      </c>
      <c r="C4632">
        <v>19</v>
      </c>
      <c r="D4632" t="s">
        <v>4073</v>
      </c>
      <c r="E4632" t="s">
        <v>4074</v>
      </c>
      <c r="F4632" t="s">
        <v>4076</v>
      </c>
    </row>
    <row r="4633" spans="1:6" x14ac:dyDescent="0.25">
      <c r="A4633">
        <v>4076</v>
      </c>
      <c r="B4633" t="s">
        <v>4072</v>
      </c>
      <c r="C4633">
        <v>39</v>
      </c>
      <c r="D4633" t="s">
        <v>4073</v>
      </c>
      <c r="E4633" t="s">
        <v>4074</v>
      </c>
      <c r="F4633" t="s">
        <v>4079</v>
      </c>
    </row>
    <row r="4634" spans="1:6" x14ac:dyDescent="0.25">
      <c r="A4634">
        <v>4077</v>
      </c>
      <c r="B4634" t="s">
        <v>4072</v>
      </c>
      <c r="C4634">
        <v>4</v>
      </c>
      <c r="D4634" t="s">
        <v>4077</v>
      </c>
      <c r="E4634" t="s">
        <v>4078</v>
      </c>
      <c r="F4634" t="s">
        <v>4075</v>
      </c>
    </row>
    <row r="4635" spans="1:6" x14ac:dyDescent="0.25">
      <c r="A4635">
        <v>4077</v>
      </c>
      <c r="B4635" t="s">
        <v>4072</v>
      </c>
      <c r="C4635">
        <v>16</v>
      </c>
      <c r="D4635" t="s">
        <v>4077</v>
      </c>
      <c r="E4635" t="s">
        <v>4078</v>
      </c>
      <c r="F4635" t="s">
        <v>4076</v>
      </c>
    </row>
    <row r="4636" spans="1:6" x14ac:dyDescent="0.25">
      <c r="A4636">
        <v>4077</v>
      </c>
      <c r="B4636" t="s">
        <v>4072</v>
      </c>
      <c r="C4636">
        <v>44</v>
      </c>
      <c r="D4636" t="s">
        <v>4077</v>
      </c>
      <c r="E4636" t="s">
        <v>4078</v>
      </c>
      <c r="F4636" t="s">
        <v>4079</v>
      </c>
    </row>
    <row r="4637" spans="1:6" x14ac:dyDescent="0.25">
      <c r="A4637">
        <v>4078</v>
      </c>
      <c r="B4637" t="s">
        <v>4072</v>
      </c>
      <c r="C4637">
        <v>2</v>
      </c>
      <c r="D4637" t="s">
        <v>4082</v>
      </c>
      <c r="E4637" t="s">
        <v>4083</v>
      </c>
      <c r="F4637" t="s">
        <v>4075</v>
      </c>
    </row>
    <row r="4638" spans="1:6" x14ac:dyDescent="0.25">
      <c r="A4638">
        <v>4078</v>
      </c>
      <c r="B4638" t="s">
        <v>4072</v>
      </c>
      <c r="C4638">
        <v>17</v>
      </c>
      <c r="D4638" t="s">
        <v>4082</v>
      </c>
      <c r="E4638" t="s">
        <v>4084</v>
      </c>
      <c r="F4638" t="s">
        <v>4076</v>
      </c>
    </row>
    <row r="4639" spans="1:6" x14ac:dyDescent="0.25">
      <c r="A4639">
        <v>4078</v>
      </c>
      <c r="B4639" t="s">
        <v>4072</v>
      </c>
      <c r="C4639">
        <v>42</v>
      </c>
      <c r="D4639" t="s">
        <v>4082</v>
      </c>
      <c r="E4639" t="s">
        <v>4083</v>
      </c>
      <c r="F4639" t="s">
        <v>4079</v>
      </c>
    </row>
    <row r="4640" spans="1:6" x14ac:dyDescent="0.25">
      <c r="A4640">
        <v>4079</v>
      </c>
      <c r="B4640" t="s">
        <v>4072</v>
      </c>
      <c r="C4640">
        <v>5</v>
      </c>
      <c r="D4640" t="s">
        <v>4087</v>
      </c>
      <c r="E4640" t="s">
        <v>4088</v>
      </c>
      <c r="F4640" t="s">
        <v>4075</v>
      </c>
    </row>
    <row r="4641" spans="1:6" x14ac:dyDescent="0.25">
      <c r="A4641">
        <v>4079</v>
      </c>
      <c r="B4641" t="s">
        <v>4072</v>
      </c>
      <c r="C4641">
        <v>15</v>
      </c>
      <c r="D4641" t="s">
        <v>4080</v>
      </c>
      <c r="E4641" t="s">
        <v>4081</v>
      </c>
      <c r="F4641" t="s">
        <v>4076</v>
      </c>
    </row>
    <row r="4642" spans="1:6" x14ac:dyDescent="0.25">
      <c r="A4642">
        <v>4079</v>
      </c>
      <c r="B4642" t="s">
        <v>4072</v>
      </c>
      <c r="C4642">
        <v>40</v>
      </c>
      <c r="D4642" t="s">
        <v>4080</v>
      </c>
      <c r="E4642" t="s">
        <v>4081</v>
      </c>
      <c r="F4642" t="s">
        <v>4079</v>
      </c>
    </row>
    <row r="4643" spans="1:6" x14ac:dyDescent="0.25">
      <c r="A4643">
        <v>4080</v>
      </c>
      <c r="B4643" t="s">
        <v>4072</v>
      </c>
      <c r="C4643">
        <v>6</v>
      </c>
      <c r="D4643" t="s">
        <v>4073</v>
      </c>
      <c r="E4643" t="s">
        <v>4074</v>
      </c>
      <c r="F4643" t="s">
        <v>4075</v>
      </c>
    </row>
    <row r="4644" spans="1:6" x14ac:dyDescent="0.25">
      <c r="A4644">
        <v>4080</v>
      </c>
      <c r="B4644" t="s">
        <v>4072</v>
      </c>
      <c r="C4644">
        <v>19</v>
      </c>
      <c r="D4644" t="s">
        <v>4073</v>
      </c>
      <c r="E4644" t="s">
        <v>4074</v>
      </c>
      <c r="F4644" t="s">
        <v>4076</v>
      </c>
    </row>
    <row r="4645" spans="1:6" x14ac:dyDescent="0.25">
      <c r="A4645">
        <v>4081</v>
      </c>
      <c r="B4645" t="s">
        <v>4092</v>
      </c>
      <c r="C4645">
        <v>23</v>
      </c>
      <c r="D4645" t="s">
        <v>2757</v>
      </c>
      <c r="E4645" t="s">
        <v>4093</v>
      </c>
      <c r="F4645" t="s">
        <v>4075</v>
      </c>
    </row>
    <row r="4646" spans="1:6" x14ac:dyDescent="0.25">
      <c r="A4646">
        <v>4081</v>
      </c>
      <c r="B4646" t="s">
        <v>4092</v>
      </c>
      <c r="C4646">
        <v>28</v>
      </c>
      <c r="D4646" t="s">
        <v>2757</v>
      </c>
      <c r="E4646" t="s">
        <v>4093</v>
      </c>
      <c r="F4646" t="s">
        <v>4076</v>
      </c>
    </row>
    <row r="4647" spans="1:6" x14ac:dyDescent="0.25">
      <c r="A4647">
        <v>4082</v>
      </c>
      <c r="B4647" t="s">
        <v>4072</v>
      </c>
      <c r="C4647">
        <v>4</v>
      </c>
      <c r="D4647" t="s">
        <v>4077</v>
      </c>
      <c r="E4647" t="s">
        <v>4078</v>
      </c>
      <c r="F4647" t="s">
        <v>4075</v>
      </c>
    </row>
    <row r="4648" spans="1:6" x14ac:dyDescent="0.25">
      <c r="A4648">
        <v>4082</v>
      </c>
      <c r="B4648" t="s">
        <v>4072</v>
      </c>
      <c r="C4648">
        <v>16</v>
      </c>
      <c r="D4648" t="s">
        <v>4077</v>
      </c>
      <c r="E4648" t="s">
        <v>4078</v>
      </c>
      <c r="F4648" t="s">
        <v>4076</v>
      </c>
    </row>
    <row r="4649" spans="1:6" x14ac:dyDescent="0.25">
      <c r="A4649">
        <v>4084</v>
      </c>
      <c r="B4649" t="s">
        <v>4072</v>
      </c>
      <c r="C4649">
        <v>6</v>
      </c>
      <c r="D4649" t="s">
        <v>4073</v>
      </c>
      <c r="E4649" t="s">
        <v>4074</v>
      </c>
      <c r="F4649" t="s">
        <v>4075</v>
      </c>
    </row>
    <row r="4650" spans="1:6" x14ac:dyDescent="0.25">
      <c r="A4650">
        <v>4084</v>
      </c>
      <c r="B4650" t="s">
        <v>4072</v>
      </c>
      <c r="C4650">
        <v>19</v>
      </c>
      <c r="D4650" t="s">
        <v>4073</v>
      </c>
      <c r="E4650" t="s">
        <v>4074</v>
      </c>
      <c r="F4650" t="s">
        <v>4076</v>
      </c>
    </row>
    <row r="4651" spans="1:6" x14ac:dyDescent="0.25">
      <c r="A4651">
        <v>4085</v>
      </c>
      <c r="B4651" t="s">
        <v>4072</v>
      </c>
      <c r="C4651">
        <v>4</v>
      </c>
      <c r="D4651" t="s">
        <v>4077</v>
      </c>
      <c r="E4651" t="s">
        <v>4078</v>
      </c>
      <c r="F4651" t="s">
        <v>4075</v>
      </c>
    </row>
    <row r="4652" spans="1:6" x14ac:dyDescent="0.25">
      <c r="A4652">
        <v>4085</v>
      </c>
      <c r="B4652" t="s">
        <v>4072</v>
      </c>
      <c r="C4652">
        <v>16</v>
      </c>
      <c r="D4652" t="s">
        <v>4077</v>
      </c>
      <c r="E4652" t="s">
        <v>4078</v>
      </c>
      <c r="F4652" t="s">
        <v>4076</v>
      </c>
    </row>
    <row r="4653" spans="1:6" x14ac:dyDescent="0.25">
      <c r="A4653">
        <v>4086</v>
      </c>
      <c r="B4653" t="s">
        <v>4072</v>
      </c>
      <c r="C4653">
        <v>5</v>
      </c>
      <c r="D4653" t="s">
        <v>4087</v>
      </c>
      <c r="E4653" t="s">
        <v>4088</v>
      </c>
      <c r="F4653" t="s">
        <v>4075</v>
      </c>
    </row>
    <row r="4654" spans="1:6" x14ac:dyDescent="0.25">
      <c r="A4654">
        <v>4086</v>
      </c>
      <c r="B4654" t="s">
        <v>4072</v>
      </c>
      <c r="C4654">
        <v>15</v>
      </c>
      <c r="D4654" t="s">
        <v>4080</v>
      </c>
      <c r="E4654" t="s">
        <v>4081</v>
      </c>
      <c r="F4654" t="s">
        <v>4076</v>
      </c>
    </row>
    <row r="4655" spans="1:6" x14ac:dyDescent="0.25">
      <c r="A4655">
        <v>4087</v>
      </c>
      <c r="B4655" t="s">
        <v>4072</v>
      </c>
      <c r="C4655">
        <v>6</v>
      </c>
      <c r="D4655" t="s">
        <v>4073</v>
      </c>
      <c r="E4655" t="s">
        <v>4074</v>
      </c>
      <c r="F4655" t="s">
        <v>4075</v>
      </c>
    </row>
    <row r="4656" spans="1:6" x14ac:dyDescent="0.25">
      <c r="A4656">
        <v>4087</v>
      </c>
      <c r="B4656" t="s">
        <v>4072</v>
      </c>
      <c r="C4656">
        <v>19</v>
      </c>
      <c r="D4656" t="s">
        <v>4073</v>
      </c>
      <c r="E4656" t="s">
        <v>4074</v>
      </c>
      <c r="F4656" t="s">
        <v>4076</v>
      </c>
    </row>
    <row r="4657" spans="1:6" x14ac:dyDescent="0.25">
      <c r="A4657">
        <v>4088</v>
      </c>
      <c r="B4657" t="s">
        <v>4072</v>
      </c>
      <c r="C4657">
        <v>3</v>
      </c>
      <c r="D4657" t="s">
        <v>4085</v>
      </c>
      <c r="E4657" t="s">
        <v>4086</v>
      </c>
      <c r="F4657" t="s">
        <v>4075</v>
      </c>
    </row>
    <row r="4658" spans="1:6" x14ac:dyDescent="0.25">
      <c r="A4658">
        <v>4088</v>
      </c>
      <c r="B4658" t="s">
        <v>4072</v>
      </c>
      <c r="C4658">
        <v>15</v>
      </c>
      <c r="D4658" t="s">
        <v>4080</v>
      </c>
      <c r="E4658" t="s">
        <v>4081</v>
      </c>
      <c r="F4658" t="s">
        <v>4076</v>
      </c>
    </row>
    <row r="4659" spans="1:6" x14ac:dyDescent="0.25">
      <c r="A4659">
        <v>4089</v>
      </c>
      <c r="B4659" t="s">
        <v>4072</v>
      </c>
      <c r="C4659">
        <v>5</v>
      </c>
      <c r="D4659" t="s">
        <v>4087</v>
      </c>
      <c r="E4659" t="s">
        <v>4088</v>
      </c>
      <c r="F4659" t="s">
        <v>4075</v>
      </c>
    </row>
    <row r="4660" spans="1:6" x14ac:dyDescent="0.25">
      <c r="A4660">
        <v>4089</v>
      </c>
      <c r="B4660" t="s">
        <v>4072</v>
      </c>
      <c r="C4660">
        <v>15</v>
      </c>
      <c r="D4660" t="s">
        <v>4080</v>
      </c>
      <c r="E4660" t="s">
        <v>4081</v>
      </c>
      <c r="F4660" t="s">
        <v>4076</v>
      </c>
    </row>
    <row r="4661" spans="1:6" x14ac:dyDescent="0.25">
      <c r="A4661">
        <v>4089</v>
      </c>
      <c r="B4661" t="s">
        <v>4072</v>
      </c>
      <c r="C4661">
        <v>40</v>
      </c>
      <c r="D4661" t="s">
        <v>4080</v>
      </c>
      <c r="E4661" t="s">
        <v>4081</v>
      </c>
      <c r="F4661" t="s">
        <v>4079</v>
      </c>
    </row>
    <row r="4662" spans="1:6" x14ac:dyDescent="0.25">
      <c r="A4662">
        <v>4090</v>
      </c>
      <c r="B4662" t="s">
        <v>4072</v>
      </c>
      <c r="C4662">
        <v>3</v>
      </c>
      <c r="D4662" t="s">
        <v>4085</v>
      </c>
      <c r="E4662" t="s">
        <v>4086</v>
      </c>
      <c r="F4662" t="s">
        <v>4075</v>
      </c>
    </row>
    <row r="4663" spans="1:6" x14ac:dyDescent="0.25">
      <c r="A4663">
        <v>4090</v>
      </c>
      <c r="B4663" t="s">
        <v>4072</v>
      </c>
      <c r="C4663">
        <v>15</v>
      </c>
      <c r="D4663" t="s">
        <v>4080</v>
      </c>
      <c r="E4663" t="s">
        <v>4081</v>
      </c>
      <c r="F4663" t="s">
        <v>4076</v>
      </c>
    </row>
    <row r="4664" spans="1:6" x14ac:dyDescent="0.25">
      <c r="A4664">
        <v>4090</v>
      </c>
      <c r="B4664" t="s">
        <v>4072</v>
      </c>
      <c r="C4664">
        <v>40</v>
      </c>
      <c r="D4664" t="s">
        <v>4080</v>
      </c>
      <c r="E4664" t="s">
        <v>4081</v>
      </c>
      <c r="F4664" t="s">
        <v>4079</v>
      </c>
    </row>
    <row r="4665" spans="1:6" x14ac:dyDescent="0.25">
      <c r="A4665">
        <v>4091</v>
      </c>
      <c r="B4665" t="s">
        <v>4072</v>
      </c>
      <c r="C4665">
        <v>4</v>
      </c>
      <c r="D4665" t="s">
        <v>4077</v>
      </c>
      <c r="E4665" t="s">
        <v>4078</v>
      </c>
      <c r="F4665" t="s">
        <v>4075</v>
      </c>
    </row>
    <row r="4666" spans="1:6" x14ac:dyDescent="0.25">
      <c r="A4666">
        <v>4091</v>
      </c>
      <c r="B4666" t="s">
        <v>4072</v>
      </c>
      <c r="C4666">
        <v>16</v>
      </c>
      <c r="D4666" t="s">
        <v>4077</v>
      </c>
      <c r="E4666" t="s">
        <v>4078</v>
      </c>
      <c r="F4666" t="s">
        <v>4076</v>
      </c>
    </row>
    <row r="4667" spans="1:6" x14ac:dyDescent="0.25">
      <c r="A4667">
        <v>4091</v>
      </c>
      <c r="B4667" t="s">
        <v>4072</v>
      </c>
      <c r="C4667">
        <v>44</v>
      </c>
      <c r="D4667" t="s">
        <v>4077</v>
      </c>
      <c r="E4667" t="s">
        <v>4078</v>
      </c>
      <c r="F4667" t="s">
        <v>4079</v>
      </c>
    </row>
    <row r="4668" spans="1:6" x14ac:dyDescent="0.25">
      <c r="A4668">
        <v>4092</v>
      </c>
      <c r="B4668" t="s">
        <v>4072</v>
      </c>
      <c r="C4668">
        <v>14</v>
      </c>
      <c r="D4668" t="s">
        <v>4090</v>
      </c>
      <c r="E4668" t="s">
        <v>4091</v>
      </c>
      <c r="F4668" t="s">
        <v>4076</v>
      </c>
    </row>
    <row r="4669" spans="1:6" x14ac:dyDescent="0.25">
      <c r="A4669">
        <v>4092</v>
      </c>
      <c r="B4669" t="s">
        <v>4072</v>
      </c>
      <c r="C4669">
        <v>37</v>
      </c>
      <c r="D4669" t="s">
        <v>2398</v>
      </c>
      <c r="E4669" t="s">
        <v>4101</v>
      </c>
      <c r="F4669" t="s">
        <v>4075</v>
      </c>
    </row>
    <row r="4670" spans="1:6" x14ac:dyDescent="0.25">
      <c r="A4670">
        <v>4092</v>
      </c>
      <c r="B4670" t="s">
        <v>4072</v>
      </c>
      <c r="C4670">
        <v>41</v>
      </c>
      <c r="D4670" t="s">
        <v>4090</v>
      </c>
      <c r="E4670" t="s">
        <v>4091</v>
      </c>
      <c r="F4670" t="s">
        <v>4079</v>
      </c>
    </row>
    <row r="4671" spans="1:6" x14ac:dyDescent="0.25">
      <c r="A4671">
        <v>4093</v>
      </c>
      <c r="B4671" t="s">
        <v>4072</v>
      </c>
      <c r="C4671">
        <v>6</v>
      </c>
      <c r="D4671" t="s">
        <v>4073</v>
      </c>
      <c r="E4671" t="s">
        <v>4074</v>
      </c>
      <c r="F4671" t="s">
        <v>4075</v>
      </c>
    </row>
    <row r="4672" spans="1:6" x14ac:dyDescent="0.25">
      <c r="A4672">
        <v>4093</v>
      </c>
      <c r="B4672" t="s">
        <v>4072</v>
      </c>
      <c r="C4672">
        <v>19</v>
      </c>
      <c r="D4672" t="s">
        <v>4073</v>
      </c>
      <c r="E4672" t="s">
        <v>4074</v>
      </c>
      <c r="F4672" t="s">
        <v>4076</v>
      </c>
    </row>
    <row r="4673" spans="1:6" x14ac:dyDescent="0.25">
      <c r="A4673">
        <v>4093</v>
      </c>
      <c r="B4673" t="s">
        <v>4072</v>
      </c>
      <c r="C4673">
        <v>39</v>
      </c>
      <c r="D4673" t="s">
        <v>4073</v>
      </c>
      <c r="E4673" t="s">
        <v>4074</v>
      </c>
      <c r="F4673" t="s">
        <v>4079</v>
      </c>
    </row>
    <row r="4674" spans="1:6" x14ac:dyDescent="0.25">
      <c r="A4674">
        <v>4094</v>
      </c>
      <c r="B4674" t="s">
        <v>4072</v>
      </c>
      <c r="C4674">
        <v>19</v>
      </c>
      <c r="D4674" t="s">
        <v>4073</v>
      </c>
      <c r="E4674" t="s">
        <v>4074</v>
      </c>
      <c r="F4674" t="s">
        <v>4076</v>
      </c>
    </row>
    <row r="4675" spans="1:6" x14ac:dyDescent="0.25">
      <c r="A4675">
        <v>4094</v>
      </c>
      <c r="B4675" t="s">
        <v>4072</v>
      </c>
      <c r="C4675">
        <v>39</v>
      </c>
      <c r="D4675" t="s">
        <v>4073</v>
      </c>
      <c r="E4675" t="s">
        <v>4074</v>
      </c>
      <c r="F4675" t="s">
        <v>4079</v>
      </c>
    </row>
    <row r="4676" spans="1:6" x14ac:dyDescent="0.25">
      <c r="A4676">
        <v>4095</v>
      </c>
      <c r="B4676" t="s">
        <v>4072</v>
      </c>
      <c r="C4676">
        <v>2</v>
      </c>
      <c r="D4676" t="s">
        <v>4082</v>
      </c>
      <c r="E4676" t="s">
        <v>4083</v>
      </c>
      <c r="F4676" t="s">
        <v>4075</v>
      </c>
    </row>
    <row r="4677" spans="1:6" x14ac:dyDescent="0.25">
      <c r="A4677">
        <v>4095</v>
      </c>
      <c r="B4677" t="s">
        <v>4072</v>
      </c>
      <c r="C4677">
        <v>17</v>
      </c>
      <c r="D4677" t="s">
        <v>4082</v>
      </c>
      <c r="E4677" t="s">
        <v>4084</v>
      </c>
      <c r="F4677" t="s">
        <v>4076</v>
      </c>
    </row>
    <row r="4678" spans="1:6" x14ac:dyDescent="0.25">
      <c r="A4678">
        <v>4095</v>
      </c>
      <c r="B4678" t="s">
        <v>4072</v>
      </c>
      <c r="C4678">
        <v>42</v>
      </c>
      <c r="D4678" t="s">
        <v>4082</v>
      </c>
      <c r="E4678" t="s">
        <v>4083</v>
      </c>
      <c r="F4678" t="s">
        <v>4079</v>
      </c>
    </row>
    <row r="4679" spans="1:6" x14ac:dyDescent="0.25">
      <c r="A4679">
        <v>4096</v>
      </c>
      <c r="B4679" t="s">
        <v>4072</v>
      </c>
      <c r="C4679">
        <v>1</v>
      </c>
      <c r="D4679" t="s">
        <v>2761</v>
      </c>
      <c r="E4679" t="s">
        <v>4089</v>
      </c>
      <c r="F4679" t="s">
        <v>4075</v>
      </c>
    </row>
    <row r="4680" spans="1:6" x14ac:dyDescent="0.25">
      <c r="A4680">
        <v>4096</v>
      </c>
      <c r="B4680" t="s">
        <v>4072</v>
      </c>
      <c r="C4680">
        <v>17</v>
      </c>
      <c r="D4680" t="s">
        <v>4082</v>
      </c>
      <c r="E4680" t="s">
        <v>4084</v>
      </c>
      <c r="F4680" t="s">
        <v>4076</v>
      </c>
    </row>
    <row r="4681" spans="1:6" x14ac:dyDescent="0.25">
      <c r="A4681">
        <v>4096</v>
      </c>
      <c r="B4681" t="s">
        <v>4072</v>
      </c>
      <c r="C4681">
        <v>42</v>
      </c>
      <c r="D4681" t="s">
        <v>4082</v>
      </c>
      <c r="E4681" t="s">
        <v>4083</v>
      </c>
      <c r="F4681" t="s">
        <v>4079</v>
      </c>
    </row>
    <row r="4682" spans="1:6" x14ac:dyDescent="0.25">
      <c r="A4682">
        <v>4097</v>
      </c>
      <c r="B4682" t="s">
        <v>4072</v>
      </c>
      <c r="C4682">
        <v>6</v>
      </c>
      <c r="D4682" t="s">
        <v>4073</v>
      </c>
      <c r="E4682" t="s">
        <v>4074</v>
      </c>
      <c r="F4682" t="s">
        <v>4075</v>
      </c>
    </row>
    <row r="4683" spans="1:6" x14ac:dyDescent="0.25">
      <c r="A4683">
        <v>4097</v>
      </c>
      <c r="B4683" t="s">
        <v>4072</v>
      </c>
      <c r="C4683">
        <v>19</v>
      </c>
      <c r="D4683" t="s">
        <v>4073</v>
      </c>
      <c r="E4683" t="s">
        <v>4074</v>
      </c>
      <c r="F4683" t="s">
        <v>4076</v>
      </c>
    </row>
    <row r="4684" spans="1:6" x14ac:dyDescent="0.25">
      <c r="A4684">
        <v>4097</v>
      </c>
      <c r="B4684" t="s">
        <v>4072</v>
      </c>
      <c r="C4684">
        <v>39</v>
      </c>
      <c r="D4684" t="s">
        <v>4073</v>
      </c>
      <c r="E4684" t="s">
        <v>4074</v>
      </c>
      <c r="F4684" t="s">
        <v>4079</v>
      </c>
    </row>
    <row r="4685" spans="1:6" x14ac:dyDescent="0.25">
      <c r="A4685">
        <v>4098</v>
      </c>
      <c r="B4685" t="s">
        <v>4092</v>
      </c>
      <c r="C4685">
        <v>23</v>
      </c>
      <c r="D4685" t="s">
        <v>2757</v>
      </c>
      <c r="E4685" t="s">
        <v>4093</v>
      </c>
      <c r="F4685" t="s">
        <v>4075</v>
      </c>
    </row>
    <row r="4686" spans="1:6" x14ac:dyDescent="0.25">
      <c r="A4686">
        <v>4098</v>
      </c>
      <c r="B4686" t="s">
        <v>4092</v>
      </c>
      <c r="C4686">
        <v>28</v>
      </c>
      <c r="D4686" t="s">
        <v>2757</v>
      </c>
      <c r="E4686" t="s">
        <v>4093</v>
      </c>
      <c r="F4686" t="s">
        <v>4076</v>
      </c>
    </row>
    <row r="4687" spans="1:6" x14ac:dyDescent="0.25">
      <c r="A4687">
        <v>4098</v>
      </c>
      <c r="B4687" t="s">
        <v>4092</v>
      </c>
      <c r="C4687">
        <v>48</v>
      </c>
      <c r="D4687" t="s">
        <v>2757</v>
      </c>
      <c r="E4687" t="s">
        <v>4093</v>
      </c>
      <c r="F4687" t="s">
        <v>4079</v>
      </c>
    </row>
    <row r="4688" spans="1:6" x14ac:dyDescent="0.25">
      <c r="A4688">
        <v>4099</v>
      </c>
      <c r="B4688" t="s">
        <v>4092</v>
      </c>
      <c r="C4688">
        <v>33</v>
      </c>
      <c r="D4688" t="s">
        <v>4109</v>
      </c>
      <c r="E4688" t="s">
        <v>4110</v>
      </c>
      <c r="F4688" t="s">
        <v>4075</v>
      </c>
    </row>
    <row r="4689" spans="1:6" x14ac:dyDescent="0.25">
      <c r="A4689">
        <v>4099</v>
      </c>
      <c r="B4689" t="s">
        <v>4092</v>
      </c>
      <c r="C4689">
        <v>34</v>
      </c>
      <c r="D4689" t="s">
        <v>4109</v>
      </c>
      <c r="E4689" t="s">
        <v>4110</v>
      </c>
      <c r="F4689" t="s">
        <v>4076</v>
      </c>
    </row>
    <row r="4690" spans="1:6" x14ac:dyDescent="0.25">
      <c r="A4690">
        <v>4099</v>
      </c>
      <c r="B4690" t="s">
        <v>4092</v>
      </c>
      <c r="C4690">
        <v>51</v>
      </c>
      <c r="D4690" t="s">
        <v>4109</v>
      </c>
      <c r="E4690" t="s">
        <v>4111</v>
      </c>
      <c r="F4690" t="s">
        <v>4079</v>
      </c>
    </row>
    <row r="4691" spans="1:6" x14ac:dyDescent="0.25">
      <c r="A4691">
        <v>4100</v>
      </c>
      <c r="B4691" t="s">
        <v>4072</v>
      </c>
      <c r="C4691">
        <v>6</v>
      </c>
      <c r="D4691" t="s">
        <v>4073</v>
      </c>
      <c r="E4691" t="s">
        <v>4074</v>
      </c>
      <c r="F4691" t="s">
        <v>4075</v>
      </c>
    </row>
    <row r="4692" spans="1:6" x14ac:dyDescent="0.25">
      <c r="A4692">
        <v>4100</v>
      </c>
      <c r="B4692" t="s">
        <v>4072</v>
      </c>
      <c r="C4692">
        <v>19</v>
      </c>
      <c r="D4692" t="s">
        <v>4073</v>
      </c>
      <c r="E4692" t="s">
        <v>4074</v>
      </c>
      <c r="F4692" t="s">
        <v>4076</v>
      </c>
    </row>
    <row r="4693" spans="1:6" x14ac:dyDescent="0.25">
      <c r="A4693">
        <v>4100</v>
      </c>
      <c r="B4693" t="s">
        <v>4072</v>
      </c>
      <c r="C4693">
        <v>39</v>
      </c>
      <c r="D4693" t="s">
        <v>4073</v>
      </c>
      <c r="E4693" t="s">
        <v>4074</v>
      </c>
      <c r="F4693" t="s">
        <v>4079</v>
      </c>
    </row>
    <row r="4694" spans="1:6" x14ac:dyDescent="0.25">
      <c r="A4694">
        <v>4102</v>
      </c>
      <c r="B4694" t="s">
        <v>4072</v>
      </c>
      <c r="C4694">
        <v>10</v>
      </c>
      <c r="D4694" t="s">
        <v>4095</v>
      </c>
      <c r="E4694" t="s">
        <v>4096</v>
      </c>
      <c r="F4694" t="s">
        <v>4075</v>
      </c>
    </row>
    <row r="4695" spans="1:6" x14ac:dyDescent="0.25">
      <c r="A4695">
        <v>4103</v>
      </c>
      <c r="B4695" t="s">
        <v>4072</v>
      </c>
      <c r="C4695">
        <v>5</v>
      </c>
      <c r="D4695" t="s">
        <v>4087</v>
      </c>
      <c r="E4695" t="s">
        <v>4088</v>
      </c>
      <c r="F4695" t="s">
        <v>4075</v>
      </c>
    </row>
    <row r="4696" spans="1:6" x14ac:dyDescent="0.25">
      <c r="A4696">
        <v>4103</v>
      </c>
      <c r="B4696" t="s">
        <v>4072</v>
      </c>
      <c r="C4696">
        <v>15</v>
      </c>
      <c r="D4696" t="s">
        <v>4080</v>
      </c>
      <c r="E4696" t="s">
        <v>4081</v>
      </c>
      <c r="F4696" t="s">
        <v>4076</v>
      </c>
    </row>
    <row r="4697" spans="1:6" x14ac:dyDescent="0.25">
      <c r="A4697">
        <v>4104</v>
      </c>
      <c r="B4697" t="s">
        <v>4072</v>
      </c>
      <c r="C4697">
        <v>4</v>
      </c>
      <c r="D4697" t="s">
        <v>4077</v>
      </c>
      <c r="E4697" t="s">
        <v>4078</v>
      </c>
      <c r="F4697" t="s">
        <v>4075</v>
      </c>
    </row>
    <row r="4698" spans="1:6" x14ac:dyDescent="0.25">
      <c r="A4698">
        <v>4104</v>
      </c>
      <c r="B4698" t="s">
        <v>4072</v>
      </c>
      <c r="C4698">
        <v>16</v>
      </c>
      <c r="D4698" t="s">
        <v>4077</v>
      </c>
      <c r="E4698" t="s">
        <v>4078</v>
      </c>
      <c r="F4698" t="s">
        <v>4076</v>
      </c>
    </row>
    <row r="4699" spans="1:6" x14ac:dyDescent="0.25">
      <c r="A4699">
        <v>4105</v>
      </c>
      <c r="B4699" t="s">
        <v>4072</v>
      </c>
      <c r="C4699">
        <v>4</v>
      </c>
      <c r="D4699" t="s">
        <v>4077</v>
      </c>
      <c r="E4699" t="s">
        <v>4078</v>
      </c>
      <c r="F4699" t="s">
        <v>4075</v>
      </c>
    </row>
    <row r="4700" spans="1:6" x14ac:dyDescent="0.25">
      <c r="A4700">
        <v>4105</v>
      </c>
      <c r="B4700" t="s">
        <v>4072</v>
      </c>
      <c r="C4700">
        <v>16</v>
      </c>
      <c r="D4700" t="s">
        <v>4077</v>
      </c>
      <c r="E4700" t="s">
        <v>4078</v>
      </c>
      <c r="F4700" t="s">
        <v>4076</v>
      </c>
    </row>
    <row r="4701" spans="1:6" x14ac:dyDescent="0.25">
      <c r="A4701">
        <v>4106</v>
      </c>
      <c r="B4701" t="s">
        <v>4072</v>
      </c>
      <c r="C4701">
        <v>6</v>
      </c>
      <c r="D4701" t="s">
        <v>4073</v>
      </c>
      <c r="E4701" t="s">
        <v>4074</v>
      </c>
      <c r="F4701" t="s">
        <v>4075</v>
      </c>
    </row>
    <row r="4702" spans="1:6" x14ac:dyDescent="0.25">
      <c r="A4702">
        <v>4106</v>
      </c>
      <c r="B4702" t="s">
        <v>4072</v>
      </c>
      <c r="C4702">
        <v>19</v>
      </c>
      <c r="D4702" t="s">
        <v>4073</v>
      </c>
      <c r="E4702" t="s">
        <v>4074</v>
      </c>
      <c r="F4702" t="s">
        <v>4076</v>
      </c>
    </row>
    <row r="4703" spans="1:6" x14ac:dyDescent="0.25">
      <c r="A4703">
        <v>4106</v>
      </c>
      <c r="B4703" t="s">
        <v>4072</v>
      </c>
      <c r="C4703">
        <v>39</v>
      </c>
      <c r="D4703" t="s">
        <v>4073</v>
      </c>
      <c r="E4703" t="s">
        <v>4074</v>
      </c>
      <c r="F4703" t="s">
        <v>4079</v>
      </c>
    </row>
    <row r="4704" spans="1:6" x14ac:dyDescent="0.25">
      <c r="A4704">
        <v>4107</v>
      </c>
      <c r="B4704" t="s">
        <v>4072</v>
      </c>
      <c r="C4704">
        <v>5</v>
      </c>
      <c r="D4704" t="s">
        <v>4087</v>
      </c>
      <c r="E4704" t="s">
        <v>4088</v>
      </c>
      <c r="F4704" t="s">
        <v>4075</v>
      </c>
    </row>
    <row r="4705" spans="1:6" x14ac:dyDescent="0.25">
      <c r="A4705">
        <v>4107</v>
      </c>
      <c r="B4705" t="s">
        <v>4072</v>
      </c>
      <c r="C4705">
        <v>15</v>
      </c>
      <c r="D4705" t="s">
        <v>4080</v>
      </c>
      <c r="E4705" t="s">
        <v>4081</v>
      </c>
      <c r="F4705" t="s">
        <v>4076</v>
      </c>
    </row>
    <row r="4706" spans="1:6" x14ac:dyDescent="0.25">
      <c r="A4706">
        <v>4107</v>
      </c>
      <c r="B4706" t="s">
        <v>4072</v>
      </c>
      <c r="C4706">
        <v>40</v>
      </c>
      <c r="D4706" t="s">
        <v>4080</v>
      </c>
      <c r="E4706" t="s">
        <v>4081</v>
      </c>
      <c r="F4706" t="s">
        <v>4079</v>
      </c>
    </row>
    <row r="4707" spans="1:6" x14ac:dyDescent="0.25">
      <c r="A4707">
        <v>4108</v>
      </c>
      <c r="B4707" t="s">
        <v>4072</v>
      </c>
      <c r="C4707">
        <v>5</v>
      </c>
      <c r="D4707" t="s">
        <v>4087</v>
      </c>
      <c r="E4707" t="s">
        <v>4088</v>
      </c>
      <c r="F4707" t="s">
        <v>4075</v>
      </c>
    </row>
    <row r="4708" spans="1:6" x14ac:dyDescent="0.25">
      <c r="A4708">
        <v>4108</v>
      </c>
      <c r="B4708" t="s">
        <v>4072</v>
      </c>
      <c r="C4708">
        <v>15</v>
      </c>
      <c r="D4708" t="s">
        <v>4080</v>
      </c>
      <c r="E4708" t="s">
        <v>4081</v>
      </c>
      <c r="F4708" t="s">
        <v>4076</v>
      </c>
    </row>
    <row r="4709" spans="1:6" x14ac:dyDescent="0.25">
      <c r="A4709">
        <v>4108</v>
      </c>
      <c r="B4709" t="s">
        <v>4072</v>
      </c>
      <c r="C4709">
        <v>40</v>
      </c>
      <c r="D4709" t="s">
        <v>4080</v>
      </c>
      <c r="E4709" t="s">
        <v>4081</v>
      </c>
      <c r="F4709" t="s">
        <v>4079</v>
      </c>
    </row>
    <row r="4710" spans="1:6" x14ac:dyDescent="0.25">
      <c r="A4710">
        <v>4109</v>
      </c>
      <c r="B4710" t="s">
        <v>4072</v>
      </c>
      <c r="C4710">
        <v>5</v>
      </c>
      <c r="D4710" t="s">
        <v>4087</v>
      </c>
      <c r="E4710" t="s">
        <v>4088</v>
      </c>
      <c r="F4710" t="s">
        <v>4075</v>
      </c>
    </row>
    <row r="4711" spans="1:6" x14ac:dyDescent="0.25">
      <c r="A4711">
        <v>4109</v>
      </c>
      <c r="B4711" t="s">
        <v>4072</v>
      </c>
      <c r="C4711">
        <v>15</v>
      </c>
      <c r="D4711" t="s">
        <v>4080</v>
      </c>
      <c r="E4711" t="s">
        <v>4081</v>
      </c>
      <c r="F4711" t="s">
        <v>4076</v>
      </c>
    </row>
    <row r="4712" spans="1:6" x14ac:dyDescent="0.25">
      <c r="A4712">
        <v>4109</v>
      </c>
      <c r="B4712" t="s">
        <v>4072</v>
      </c>
      <c r="C4712">
        <v>40</v>
      </c>
      <c r="D4712" t="s">
        <v>4080</v>
      </c>
      <c r="E4712" t="s">
        <v>4081</v>
      </c>
      <c r="F4712" t="s">
        <v>4079</v>
      </c>
    </row>
    <row r="4713" spans="1:6" x14ac:dyDescent="0.25">
      <c r="A4713">
        <v>4110</v>
      </c>
      <c r="B4713" t="s">
        <v>4072</v>
      </c>
      <c r="C4713">
        <v>2</v>
      </c>
      <c r="D4713" t="s">
        <v>4082</v>
      </c>
      <c r="E4713" t="s">
        <v>4083</v>
      </c>
      <c r="F4713" t="s">
        <v>4075</v>
      </c>
    </row>
    <row r="4714" spans="1:6" x14ac:dyDescent="0.25">
      <c r="A4714">
        <v>4110</v>
      </c>
      <c r="B4714" t="s">
        <v>4072</v>
      </c>
      <c r="C4714">
        <v>17</v>
      </c>
      <c r="D4714" t="s">
        <v>4082</v>
      </c>
      <c r="E4714" t="s">
        <v>4084</v>
      </c>
      <c r="F4714" t="s">
        <v>4076</v>
      </c>
    </row>
    <row r="4715" spans="1:6" x14ac:dyDescent="0.25">
      <c r="A4715">
        <v>4110</v>
      </c>
      <c r="B4715" t="s">
        <v>4072</v>
      </c>
      <c r="C4715">
        <v>42</v>
      </c>
      <c r="D4715" t="s">
        <v>4082</v>
      </c>
      <c r="E4715" t="s">
        <v>4083</v>
      </c>
      <c r="F4715" t="s">
        <v>4079</v>
      </c>
    </row>
    <row r="4716" spans="1:6" x14ac:dyDescent="0.25">
      <c r="A4716">
        <v>4111</v>
      </c>
      <c r="B4716" t="s">
        <v>4072</v>
      </c>
      <c r="C4716">
        <v>4</v>
      </c>
      <c r="D4716" t="s">
        <v>4077</v>
      </c>
      <c r="E4716" t="s">
        <v>4078</v>
      </c>
      <c r="F4716" t="s">
        <v>4075</v>
      </c>
    </row>
    <row r="4717" spans="1:6" x14ac:dyDescent="0.25">
      <c r="A4717">
        <v>4112</v>
      </c>
      <c r="B4717" t="s">
        <v>4072</v>
      </c>
      <c r="C4717">
        <v>15</v>
      </c>
      <c r="D4717" t="s">
        <v>4080</v>
      </c>
      <c r="E4717" t="s">
        <v>4081</v>
      </c>
      <c r="F4717" t="s">
        <v>4076</v>
      </c>
    </row>
    <row r="4718" spans="1:6" x14ac:dyDescent="0.25">
      <c r="A4718">
        <v>4112</v>
      </c>
      <c r="B4718" t="s">
        <v>4072</v>
      </c>
      <c r="C4718">
        <v>40</v>
      </c>
      <c r="D4718" t="s">
        <v>4080</v>
      </c>
      <c r="E4718" t="s">
        <v>4081</v>
      </c>
      <c r="F4718" t="s">
        <v>4079</v>
      </c>
    </row>
    <row r="4719" spans="1:6" x14ac:dyDescent="0.25">
      <c r="A4719">
        <v>4122</v>
      </c>
      <c r="B4719" t="s">
        <v>4092</v>
      </c>
      <c r="C4719">
        <v>24</v>
      </c>
      <c r="D4719" t="s">
        <v>2760</v>
      </c>
      <c r="E4719" t="s">
        <v>4108</v>
      </c>
      <c r="F4719" t="s">
        <v>4075</v>
      </c>
    </row>
    <row r="4720" spans="1:6" x14ac:dyDescent="0.25">
      <c r="A4720">
        <v>4123</v>
      </c>
      <c r="B4720" t="s">
        <v>4072</v>
      </c>
      <c r="C4720">
        <v>4</v>
      </c>
      <c r="D4720" t="s">
        <v>4077</v>
      </c>
      <c r="E4720" t="s">
        <v>4078</v>
      </c>
      <c r="F4720" t="s">
        <v>4075</v>
      </c>
    </row>
    <row r="4721" spans="1:6" x14ac:dyDescent="0.25">
      <c r="A4721">
        <v>4123</v>
      </c>
      <c r="B4721" t="s">
        <v>4072</v>
      </c>
      <c r="C4721">
        <v>16</v>
      </c>
      <c r="D4721" t="s">
        <v>4077</v>
      </c>
      <c r="E4721" t="s">
        <v>4078</v>
      </c>
      <c r="F4721" t="s">
        <v>4076</v>
      </c>
    </row>
    <row r="4722" spans="1:6" x14ac:dyDescent="0.25">
      <c r="A4722">
        <v>4123</v>
      </c>
      <c r="B4722" t="s">
        <v>4072</v>
      </c>
      <c r="C4722">
        <v>44</v>
      </c>
      <c r="D4722" t="s">
        <v>4077</v>
      </c>
      <c r="E4722" t="s">
        <v>4078</v>
      </c>
      <c r="F4722" t="s">
        <v>4079</v>
      </c>
    </row>
    <row r="4723" spans="1:6" x14ac:dyDescent="0.25">
      <c r="A4723">
        <v>4124</v>
      </c>
      <c r="B4723" t="s">
        <v>4072</v>
      </c>
      <c r="C4723">
        <v>4</v>
      </c>
      <c r="D4723" t="s">
        <v>4077</v>
      </c>
      <c r="E4723" t="s">
        <v>4078</v>
      </c>
      <c r="F4723" t="s">
        <v>4075</v>
      </c>
    </row>
    <row r="4724" spans="1:6" x14ac:dyDescent="0.25">
      <c r="A4724">
        <v>4124</v>
      </c>
      <c r="B4724" t="s">
        <v>4072</v>
      </c>
      <c r="C4724">
        <v>16</v>
      </c>
      <c r="D4724" t="s">
        <v>4077</v>
      </c>
      <c r="E4724" t="s">
        <v>4078</v>
      </c>
      <c r="F4724" t="s">
        <v>4076</v>
      </c>
    </row>
    <row r="4725" spans="1:6" x14ac:dyDescent="0.25">
      <c r="A4725">
        <v>4124</v>
      </c>
      <c r="B4725" t="s">
        <v>4072</v>
      </c>
      <c r="C4725">
        <v>44</v>
      </c>
      <c r="D4725" t="s">
        <v>4077</v>
      </c>
      <c r="E4725" t="s">
        <v>4078</v>
      </c>
      <c r="F4725" t="s">
        <v>4079</v>
      </c>
    </row>
    <row r="4726" spans="1:6" x14ac:dyDescent="0.25">
      <c r="A4726">
        <v>4125</v>
      </c>
      <c r="B4726" t="s">
        <v>4072</v>
      </c>
      <c r="C4726">
        <v>6</v>
      </c>
      <c r="D4726" t="s">
        <v>4073</v>
      </c>
      <c r="E4726" t="s">
        <v>4074</v>
      </c>
      <c r="F4726" t="s">
        <v>4075</v>
      </c>
    </row>
    <row r="4727" spans="1:6" x14ac:dyDescent="0.25">
      <c r="A4727">
        <v>4125</v>
      </c>
      <c r="B4727" t="s">
        <v>4072</v>
      </c>
      <c r="C4727">
        <v>19</v>
      </c>
      <c r="D4727" t="s">
        <v>4073</v>
      </c>
      <c r="E4727" t="s">
        <v>4074</v>
      </c>
      <c r="F4727" t="s">
        <v>4076</v>
      </c>
    </row>
    <row r="4728" spans="1:6" x14ac:dyDescent="0.25">
      <c r="A4728">
        <v>4125</v>
      </c>
      <c r="B4728" t="s">
        <v>4072</v>
      </c>
      <c r="C4728">
        <v>39</v>
      </c>
      <c r="D4728" t="s">
        <v>4073</v>
      </c>
      <c r="E4728" t="s">
        <v>4074</v>
      </c>
      <c r="F4728" t="s">
        <v>4079</v>
      </c>
    </row>
    <row r="4729" spans="1:6" x14ac:dyDescent="0.25">
      <c r="A4729">
        <v>4126</v>
      </c>
      <c r="B4729" t="s">
        <v>4072</v>
      </c>
      <c r="C4729">
        <v>6</v>
      </c>
      <c r="D4729" t="s">
        <v>4073</v>
      </c>
      <c r="E4729" t="s">
        <v>4074</v>
      </c>
      <c r="F4729" t="s">
        <v>4075</v>
      </c>
    </row>
    <row r="4730" spans="1:6" x14ac:dyDescent="0.25">
      <c r="A4730">
        <v>4126</v>
      </c>
      <c r="B4730" t="s">
        <v>4072</v>
      </c>
      <c r="C4730">
        <v>19</v>
      </c>
      <c r="D4730" t="s">
        <v>4073</v>
      </c>
      <c r="E4730" t="s">
        <v>4074</v>
      </c>
      <c r="F4730" t="s">
        <v>4076</v>
      </c>
    </row>
    <row r="4731" spans="1:6" x14ac:dyDescent="0.25">
      <c r="A4731">
        <v>4126</v>
      </c>
      <c r="B4731" t="s">
        <v>4072</v>
      </c>
      <c r="C4731">
        <v>39</v>
      </c>
      <c r="D4731" t="s">
        <v>4073</v>
      </c>
      <c r="E4731" t="s">
        <v>4074</v>
      </c>
      <c r="F4731" t="s">
        <v>4079</v>
      </c>
    </row>
    <row r="4732" spans="1:6" x14ac:dyDescent="0.25">
      <c r="A4732">
        <v>4127</v>
      </c>
      <c r="B4732" t="s">
        <v>4072</v>
      </c>
      <c r="C4732">
        <v>6</v>
      </c>
      <c r="D4732" t="s">
        <v>4073</v>
      </c>
      <c r="E4732" t="s">
        <v>4074</v>
      </c>
      <c r="F4732" t="s">
        <v>4075</v>
      </c>
    </row>
    <row r="4733" spans="1:6" x14ac:dyDescent="0.25">
      <c r="A4733">
        <v>4127</v>
      </c>
      <c r="B4733" t="s">
        <v>4072</v>
      </c>
      <c r="C4733">
        <v>19</v>
      </c>
      <c r="D4733" t="s">
        <v>4073</v>
      </c>
      <c r="E4733" t="s">
        <v>4074</v>
      </c>
      <c r="F4733" t="s">
        <v>4076</v>
      </c>
    </row>
    <row r="4734" spans="1:6" x14ac:dyDescent="0.25">
      <c r="A4734">
        <v>4127</v>
      </c>
      <c r="B4734" t="s">
        <v>4072</v>
      </c>
      <c r="C4734">
        <v>39</v>
      </c>
      <c r="D4734" t="s">
        <v>4073</v>
      </c>
      <c r="E4734" t="s">
        <v>4074</v>
      </c>
      <c r="F4734" t="s">
        <v>4079</v>
      </c>
    </row>
    <row r="4735" spans="1:6" x14ac:dyDescent="0.25">
      <c r="A4735">
        <v>4128</v>
      </c>
      <c r="B4735" t="s">
        <v>4072</v>
      </c>
      <c r="C4735">
        <v>6</v>
      </c>
      <c r="D4735" t="s">
        <v>4073</v>
      </c>
      <c r="E4735" t="s">
        <v>4074</v>
      </c>
      <c r="F4735" t="s">
        <v>4075</v>
      </c>
    </row>
    <row r="4736" spans="1:6" x14ac:dyDescent="0.25">
      <c r="A4736">
        <v>4128</v>
      </c>
      <c r="B4736" t="s">
        <v>4072</v>
      </c>
      <c r="C4736">
        <v>19</v>
      </c>
      <c r="D4736" t="s">
        <v>4073</v>
      </c>
      <c r="E4736" t="s">
        <v>4074</v>
      </c>
      <c r="F4736" t="s">
        <v>4076</v>
      </c>
    </row>
    <row r="4737" spans="1:6" x14ac:dyDescent="0.25">
      <c r="A4737">
        <v>4128</v>
      </c>
      <c r="B4737" t="s">
        <v>4072</v>
      </c>
      <c r="C4737">
        <v>39</v>
      </c>
      <c r="D4737" t="s">
        <v>4073</v>
      </c>
      <c r="E4737" t="s">
        <v>4074</v>
      </c>
      <c r="F4737" t="s">
        <v>4079</v>
      </c>
    </row>
    <row r="4738" spans="1:6" x14ac:dyDescent="0.25">
      <c r="A4738">
        <v>4130</v>
      </c>
      <c r="B4738" t="s">
        <v>4072</v>
      </c>
      <c r="C4738">
        <v>5</v>
      </c>
      <c r="D4738" t="s">
        <v>4087</v>
      </c>
      <c r="E4738" t="s">
        <v>4088</v>
      </c>
      <c r="F4738" t="s">
        <v>4075</v>
      </c>
    </row>
    <row r="4739" spans="1:6" x14ac:dyDescent="0.25">
      <c r="A4739">
        <v>4130</v>
      </c>
      <c r="B4739" t="s">
        <v>4072</v>
      </c>
      <c r="C4739">
        <v>15</v>
      </c>
      <c r="D4739" t="s">
        <v>4080</v>
      </c>
      <c r="E4739" t="s">
        <v>4081</v>
      </c>
      <c r="F4739" t="s">
        <v>4076</v>
      </c>
    </row>
    <row r="4740" spans="1:6" x14ac:dyDescent="0.25">
      <c r="A4740">
        <v>4131</v>
      </c>
      <c r="B4740" t="s">
        <v>4092</v>
      </c>
      <c r="C4740">
        <v>24</v>
      </c>
      <c r="D4740" t="s">
        <v>2760</v>
      </c>
      <c r="E4740" t="s">
        <v>4108</v>
      </c>
      <c r="F4740" t="s">
        <v>4075</v>
      </c>
    </row>
    <row r="4741" spans="1:6" x14ac:dyDescent="0.25">
      <c r="A4741">
        <v>4131</v>
      </c>
      <c r="B4741" t="s">
        <v>4092</v>
      </c>
      <c r="C4741">
        <v>29</v>
      </c>
      <c r="D4741" t="s">
        <v>2760</v>
      </c>
      <c r="E4741" t="s">
        <v>4108</v>
      </c>
      <c r="F4741" t="s">
        <v>4076</v>
      </c>
    </row>
    <row r="4742" spans="1:6" x14ac:dyDescent="0.25">
      <c r="A4742">
        <v>4132</v>
      </c>
      <c r="B4742" t="s">
        <v>4072</v>
      </c>
      <c r="C4742">
        <v>10</v>
      </c>
      <c r="D4742" t="s">
        <v>4095</v>
      </c>
      <c r="E4742" t="s">
        <v>4096</v>
      </c>
      <c r="F4742" t="s">
        <v>4075</v>
      </c>
    </row>
    <row r="4743" spans="1:6" x14ac:dyDescent="0.25">
      <c r="A4743">
        <v>4139</v>
      </c>
      <c r="B4743" t="s">
        <v>4072</v>
      </c>
      <c r="C4743">
        <v>5</v>
      </c>
      <c r="D4743" t="s">
        <v>4087</v>
      </c>
      <c r="E4743" t="s">
        <v>4088</v>
      </c>
      <c r="F4743" t="s">
        <v>4075</v>
      </c>
    </row>
    <row r="4744" spans="1:6" x14ac:dyDescent="0.25">
      <c r="A4744">
        <v>4139</v>
      </c>
      <c r="B4744" t="s">
        <v>4072</v>
      </c>
      <c r="C4744">
        <v>15</v>
      </c>
      <c r="D4744" t="s">
        <v>4080</v>
      </c>
      <c r="E4744" t="s">
        <v>4081</v>
      </c>
      <c r="F4744" t="s">
        <v>4076</v>
      </c>
    </row>
    <row r="4745" spans="1:6" x14ac:dyDescent="0.25">
      <c r="A4745">
        <v>4139</v>
      </c>
      <c r="B4745" t="s">
        <v>4072</v>
      </c>
      <c r="C4745">
        <v>40</v>
      </c>
      <c r="D4745" t="s">
        <v>4080</v>
      </c>
      <c r="E4745" t="s">
        <v>4081</v>
      </c>
      <c r="F4745" t="s">
        <v>4079</v>
      </c>
    </row>
    <row r="4746" spans="1:6" x14ac:dyDescent="0.25">
      <c r="A4746">
        <v>4140</v>
      </c>
      <c r="B4746" t="s">
        <v>4072</v>
      </c>
      <c r="C4746">
        <v>5</v>
      </c>
      <c r="D4746" t="s">
        <v>4087</v>
      </c>
      <c r="E4746" t="s">
        <v>4088</v>
      </c>
      <c r="F4746" t="s">
        <v>4075</v>
      </c>
    </row>
    <row r="4747" spans="1:6" x14ac:dyDescent="0.25">
      <c r="A4747">
        <v>4140</v>
      </c>
      <c r="B4747" t="s">
        <v>4072</v>
      </c>
      <c r="C4747">
        <v>15</v>
      </c>
      <c r="D4747" t="s">
        <v>4080</v>
      </c>
      <c r="E4747" t="s">
        <v>4081</v>
      </c>
      <c r="F4747" t="s">
        <v>4076</v>
      </c>
    </row>
    <row r="4748" spans="1:6" x14ac:dyDescent="0.25">
      <c r="A4748">
        <v>4140</v>
      </c>
      <c r="B4748" t="s">
        <v>4072</v>
      </c>
      <c r="C4748">
        <v>40</v>
      </c>
      <c r="D4748" t="s">
        <v>4080</v>
      </c>
      <c r="E4748" t="s">
        <v>4081</v>
      </c>
      <c r="F4748" t="s">
        <v>4079</v>
      </c>
    </row>
    <row r="4749" spans="1:6" x14ac:dyDescent="0.25">
      <c r="A4749">
        <v>4141</v>
      </c>
      <c r="B4749" t="s">
        <v>4092</v>
      </c>
      <c r="C4749">
        <v>33</v>
      </c>
      <c r="D4749" t="s">
        <v>4109</v>
      </c>
      <c r="E4749" t="s">
        <v>4110</v>
      </c>
      <c r="F4749" t="s">
        <v>4075</v>
      </c>
    </row>
    <row r="4750" spans="1:6" x14ac:dyDescent="0.25">
      <c r="A4750">
        <v>4141</v>
      </c>
      <c r="B4750" t="s">
        <v>4092</v>
      </c>
      <c r="C4750">
        <v>34</v>
      </c>
      <c r="D4750" t="s">
        <v>4109</v>
      </c>
      <c r="E4750" t="s">
        <v>4110</v>
      </c>
      <c r="F4750" t="s">
        <v>4076</v>
      </c>
    </row>
    <row r="4751" spans="1:6" x14ac:dyDescent="0.25">
      <c r="A4751">
        <v>4141</v>
      </c>
      <c r="B4751" t="s">
        <v>4092</v>
      </c>
      <c r="C4751">
        <v>51</v>
      </c>
      <c r="D4751" t="s">
        <v>4109</v>
      </c>
      <c r="E4751" t="s">
        <v>4111</v>
      </c>
      <c r="F4751" t="s">
        <v>4079</v>
      </c>
    </row>
    <row r="4752" spans="1:6" x14ac:dyDescent="0.25">
      <c r="A4752">
        <v>4142</v>
      </c>
      <c r="B4752" t="s">
        <v>4092</v>
      </c>
      <c r="C4752">
        <v>33</v>
      </c>
      <c r="D4752" t="s">
        <v>4109</v>
      </c>
      <c r="E4752" t="s">
        <v>4110</v>
      </c>
      <c r="F4752" t="s">
        <v>4075</v>
      </c>
    </row>
    <row r="4753" spans="1:6" x14ac:dyDescent="0.25">
      <c r="A4753">
        <v>4142</v>
      </c>
      <c r="B4753" t="s">
        <v>4092</v>
      </c>
      <c r="C4753">
        <v>34</v>
      </c>
      <c r="D4753" t="s">
        <v>4109</v>
      </c>
      <c r="E4753" t="s">
        <v>4110</v>
      </c>
      <c r="F4753" t="s">
        <v>4076</v>
      </c>
    </row>
    <row r="4754" spans="1:6" x14ac:dyDescent="0.25">
      <c r="A4754">
        <v>4142</v>
      </c>
      <c r="B4754" t="s">
        <v>4092</v>
      </c>
      <c r="C4754">
        <v>51</v>
      </c>
      <c r="D4754" t="s">
        <v>4109</v>
      </c>
      <c r="E4754" t="s">
        <v>4111</v>
      </c>
      <c r="F4754" t="s">
        <v>4079</v>
      </c>
    </row>
    <row r="4755" spans="1:6" x14ac:dyDescent="0.25">
      <c r="A4755">
        <v>4143</v>
      </c>
      <c r="B4755" t="s">
        <v>4092</v>
      </c>
      <c r="C4755">
        <v>33</v>
      </c>
      <c r="D4755" t="s">
        <v>4109</v>
      </c>
      <c r="E4755" t="s">
        <v>4110</v>
      </c>
      <c r="F4755" t="s">
        <v>4075</v>
      </c>
    </row>
    <row r="4756" spans="1:6" x14ac:dyDescent="0.25">
      <c r="A4756">
        <v>4143</v>
      </c>
      <c r="B4756" t="s">
        <v>4092</v>
      </c>
      <c r="C4756">
        <v>34</v>
      </c>
      <c r="D4756" t="s">
        <v>4109</v>
      </c>
      <c r="E4756" t="s">
        <v>4110</v>
      </c>
      <c r="F4756" t="s">
        <v>4076</v>
      </c>
    </row>
    <row r="4757" spans="1:6" x14ac:dyDescent="0.25">
      <c r="A4757">
        <v>4143</v>
      </c>
      <c r="B4757" t="s">
        <v>4092</v>
      </c>
      <c r="C4757">
        <v>51</v>
      </c>
      <c r="D4757" t="s">
        <v>4109</v>
      </c>
      <c r="E4757" t="s">
        <v>4111</v>
      </c>
      <c r="F4757" t="s">
        <v>4079</v>
      </c>
    </row>
    <row r="4758" spans="1:6" x14ac:dyDescent="0.25">
      <c r="A4758">
        <v>4144</v>
      </c>
      <c r="B4758" t="s">
        <v>4072</v>
      </c>
      <c r="C4758">
        <v>6</v>
      </c>
      <c r="D4758" t="s">
        <v>4073</v>
      </c>
      <c r="E4758" t="s">
        <v>4074</v>
      </c>
      <c r="F4758" t="s">
        <v>4075</v>
      </c>
    </row>
    <row r="4759" spans="1:6" x14ac:dyDescent="0.25">
      <c r="A4759">
        <v>4144</v>
      </c>
      <c r="B4759" t="s">
        <v>4072</v>
      </c>
      <c r="C4759">
        <v>19</v>
      </c>
      <c r="D4759" t="s">
        <v>4073</v>
      </c>
      <c r="E4759" t="s">
        <v>4074</v>
      </c>
      <c r="F4759" t="s">
        <v>4076</v>
      </c>
    </row>
    <row r="4760" spans="1:6" x14ac:dyDescent="0.25">
      <c r="A4760">
        <v>4144</v>
      </c>
      <c r="B4760" t="s">
        <v>4072</v>
      </c>
      <c r="C4760">
        <v>39</v>
      </c>
      <c r="D4760" t="s">
        <v>4073</v>
      </c>
      <c r="E4760" t="s">
        <v>4074</v>
      </c>
      <c r="F4760" t="s">
        <v>4079</v>
      </c>
    </row>
    <row r="4761" spans="1:6" x14ac:dyDescent="0.25">
      <c r="A4761">
        <v>4145</v>
      </c>
      <c r="B4761" t="s">
        <v>4072</v>
      </c>
      <c r="C4761">
        <v>5</v>
      </c>
      <c r="D4761" t="s">
        <v>4087</v>
      </c>
      <c r="E4761" t="s">
        <v>4088</v>
      </c>
      <c r="F4761" t="s">
        <v>4075</v>
      </c>
    </row>
    <row r="4762" spans="1:6" x14ac:dyDescent="0.25">
      <c r="A4762">
        <v>4145</v>
      </c>
      <c r="B4762" t="s">
        <v>4072</v>
      </c>
      <c r="C4762">
        <v>15</v>
      </c>
      <c r="D4762" t="s">
        <v>4080</v>
      </c>
      <c r="E4762" t="s">
        <v>4081</v>
      </c>
      <c r="F4762" t="s">
        <v>4076</v>
      </c>
    </row>
    <row r="4763" spans="1:6" x14ac:dyDescent="0.25">
      <c r="A4763">
        <v>4145</v>
      </c>
      <c r="B4763" t="s">
        <v>4072</v>
      </c>
      <c r="C4763">
        <v>40</v>
      </c>
      <c r="D4763" t="s">
        <v>4080</v>
      </c>
      <c r="E4763" t="s">
        <v>4081</v>
      </c>
      <c r="F4763" t="s">
        <v>4079</v>
      </c>
    </row>
    <row r="4764" spans="1:6" x14ac:dyDescent="0.25">
      <c r="A4764">
        <v>4146</v>
      </c>
      <c r="B4764" t="s">
        <v>4072</v>
      </c>
      <c r="C4764">
        <v>5</v>
      </c>
      <c r="D4764" t="s">
        <v>4087</v>
      </c>
      <c r="E4764" t="s">
        <v>4088</v>
      </c>
      <c r="F4764" t="s">
        <v>4075</v>
      </c>
    </row>
    <row r="4765" spans="1:6" x14ac:dyDescent="0.25">
      <c r="A4765">
        <v>4146</v>
      </c>
      <c r="B4765" t="s">
        <v>4072</v>
      </c>
      <c r="C4765">
        <v>15</v>
      </c>
      <c r="D4765" t="s">
        <v>4080</v>
      </c>
      <c r="E4765" t="s">
        <v>4081</v>
      </c>
      <c r="F4765" t="s">
        <v>4076</v>
      </c>
    </row>
    <row r="4766" spans="1:6" x14ac:dyDescent="0.25">
      <c r="A4766">
        <v>4146</v>
      </c>
      <c r="B4766" t="s">
        <v>4072</v>
      </c>
      <c r="C4766">
        <v>40</v>
      </c>
      <c r="D4766" t="s">
        <v>4080</v>
      </c>
      <c r="E4766" t="s">
        <v>4081</v>
      </c>
      <c r="F4766" t="s">
        <v>4079</v>
      </c>
    </row>
    <row r="4767" spans="1:6" x14ac:dyDescent="0.25">
      <c r="A4767">
        <v>4147</v>
      </c>
      <c r="B4767" t="s">
        <v>4092</v>
      </c>
      <c r="C4767">
        <v>24</v>
      </c>
      <c r="D4767" t="s">
        <v>2760</v>
      </c>
      <c r="E4767" t="s">
        <v>4108</v>
      </c>
      <c r="F4767" t="s">
        <v>4075</v>
      </c>
    </row>
    <row r="4768" spans="1:6" x14ac:dyDescent="0.25">
      <c r="A4768">
        <v>4147</v>
      </c>
      <c r="B4768" t="s">
        <v>4092</v>
      </c>
      <c r="C4768">
        <v>29</v>
      </c>
      <c r="D4768" t="s">
        <v>2760</v>
      </c>
      <c r="E4768" t="s">
        <v>4108</v>
      </c>
      <c r="F4768" t="s">
        <v>4076</v>
      </c>
    </row>
    <row r="4769" spans="1:6" x14ac:dyDescent="0.25">
      <c r="A4769">
        <v>4147</v>
      </c>
      <c r="B4769" t="s">
        <v>4092</v>
      </c>
      <c r="C4769">
        <v>49</v>
      </c>
      <c r="D4769" t="s">
        <v>2760</v>
      </c>
      <c r="E4769" t="s">
        <v>4108</v>
      </c>
      <c r="F4769" t="s">
        <v>4079</v>
      </c>
    </row>
    <row r="4770" spans="1:6" x14ac:dyDescent="0.25">
      <c r="A4770">
        <v>4148</v>
      </c>
      <c r="B4770" t="s">
        <v>4072</v>
      </c>
      <c r="C4770">
        <v>6</v>
      </c>
      <c r="D4770" t="s">
        <v>4073</v>
      </c>
      <c r="E4770" t="s">
        <v>4074</v>
      </c>
      <c r="F4770" t="s">
        <v>4075</v>
      </c>
    </row>
    <row r="4771" spans="1:6" x14ac:dyDescent="0.25">
      <c r="A4771">
        <v>4148</v>
      </c>
      <c r="B4771" t="s">
        <v>4072</v>
      </c>
      <c r="C4771">
        <v>19</v>
      </c>
      <c r="D4771" t="s">
        <v>4073</v>
      </c>
      <c r="E4771" t="s">
        <v>4074</v>
      </c>
      <c r="F4771" t="s">
        <v>4076</v>
      </c>
    </row>
    <row r="4772" spans="1:6" x14ac:dyDescent="0.25">
      <c r="A4772">
        <v>4148</v>
      </c>
      <c r="B4772" t="s">
        <v>4072</v>
      </c>
      <c r="C4772">
        <v>39</v>
      </c>
      <c r="D4772" t="s">
        <v>4073</v>
      </c>
      <c r="E4772" t="s">
        <v>4074</v>
      </c>
      <c r="F4772" t="s">
        <v>4079</v>
      </c>
    </row>
    <row r="4773" spans="1:6" x14ac:dyDescent="0.25">
      <c r="A4773">
        <v>4149</v>
      </c>
      <c r="B4773" t="s">
        <v>4072</v>
      </c>
      <c r="C4773">
        <v>5</v>
      </c>
      <c r="D4773" t="s">
        <v>4087</v>
      </c>
      <c r="E4773" t="s">
        <v>4088</v>
      </c>
      <c r="F4773" t="s">
        <v>4075</v>
      </c>
    </row>
    <row r="4774" spans="1:6" x14ac:dyDescent="0.25">
      <c r="A4774">
        <v>4149</v>
      </c>
      <c r="B4774" t="s">
        <v>4072</v>
      </c>
      <c r="C4774">
        <v>15</v>
      </c>
      <c r="D4774" t="s">
        <v>4080</v>
      </c>
      <c r="E4774" t="s">
        <v>4081</v>
      </c>
      <c r="F4774" t="s">
        <v>4076</v>
      </c>
    </row>
    <row r="4775" spans="1:6" x14ac:dyDescent="0.25">
      <c r="A4775">
        <v>4149</v>
      </c>
      <c r="B4775" t="s">
        <v>4072</v>
      </c>
      <c r="C4775">
        <v>40</v>
      </c>
      <c r="D4775" t="s">
        <v>4080</v>
      </c>
      <c r="E4775" t="s">
        <v>4081</v>
      </c>
      <c r="F4775" t="s">
        <v>4079</v>
      </c>
    </row>
    <row r="4776" spans="1:6" x14ac:dyDescent="0.25">
      <c r="A4776">
        <v>4150</v>
      </c>
      <c r="B4776" t="s">
        <v>4072</v>
      </c>
      <c r="C4776">
        <v>5</v>
      </c>
      <c r="D4776" t="s">
        <v>4087</v>
      </c>
      <c r="E4776" t="s">
        <v>4088</v>
      </c>
      <c r="F4776" t="s">
        <v>4075</v>
      </c>
    </row>
    <row r="4777" spans="1:6" x14ac:dyDescent="0.25">
      <c r="A4777">
        <v>4150</v>
      </c>
      <c r="B4777" t="s">
        <v>4072</v>
      </c>
      <c r="C4777">
        <v>15</v>
      </c>
      <c r="D4777" t="s">
        <v>4080</v>
      </c>
      <c r="E4777" t="s">
        <v>4081</v>
      </c>
      <c r="F4777" t="s">
        <v>4076</v>
      </c>
    </row>
    <row r="4778" spans="1:6" x14ac:dyDescent="0.25">
      <c r="A4778">
        <v>4150</v>
      </c>
      <c r="B4778" t="s">
        <v>4072</v>
      </c>
      <c r="C4778">
        <v>40</v>
      </c>
      <c r="D4778" t="s">
        <v>4080</v>
      </c>
      <c r="E4778" t="s">
        <v>4081</v>
      </c>
      <c r="F4778" t="s">
        <v>4079</v>
      </c>
    </row>
    <row r="4779" spans="1:6" x14ac:dyDescent="0.25">
      <c r="A4779">
        <v>4151</v>
      </c>
      <c r="B4779" t="s">
        <v>4072</v>
      </c>
      <c r="C4779">
        <v>6</v>
      </c>
      <c r="D4779" t="s">
        <v>4073</v>
      </c>
      <c r="E4779" t="s">
        <v>4074</v>
      </c>
      <c r="F4779" t="s">
        <v>4075</v>
      </c>
    </row>
    <row r="4780" spans="1:6" x14ac:dyDescent="0.25">
      <c r="A4780">
        <v>4151</v>
      </c>
      <c r="B4780" t="s">
        <v>4072</v>
      </c>
      <c r="C4780">
        <v>19</v>
      </c>
      <c r="D4780" t="s">
        <v>4073</v>
      </c>
      <c r="E4780" t="s">
        <v>4074</v>
      </c>
      <c r="F4780" t="s">
        <v>4076</v>
      </c>
    </row>
    <row r="4781" spans="1:6" x14ac:dyDescent="0.25">
      <c r="A4781">
        <v>4151</v>
      </c>
      <c r="B4781" t="s">
        <v>4072</v>
      </c>
      <c r="C4781">
        <v>39</v>
      </c>
      <c r="D4781" t="s">
        <v>4073</v>
      </c>
      <c r="E4781" t="s">
        <v>4074</v>
      </c>
      <c r="F4781" t="s">
        <v>4079</v>
      </c>
    </row>
    <row r="4782" spans="1:6" x14ac:dyDescent="0.25">
      <c r="A4782">
        <v>4152</v>
      </c>
      <c r="B4782" t="s">
        <v>4072</v>
      </c>
      <c r="C4782">
        <v>6</v>
      </c>
      <c r="D4782" t="s">
        <v>4073</v>
      </c>
      <c r="E4782" t="s">
        <v>4074</v>
      </c>
      <c r="F4782" t="s">
        <v>4075</v>
      </c>
    </row>
    <row r="4783" spans="1:6" x14ac:dyDescent="0.25">
      <c r="A4783">
        <v>4152</v>
      </c>
      <c r="B4783" t="s">
        <v>4072</v>
      </c>
      <c r="C4783">
        <v>19</v>
      </c>
      <c r="D4783" t="s">
        <v>4073</v>
      </c>
      <c r="E4783" t="s">
        <v>4074</v>
      </c>
      <c r="F4783" t="s">
        <v>4076</v>
      </c>
    </row>
    <row r="4784" spans="1:6" x14ac:dyDescent="0.25">
      <c r="A4784">
        <v>4153</v>
      </c>
      <c r="B4784" t="s">
        <v>4072</v>
      </c>
      <c r="C4784">
        <v>6</v>
      </c>
      <c r="D4784" t="s">
        <v>4073</v>
      </c>
      <c r="E4784" t="s">
        <v>4074</v>
      </c>
      <c r="F4784" t="s">
        <v>4075</v>
      </c>
    </row>
    <row r="4785" spans="1:6" x14ac:dyDescent="0.25">
      <c r="A4785">
        <v>4153</v>
      </c>
      <c r="B4785" t="s">
        <v>4072</v>
      </c>
      <c r="C4785">
        <v>19</v>
      </c>
      <c r="D4785" t="s">
        <v>4073</v>
      </c>
      <c r="E4785" t="s">
        <v>4074</v>
      </c>
      <c r="F4785" t="s">
        <v>4076</v>
      </c>
    </row>
    <row r="4786" spans="1:6" x14ac:dyDescent="0.25">
      <c r="A4786">
        <v>4154</v>
      </c>
      <c r="B4786" t="s">
        <v>4072</v>
      </c>
      <c r="C4786">
        <v>6</v>
      </c>
      <c r="D4786" t="s">
        <v>4073</v>
      </c>
      <c r="E4786" t="s">
        <v>4074</v>
      </c>
      <c r="F4786" t="s">
        <v>4075</v>
      </c>
    </row>
    <row r="4787" spans="1:6" x14ac:dyDescent="0.25">
      <c r="A4787">
        <v>4154</v>
      </c>
      <c r="B4787" t="s">
        <v>4072</v>
      </c>
      <c r="C4787">
        <v>19</v>
      </c>
      <c r="D4787" t="s">
        <v>4073</v>
      </c>
      <c r="E4787" t="s">
        <v>4074</v>
      </c>
      <c r="F4787" t="s">
        <v>4076</v>
      </c>
    </row>
    <row r="4788" spans="1:6" x14ac:dyDescent="0.25">
      <c r="A4788">
        <v>4155</v>
      </c>
      <c r="B4788" t="s">
        <v>4072</v>
      </c>
      <c r="C4788">
        <v>5</v>
      </c>
      <c r="D4788" t="s">
        <v>4087</v>
      </c>
      <c r="E4788" t="s">
        <v>4088</v>
      </c>
      <c r="F4788" t="s">
        <v>4075</v>
      </c>
    </row>
    <row r="4789" spans="1:6" x14ac:dyDescent="0.25">
      <c r="A4789">
        <v>4155</v>
      </c>
      <c r="B4789" t="s">
        <v>4072</v>
      </c>
      <c r="C4789">
        <v>15</v>
      </c>
      <c r="D4789" t="s">
        <v>4080</v>
      </c>
      <c r="E4789" t="s">
        <v>4081</v>
      </c>
      <c r="F4789" t="s">
        <v>4076</v>
      </c>
    </row>
    <row r="4790" spans="1:6" x14ac:dyDescent="0.25">
      <c r="A4790">
        <v>4156</v>
      </c>
      <c r="B4790" t="s">
        <v>4072</v>
      </c>
      <c r="C4790">
        <v>3</v>
      </c>
      <c r="D4790" t="s">
        <v>4085</v>
      </c>
      <c r="E4790" t="s">
        <v>4086</v>
      </c>
      <c r="F4790" t="s">
        <v>4075</v>
      </c>
    </row>
    <row r="4791" spans="1:6" x14ac:dyDescent="0.25">
      <c r="A4791">
        <v>4156</v>
      </c>
      <c r="B4791" t="s">
        <v>4072</v>
      </c>
      <c r="C4791">
        <v>15</v>
      </c>
      <c r="D4791" t="s">
        <v>4080</v>
      </c>
      <c r="E4791" t="s">
        <v>4081</v>
      </c>
      <c r="F4791" t="s">
        <v>4076</v>
      </c>
    </row>
    <row r="4792" spans="1:6" x14ac:dyDescent="0.25">
      <c r="A4792">
        <v>4157</v>
      </c>
      <c r="B4792" t="s">
        <v>4072</v>
      </c>
      <c r="C4792">
        <v>4</v>
      </c>
      <c r="D4792" t="s">
        <v>4077</v>
      </c>
      <c r="E4792" t="s">
        <v>4078</v>
      </c>
      <c r="F4792" t="s">
        <v>4075</v>
      </c>
    </row>
    <row r="4793" spans="1:6" x14ac:dyDescent="0.25">
      <c r="A4793">
        <v>4157</v>
      </c>
      <c r="B4793" t="s">
        <v>4072</v>
      </c>
      <c r="C4793">
        <v>16</v>
      </c>
      <c r="D4793" t="s">
        <v>4077</v>
      </c>
      <c r="E4793" t="s">
        <v>4078</v>
      </c>
      <c r="F4793" t="s">
        <v>4076</v>
      </c>
    </row>
    <row r="4794" spans="1:6" x14ac:dyDescent="0.25">
      <c r="A4794">
        <v>4158</v>
      </c>
      <c r="B4794" t="s">
        <v>4072</v>
      </c>
      <c r="C4794">
        <v>4</v>
      </c>
      <c r="D4794" t="s">
        <v>4077</v>
      </c>
      <c r="E4794" t="s">
        <v>4078</v>
      </c>
      <c r="F4794" t="s">
        <v>4075</v>
      </c>
    </row>
    <row r="4795" spans="1:6" x14ac:dyDescent="0.25">
      <c r="A4795">
        <v>4158</v>
      </c>
      <c r="B4795" t="s">
        <v>4072</v>
      </c>
      <c r="C4795">
        <v>16</v>
      </c>
      <c r="D4795" t="s">
        <v>4077</v>
      </c>
      <c r="E4795" t="s">
        <v>4078</v>
      </c>
      <c r="F4795" t="s">
        <v>4076</v>
      </c>
    </row>
    <row r="4796" spans="1:6" x14ac:dyDescent="0.25">
      <c r="A4796">
        <v>4160</v>
      </c>
      <c r="B4796" t="s">
        <v>4072</v>
      </c>
      <c r="C4796">
        <v>2</v>
      </c>
      <c r="D4796" t="s">
        <v>4082</v>
      </c>
      <c r="E4796" t="s">
        <v>4083</v>
      </c>
      <c r="F4796" t="s">
        <v>4075</v>
      </c>
    </row>
    <row r="4797" spans="1:6" x14ac:dyDescent="0.25">
      <c r="A4797">
        <v>4160</v>
      </c>
      <c r="B4797" t="s">
        <v>4072</v>
      </c>
      <c r="C4797">
        <v>17</v>
      </c>
      <c r="D4797" t="s">
        <v>4082</v>
      </c>
      <c r="E4797" t="s">
        <v>4084</v>
      </c>
      <c r="F4797" t="s">
        <v>4076</v>
      </c>
    </row>
    <row r="4798" spans="1:6" x14ac:dyDescent="0.25">
      <c r="A4798">
        <v>4161</v>
      </c>
      <c r="B4798" t="s">
        <v>4072</v>
      </c>
      <c r="C4798">
        <v>4</v>
      </c>
      <c r="D4798" t="s">
        <v>4077</v>
      </c>
      <c r="E4798" t="s">
        <v>4078</v>
      </c>
      <c r="F4798" t="s">
        <v>4075</v>
      </c>
    </row>
    <row r="4799" spans="1:6" x14ac:dyDescent="0.25">
      <c r="A4799">
        <v>4162</v>
      </c>
      <c r="B4799" t="s">
        <v>4072</v>
      </c>
      <c r="C4799">
        <v>3</v>
      </c>
      <c r="D4799" t="s">
        <v>4085</v>
      </c>
      <c r="E4799" t="s">
        <v>4086</v>
      </c>
      <c r="F4799" t="s">
        <v>4075</v>
      </c>
    </row>
    <row r="4800" spans="1:6" x14ac:dyDescent="0.25">
      <c r="A4800">
        <v>4166</v>
      </c>
      <c r="B4800" t="s">
        <v>4072</v>
      </c>
      <c r="C4800">
        <v>6</v>
      </c>
      <c r="D4800" t="s">
        <v>4073</v>
      </c>
      <c r="E4800" t="s">
        <v>4074</v>
      </c>
      <c r="F4800" t="s">
        <v>4075</v>
      </c>
    </row>
    <row r="4801" spans="1:6" x14ac:dyDescent="0.25">
      <c r="A4801">
        <v>4166</v>
      </c>
      <c r="B4801" t="s">
        <v>4072</v>
      </c>
      <c r="C4801">
        <v>19</v>
      </c>
      <c r="D4801" t="s">
        <v>4073</v>
      </c>
      <c r="E4801" t="s">
        <v>4074</v>
      </c>
      <c r="F4801" t="s">
        <v>4076</v>
      </c>
    </row>
    <row r="4802" spans="1:6" x14ac:dyDescent="0.25">
      <c r="A4802">
        <v>4167</v>
      </c>
      <c r="B4802" t="s">
        <v>4072</v>
      </c>
      <c r="C4802">
        <v>6</v>
      </c>
      <c r="D4802" t="s">
        <v>4073</v>
      </c>
      <c r="E4802" t="s">
        <v>4074</v>
      </c>
      <c r="F4802" t="s">
        <v>4075</v>
      </c>
    </row>
    <row r="4803" spans="1:6" x14ac:dyDescent="0.25">
      <c r="A4803">
        <v>4167</v>
      </c>
      <c r="B4803" t="s">
        <v>4072</v>
      </c>
      <c r="C4803">
        <v>19</v>
      </c>
      <c r="D4803" t="s">
        <v>4073</v>
      </c>
      <c r="E4803" t="s">
        <v>4074</v>
      </c>
      <c r="F4803" t="s">
        <v>4076</v>
      </c>
    </row>
    <row r="4804" spans="1:6" x14ac:dyDescent="0.25">
      <c r="A4804">
        <v>4167</v>
      </c>
      <c r="B4804" t="s">
        <v>4072</v>
      </c>
      <c r="C4804">
        <v>39</v>
      </c>
      <c r="D4804" t="s">
        <v>4073</v>
      </c>
      <c r="E4804" t="s">
        <v>4074</v>
      </c>
      <c r="F4804" t="s">
        <v>4079</v>
      </c>
    </row>
    <row r="4805" spans="1:6" x14ac:dyDescent="0.25">
      <c r="A4805">
        <v>4168</v>
      </c>
      <c r="B4805" t="s">
        <v>4092</v>
      </c>
      <c r="C4805">
        <v>32</v>
      </c>
      <c r="D4805" t="s">
        <v>4106</v>
      </c>
      <c r="E4805" t="s">
        <v>4107</v>
      </c>
      <c r="F4805" t="s">
        <v>4076</v>
      </c>
    </row>
    <row r="4806" spans="1:6" x14ac:dyDescent="0.25">
      <c r="A4806">
        <v>4168</v>
      </c>
      <c r="B4806" t="s">
        <v>4092</v>
      </c>
      <c r="C4806">
        <v>52</v>
      </c>
      <c r="D4806" t="s">
        <v>4106</v>
      </c>
      <c r="E4806" t="s">
        <v>4107</v>
      </c>
      <c r="F4806" t="s">
        <v>4079</v>
      </c>
    </row>
    <row r="4807" spans="1:6" x14ac:dyDescent="0.25">
      <c r="A4807">
        <v>4170</v>
      </c>
      <c r="B4807" t="s">
        <v>4092</v>
      </c>
      <c r="C4807">
        <v>28</v>
      </c>
      <c r="D4807" t="s">
        <v>2757</v>
      </c>
      <c r="E4807" t="s">
        <v>4093</v>
      </c>
      <c r="F4807" t="s">
        <v>4076</v>
      </c>
    </row>
    <row r="4808" spans="1:6" x14ac:dyDescent="0.25">
      <c r="A4808">
        <v>4170</v>
      </c>
      <c r="B4808" t="s">
        <v>4092</v>
      </c>
      <c r="C4808">
        <v>48</v>
      </c>
      <c r="D4808" t="s">
        <v>2757</v>
      </c>
      <c r="E4808" t="s">
        <v>4093</v>
      </c>
      <c r="F4808" t="s">
        <v>4079</v>
      </c>
    </row>
    <row r="4809" spans="1:6" x14ac:dyDescent="0.25">
      <c r="A4809">
        <v>4171</v>
      </c>
      <c r="B4809" t="s">
        <v>4072</v>
      </c>
      <c r="C4809">
        <v>5</v>
      </c>
      <c r="D4809" t="s">
        <v>4087</v>
      </c>
      <c r="E4809" t="s">
        <v>4088</v>
      </c>
      <c r="F4809" t="s">
        <v>4075</v>
      </c>
    </row>
    <row r="4810" spans="1:6" x14ac:dyDescent="0.25">
      <c r="A4810">
        <v>4171</v>
      </c>
      <c r="B4810" t="s">
        <v>4072</v>
      </c>
      <c r="C4810">
        <v>15</v>
      </c>
      <c r="D4810" t="s">
        <v>4080</v>
      </c>
      <c r="E4810" t="s">
        <v>4081</v>
      </c>
      <c r="F4810" t="s">
        <v>4076</v>
      </c>
    </row>
    <row r="4811" spans="1:6" x14ac:dyDescent="0.25">
      <c r="A4811">
        <v>4171</v>
      </c>
      <c r="B4811" t="s">
        <v>4072</v>
      </c>
      <c r="C4811">
        <v>40</v>
      </c>
      <c r="D4811" t="s">
        <v>4080</v>
      </c>
      <c r="E4811" t="s">
        <v>4081</v>
      </c>
      <c r="F4811" t="s">
        <v>4079</v>
      </c>
    </row>
    <row r="4812" spans="1:6" x14ac:dyDescent="0.25">
      <c r="A4812">
        <v>4172</v>
      </c>
      <c r="B4812" t="s">
        <v>4092</v>
      </c>
      <c r="C4812">
        <v>28</v>
      </c>
      <c r="D4812" t="s">
        <v>2757</v>
      </c>
      <c r="E4812" t="s">
        <v>4093</v>
      </c>
      <c r="F4812" t="s">
        <v>4076</v>
      </c>
    </row>
    <row r="4813" spans="1:6" x14ac:dyDescent="0.25">
      <c r="A4813">
        <v>4172</v>
      </c>
      <c r="B4813" t="s">
        <v>4092</v>
      </c>
      <c r="C4813">
        <v>48</v>
      </c>
      <c r="D4813" t="s">
        <v>2757</v>
      </c>
      <c r="E4813" t="s">
        <v>4093</v>
      </c>
      <c r="F4813" t="s">
        <v>4079</v>
      </c>
    </row>
    <row r="4814" spans="1:6" x14ac:dyDescent="0.25">
      <c r="A4814">
        <v>4173</v>
      </c>
      <c r="B4814" t="s">
        <v>4092</v>
      </c>
      <c r="C4814">
        <v>28</v>
      </c>
      <c r="D4814" t="s">
        <v>2757</v>
      </c>
      <c r="E4814" t="s">
        <v>4093</v>
      </c>
      <c r="F4814" t="s">
        <v>4076</v>
      </c>
    </row>
    <row r="4815" spans="1:6" x14ac:dyDescent="0.25">
      <c r="A4815">
        <v>4173</v>
      </c>
      <c r="B4815" t="s">
        <v>4092</v>
      </c>
      <c r="C4815">
        <v>48</v>
      </c>
      <c r="D4815" t="s">
        <v>2757</v>
      </c>
      <c r="E4815" t="s">
        <v>4093</v>
      </c>
      <c r="F4815" t="s">
        <v>4079</v>
      </c>
    </row>
    <row r="4816" spans="1:6" x14ac:dyDescent="0.25">
      <c r="A4816">
        <v>4174</v>
      </c>
      <c r="B4816" t="s">
        <v>4072</v>
      </c>
      <c r="C4816">
        <v>6</v>
      </c>
      <c r="D4816" t="s">
        <v>4073</v>
      </c>
      <c r="E4816" t="s">
        <v>4074</v>
      </c>
      <c r="F4816" t="s">
        <v>4075</v>
      </c>
    </row>
    <row r="4817" spans="1:6" x14ac:dyDescent="0.25">
      <c r="A4817">
        <v>4174</v>
      </c>
      <c r="B4817" t="s">
        <v>4072</v>
      </c>
      <c r="C4817">
        <v>19</v>
      </c>
      <c r="D4817" t="s">
        <v>4073</v>
      </c>
      <c r="E4817" t="s">
        <v>4074</v>
      </c>
      <c r="F4817" t="s">
        <v>4076</v>
      </c>
    </row>
    <row r="4818" spans="1:6" x14ac:dyDescent="0.25">
      <c r="A4818">
        <v>4174</v>
      </c>
      <c r="B4818" t="s">
        <v>4072</v>
      </c>
      <c r="C4818">
        <v>39</v>
      </c>
      <c r="D4818" t="s">
        <v>4073</v>
      </c>
      <c r="E4818" t="s">
        <v>4074</v>
      </c>
      <c r="F4818" t="s">
        <v>4079</v>
      </c>
    </row>
    <row r="4819" spans="1:6" x14ac:dyDescent="0.25">
      <c r="A4819">
        <v>4175</v>
      </c>
      <c r="B4819" t="s">
        <v>4072</v>
      </c>
      <c r="C4819">
        <v>6</v>
      </c>
      <c r="D4819" t="s">
        <v>4073</v>
      </c>
      <c r="E4819" t="s">
        <v>4074</v>
      </c>
      <c r="F4819" t="s">
        <v>4075</v>
      </c>
    </row>
    <row r="4820" spans="1:6" x14ac:dyDescent="0.25">
      <c r="A4820">
        <v>4175</v>
      </c>
      <c r="B4820" t="s">
        <v>4072</v>
      </c>
      <c r="C4820">
        <v>19</v>
      </c>
      <c r="D4820" t="s">
        <v>4073</v>
      </c>
      <c r="E4820" t="s">
        <v>4074</v>
      </c>
      <c r="F4820" t="s">
        <v>4076</v>
      </c>
    </row>
    <row r="4821" spans="1:6" x14ac:dyDescent="0.25">
      <c r="A4821">
        <v>4175</v>
      </c>
      <c r="B4821" t="s">
        <v>4072</v>
      </c>
      <c r="C4821">
        <v>39</v>
      </c>
      <c r="D4821" t="s">
        <v>4073</v>
      </c>
      <c r="E4821" t="s">
        <v>4074</v>
      </c>
      <c r="F4821" t="s">
        <v>4079</v>
      </c>
    </row>
    <row r="4822" spans="1:6" x14ac:dyDescent="0.25">
      <c r="A4822">
        <v>4176</v>
      </c>
      <c r="B4822" t="s">
        <v>4072</v>
      </c>
      <c r="C4822">
        <v>19</v>
      </c>
      <c r="D4822" t="s">
        <v>4073</v>
      </c>
      <c r="E4822" t="s">
        <v>4074</v>
      </c>
      <c r="F4822" t="s">
        <v>4076</v>
      </c>
    </row>
    <row r="4823" spans="1:6" x14ac:dyDescent="0.25">
      <c r="A4823">
        <v>4176</v>
      </c>
      <c r="B4823" t="s">
        <v>4072</v>
      </c>
      <c r="C4823">
        <v>39</v>
      </c>
      <c r="D4823" t="s">
        <v>4073</v>
      </c>
      <c r="E4823" t="s">
        <v>4074</v>
      </c>
      <c r="F4823" t="s">
        <v>4079</v>
      </c>
    </row>
    <row r="4824" spans="1:6" x14ac:dyDescent="0.25">
      <c r="A4824">
        <v>4177</v>
      </c>
      <c r="B4824" t="s">
        <v>4072</v>
      </c>
      <c r="C4824">
        <v>2</v>
      </c>
      <c r="D4824" t="s">
        <v>4082</v>
      </c>
      <c r="E4824" t="s">
        <v>4083</v>
      </c>
      <c r="F4824" t="s">
        <v>4075</v>
      </c>
    </row>
    <row r="4825" spans="1:6" x14ac:dyDescent="0.25">
      <c r="A4825">
        <v>4177</v>
      </c>
      <c r="B4825" t="s">
        <v>4072</v>
      </c>
      <c r="C4825">
        <v>17</v>
      </c>
      <c r="D4825" t="s">
        <v>4082</v>
      </c>
      <c r="E4825" t="s">
        <v>4084</v>
      </c>
      <c r="F4825" t="s">
        <v>4076</v>
      </c>
    </row>
    <row r="4826" spans="1:6" x14ac:dyDescent="0.25">
      <c r="A4826">
        <v>4177</v>
      </c>
      <c r="B4826" t="s">
        <v>4072</v>
      </c>
      <c r="C4826">
        <v>42</v>
      </c>
      <c r="D4826" t="s">
        <v>4082</v>
      </c>
      <c r="E4826" t="s">
        <v>4083</v>
      </c>
      <c r="F4826" t="s">
        <v>4079</v>
      </c>
    </row>
    <row r="4827" spans="1:6" x14ac:dyDescent="0.25">
      <c r="A4827">
        <v>4178</v>
      </c>
      <c r="B4827" t="s">
        <v>4072</v>
      </c>
      <c r="C4827">
        <v>2</v>
      </c>
      <c r="D4827" t="s">
        <v>4082</v>
      </c>
      <c r="E4827" t="s">
        <v>4083</v>
      </c>
      <c r="F4827" t="s">
        <v>4075</v>
      </c>
    </row>
    <row r="4828" spans="1:6" x14ac:dyDescent="0.25">
      <c r="A4828">
        <v>4178</v>
      </c>
      <c r="B4828" t="s">
        <v>4072</v>
      </c>
      <c r="C4828">
        <v>17</v>
      </c>
      <c r="D4828" t="s">
        <v>4082</v>
      </c>
      <c r="E4828" t="s">
        <v>4084</v>
      </c>
      <c r="F4828" t="s">
        <v>4076</v>
      </c>
    </row>
    <row r="4829" spans="1:6" x14ac:dyDescent="0.25">
      <c r="A4829">
        <v>4178</v>
      </c>
      <c r="B4829" t="s">
        <v>4072</v>
      </c>
      <c r="C4829">
        <v>42</v>
      </c>
      <c r="D4829" t="s">
        <v>4082</v>
      </c>
      <c r="E4829" t="s">
        <v>4083</v>
      </c>
      <c r="F4829" t="s">
        <v>4079</v>
      </c>
    </row>
    <row r="4830" spans="1:6" x14ac:dyDescent="0.25">
      <c r="A4830">
        <v>4179</v>
      </c>
      <c r="B4830" t="s">
        <v>4072</v>
      </c>
      <c r="C4830">
        <v>3</v>
      </c>
      <c r="D4830" t="s">
        <v>4085</v>
      </c>
      <c r="E4830" t="s">
        <v>4086</v>
      </c>
      <c r="F4830" t="s">
        <v>4075</v>
      </c>
    </row>
    <row r="4831" spans="1:6" x14ac:dyDescent="0.25">
      <c r="A4831">
        <v>4179</v>
      </c>
      <c r="B4831" t="s">
        <v>4072</v>
      </c>
      <c r="C4831">
        <v>15</v>
      </c>
      <c r="D4831" t="s">
        <v>4080</v>
      </c>
      <c r="E4831" t="s">
        <v>4081</v>
      </c>
      <c r="F4831" t="s">
        <v>4076</v>
      </c>
    </row>
    <row r="4832" spans="1:6" x14ac:dyDescent="0.25">
      <c r="A4832">
        <v>4179</v>
      </c>
      <c r="B4832" t="s">
        <v>4072</v>
      </c>
      <c r="C4832">
        <v>40</v>
      </c>
      <c r="D4832" t="s">
        <v>4080</v>
      </c>
      <c r="E4832" t="s">
        <v>4081</v>
      </c>
      <c r="F4832" t="s">
        <v>4079</v>
      </c>
    </row>
    <row r="4833" spans="1:6" x14ac:dyDescent="0.25">
      <c r="A4833">
        <v>4180</v>
      </c>
      <c r="B4833" t="s">
        <v>4072</v>
      </c>
      <c r="C4833">
        <v>4</v>
      </c>
      <c r="D4833" t="s">
        <v>4077</v>
      </c>
      <c r="E4833" t="s">
        <v>4078</v>
      </c>
      <c r="F4833" t="s">
        <v>4075</v>
      </c>
    </row>
    <row r="4834" spans="1:6" x14ac:dyDescent="0.25">
      <c r="A4834">
        <v>4180</v>
      </c>
      <c r="B4834" t="s">
        <v>4072</v>
      </c>
      <c r="C4834">
        <v>16</v>
      </c>
      <c r="D4834" t="s">
        <v>4077</v>
      </c>
      <c r="E4834" t="s">
        <v>4078</v>
      </c>
      <c r="F4834" t="s">
        <v>4076</v>
      </c>
    </row>
    <row r="4835" spans="1:6" x14ac:dyDescent="0.25">
      <c r="A4835">
        <v>4180</v>
      </c>
      <c r="B4835" t="s">
        <v>4072</v>
      </c>
      <c r="C4835">
        <v>44</v>
      </c>
      <c r="D4835" t="s">
        <v>4077</v>
      </c>
      <c r="E4835" t="s">
        <v>4078</v>
      </c>
      <c r="F4835" t="s">
        <v>4079</v>
      </c>
    </row>
    <row r="4836" spans="1:6" x14ac:dyDescent="0.25">
      <c r="A4836">
        <v>4181</v>
      </c>
      <c r="B4836" t="s">
        <v>4072</v>
      </c>
      <c r="C4836">
        <v>15</v>
      </c>
      <c r="D4836" t="s">
        <v>4080</v>
      </c>
      <c r="E4836" t="s">
        <v>4081</v>
      </c>
      <c r="F4836" t="s">
        <v>4076</v>
      </c>
    </row>
    <row r="4837" spans="1:6" x14ac:dyDescent="0.25">
      <c r="A4837">
        <v>4181</v>
      </c>
      <c r="B4837" t="s">
        <v>4072</v>
      </c>
      <c r="C4837">
        <v>40</v>
      </c>
      <c r="D4837" t="s">
        <v>4080</v>
      </c>
      <c r="E4837" t="s">
        <v>4081</v>
      </c>
      <c r="F4837" t="s">
        <v>4079</v>
      </c>
    </row>
    <row r="4838" spans="1:6" x14ac:dyDescent="0.25">
      <c r="A4838">
        <v>4182</v>
      </c>
      <c r="B4838" t="s">
        <v>4072</v>
      </c>
      <c r="C4838">
        <v>2</v>
      </c>
      <c r="D4838" t="s">
        <v>4082</v>
      </c>
      <c r="E4838" t="s">
        <v>4083</v>
      </c>
      <c r="F4838" t="s">
        <v>4075</v>
      </c>
    </row>
    <row r="4839" spans="1:6" x14ac:dyDescent="0.25">
      <c r="A4839">
        <v>4182</v>
      </c>
      <c r="B4839" t="s">
        <v>4072</v>
      </c>
      <c r="C4839">
        <v>17</v>
      </c>
      <c r="D4839" t="s">
        <v>4082</v>
      </c>
      <c r="E4839" t="s">
        <v>4084</v>
      </c>
      <c r="F4839" t="s">
        <v>4076</v>
      </c>
    </row>
    <row r="4840" spans="1:6" x14ac:dyDescent="0.25">
      <c r="A4840">
        <v>4183</v>
      </c>
      <c r="B4840" t="s">
        <v>4072</v>
      </c>
      <c r="C4840">
        <v>4</v>
      </c>
      <c r="D4840" t="s">
        <v>4077</v>
      </c>
      <c r="E4840" t="s">
        <v>4078</v>
      </c>
      <c r="F4840" t="s">
        <v>4075</v>
      </c>
    </row>
    <row r="4841" spans="1:6" x14ac:dyDescent="0.25">
      <c r="A4841">
        <v>4183</v>
      </c>
      <c r="B4841" t="s">
        <v>4072</v>
      </c>
      <c r="C4841">
        <v>16</v>
      </c>
      <c r="D4841" t="s">
        <v>4077</v>
      </c>
      <c r="E4841" t="s">
        <v>4078</v>
      </c>
      <c r="F4841" t="s">
        <v>4076</v>
      </c>
    </row>
    <row r="4842" spans="1:6" x14ac:dyDescent="0.25">
      <c r="A4842">
        <v>4183</v>
      </c>
      <c r="B4842" t="s">
        <v>4072</v>
      </c>
      <c r="C4842">
        <v>44</v>
      </c>
      <c r="D4842" t="s">
        <v>4077</v>
      </c>
      <c r="E4842" t="s">
        <v>4078</v>
      </c>
      <c r="F4842" t="s">
        <v>4079</v>
      </c>
    </row>
    <row r="4843" spans="1:6" x14ac:dyDescent="0.25">
      <c r="A4843">
        <v>4184</v>
      </c>
      <c r="B4843" t="s">
        <v>4072</v>
      </c>
      <c r="C4843">
        <v>3</v>
      </c>
      <c r="D4843" t="s">
        <v>4085</v>
      </c>
      <c r="E4843" t="s">
        <v>4086</v>
      </c>
      <c r="F4843" t="s">
        <v>4075</v>
      </c>
    </row>
    <row r="4844" spans="1:6" x14ac:dyDescent="0.25">
      <c r="A4844">
        <v>4184</v>
      </c>
      <c r="B4844" t="s">
        <v>4072</v>
      </c>
      <c r="C4844">
        <v>15</v>
      </c>
      <c r="D4844" t="s">
        <v>4080</v>
      </c>
      <c r="E4844" t="s">
        <v>4081</v>
      </c>
      <c r="F4844" t="s">
        <v>4076</v>
      </c>
    </row>
    <row r="4845" spans="1:6" x14ac:dyDescent="0.25">
      <c r="A4845">
        <v>4184</v>
      </c>
      <c r="B4845" t="s">
        <v>4072</v>
      </c>
      <c r="C4845">
        <v>40</v>
      </c>
      <c r="D4845" t="s">
        <v>4080</v>
      </c>
      <c r="E4845" t="s">
        <v>4081</v>
      </c>
      <c r="F4845" t="s">
        <v>4079</v>
      </c>
    </row>
    <row r="4846" spans="1:6" x14ac:dyDescent="0.25">
      <c r="A4846">
        <v>4185</v>
      </c>
      <c r="B4846" t="s">
        <v>4072</v>
      </c>
      <c r="C4846">
        <v>5</v>
      </c>
      <c r="D4846" t="s">
        <v>4087</v>
      </c>
      <c r="E4846" t="s">
        <v>4088</v>
      </c>
      <c r="F4846" t="s">
        <v>4075</v>
      </c>
    </row>
    <row r="4847" spans="1:6" x14ac:dyDescent="0.25">
      <c r="A4847">
        <v>4185</v>
      </c>
      <c r="B4847" t="s">
        <v>4072</v>
      </c>
      <c r="C4847">
        <v>15</v>
      </c>
      <c r="D4847" t="s">
        <v>4080</v>
      </c>
      <c r="E4847" t="s">
        <v>4081</v>
      </c>
      <c r="F4847" t="s">
        <v>4076</v>
      </c>
    </row>
    <row r="4848" spans="1:6" x14ac:dyDescent="0.25">
      <c r="A4848">
        <v>4185</v>
      </c>
      <c r="B4848" t="s">
        <v>4072</v>
      </c>
      <c r="C4848">
        <v>40</v>
      </c>
      <c r="D4848" t="s">
        <v>4080</v>
      </c>
      <c r="E4848" t="s">
        <v>4081</v>
      </c>
      <c r="F4848" t="s">
        <v>4079</v>
      </c>
    </row>
    <row r="4849" spans="1:6" x14ac:dyDescent="0.25">
      <c r="A4849">
        <v>4186</v>
      </c>
      <c r="B4849" t="s">
        <v>4072</v>
      </c>
      <c r="C4849">
        <v>6</v>
      </c>
      <c r="D4849" t="s">
        <v>4073</v>
      </c>
      <c r="E4849" t="s">
        <v>4074</v>
      </c>
      <c r="F4849" t="s">
        <v>4075</v>
      </c>
    </row>
    <row r="4850" spans="1:6" x14ac:dyDescent="0.25">
      <c r="A4850">
        <v>4186</v>
      </c>
      <c r="B4850" t="s">
        <v>4072</v>
      </c>
      <c r="C4850">
        <v>19</v>
      </c>
      <c r="D4850" t="s">
        <v>4073</v>
      </c>
      <c r="E4850" t="s">
        <v>4074</v>
      </c>
      <c r="F4850" t="s">
        <v>4076</v>
      </c>
    </row>
    <row r="4851" spans="1:6" x14ac:dyDescent="0.25">
      <c r="A4851">
        <v>4186</v>
      </c>
      <c r="B4851" t="s">
        <v>4072</v>
      </c>
      <c r="C4851">
        <v>39</v>
      </c>
      <c r="D4851" t="s">
        <v>4073</v>
      </c>
      <c r="E4851" t="s">
        <v>4074</v>
      </c>
      <c r="F4851" t="s">
        <v>4079</v>
      </c>
    </row>
    <row r="4852" spans="1:6" x14ac:dyDescent="0.25">
      <c r="A4852">
        <v>4187</v>
      </c>
      <c r="B4852" t="s">
        <v>4092</v>
      </c>
      <c r="C4852">
        <v>24</v>
      </c>
      <c r="D4852" t="s">
        <v>2760</v>
      </c>
      <c r="E4852" t="s">
        <v>4108</v>
      </c>
      <c r="F4852" t="s">
        <v>4075</v>
      </c>
    </row>
    <row r="4853" spans="1:6" x14ac:dyDescent="0.25">
      <c r="A4853">
        <v>4187</v>
      </c>
      <c r="B4853" t="s">
        <v>4092</v>
      </c>
      <c r="C4853">
        <v>29</v>
      </c>
      <c r="D4853" t="s">
        <v>2760</v>
      </c>
      <c r="E4853" t="s">
        <v>4108</v>
      </c>
      <c r="F4853" t="s">
        <v>4076</v>
      </c>
    </row>
    <row r="4854" spans="1:6" x14ac:dyDescent="0.25">
      <c r="A4854">
        <v>4187</v>
      </c>
      <c r="B4854" t="s">
        <v>4092</v>
      </c>
      <c r="C4854">
        <v>49</v>
      </c>
      <c r="D4854" t="s">
        <v>2760</v>
      </c>
      <c r="E4854" t="s">
        <v>4108</v>
      </c>
      <c r="F4854" t="s">
        <v>4079</v>
      </c>
    </row>
    <row r="4855" spans="1:6" x14ac:dyDescent="0.25">
      <c r="A4855">
        <v>4188</v>
      </c>
      <c r="B4855" t="s">
        <v>4072</v>
      </c>
      <c r="C4855">
        <v>4</v>
      </c>
      <c r="D4855" t="s">
        <v>4077</v>
      </c>
      <c r="E4855" t="s">
        <v>4078</v>
      </c>
      <c r="F4855" t="s">
        <v>4075</v>
      </c>
    </row>
    <row r="4856" spans="1:6" x14ac:dyDescent="0.25">
      <c r="A4856">
        <v>4188</v>
      </c>
      <c r="B4856" t="s">
        <v>4072</v>
      </c>
      <c r="C4856">
        <v>16</v>
      </c>
      <c r="D4856" t="s">
        <v>4077</v>
      </c>
      <c r="E4856" t="s">
        <v>4078</v>
      </c>
      <c r="F4856" t="s">
        <v>4076</v>
      </c>
    </row>
    <row r="4857" spans="1:6" x14ac:dyDescent="0.25">
      <c r="A4857">
        <v>4188</v>
      </c>
      <c r="B4857" t="s">
        <v>4072</v>
      </c>
      <c r="C4857">
        <v>44</v>
      </c>
      <c r="D4857" t="s">
        <v>4077</v>
      </c>
      <c r="E4857" t="s">
        <v>4078</v>
      </c>
      <c r="F4857" t="s">
        <v>4079</v>
      </c>
    </row>
    <row r="4858" spans="1:6" x14ac:dyDescent="0.25">
      <c r="A4858">
        <v>4189</v>
      </c>
      <c r="B4858" t="s">
        <v>4072</v>
      </c>
      <c r="C4858">
        <v>5</v>
      </c>
      <c r="D4858" t="s">
        <v>4087</v>
      </c>
      <c r="E4858" t="s">
        <v>4088</v>
      </c>
      <c r="F4858" t="s">
        <v>4075</v>
      </c>
    </row>
    <row r="4859" spans="1:6" x14ac:dyDescent="0.25">
      <c r="A4859">
        <v>4189</v>
      </c>
      <c r="B4859" t="s">
        <v>4072</v>
      </c>
      <c r="C4859">
        <v>15</v>
      </c>
      <c r="D4859" t="s">
        <v>4080</v>
      </c>
      <c r="E4859" t="s">
        <v>4081</v>
      </c>
      <c r="F4859" t="s">
        <v>4076</v>
      </c>
    </row>
    <row r="4860" spans="1:6" x14ac:dyDescent="0.25">
      <c r="A4860">
        <v>4189</v>
      </c>
      <c r="B4860" t="s">
        <v>4072</v>
      </c>
      <c r="C4860">
        <v>40</v>
      </c>
      <c r="D4860" t="s">
        <v>4080</v>
      </c>
      <c r="E4860" t="s">
        <v>4081</v>
      </c>
      <c r="F4860" t="s">
        <v>4079</v>
      </c>
    </row>
    <row r="4861" spans="1:6" x14ac:dyDescent="0.25">
      <c r="A4861">
        <v>4192</v>
      </c>
      <c r="B4861" t="s">
        <v>4072</v>
      </c>
      <c r="C4861">
        <v>2</v>
      </c>
      <c r="D4861" t="s">
        <v>4082</v>
      </c>
      <c r="E4861" t="s">
        <v>4083</v>
      </c>
      <c r="F4861" t="s">
        <v>4075</v>
      </c>
    </row>
    <row r="4862" spans="1:6" x14ac:dyDescent="0.25">
      <c r="A4862">
        <v>4192</v>
      </c>
      <c r="B4862" t="s">
        <v>4072</v>
      </c>
      <c r="C4862">
        <v>17</v>
      </c>
      <c r="D4862" t="s">
        <v>4082</v>
      </c>
      <c r="E4862" t="s">
        <v>4084</v>
      </c>
      <c r="F4862" t="s">
        <v>4076</v>
      </c>
    </row>
    <row r="4863" spans="1:6" x14ac:dyDescent="0.25">
      <c r="A4863">
        <v>4193</v>
      </c>
      <c r="B4863" t="s">
        <v>4072</v>
      </c>
      <c r="C4863">
        <v>2</v>
      </c>
      <c r="D4863" t="s">
        <v>4082</v>
      </c>
      <c r="E4863" t="s">
        <v>4083</v>
      </c>
      <c r="F4863" t="s">
        <v>4075</v>
      </c>
    </row>
    <row r="4864" spans="1:6" x14ac:dyDescent="0.25">
      <c r="A4864">
        <v>4193</v>
      </c>
      <c r="B4864" t="s">
        <v>4072</v>
      </c>
      <c r="C4864">
        <v>17</v>
      </c>
      <c r="D4864" t="s">
        <v>4082</v>
      </c>
      <c r="E4864" t="s">
        <v>4084</v>
      </c>
      <c r="F4864" t="s">
        <v>4076</v>
      </c>
    </row>
    <row r="4865" spans="1:6" x14ac:dyDescent="0.25">
      <c r="A4865">
        <v>4194</v>
      </c>
      <c r="B4865" t="s">
        <v>4072</v>
      </c>
      <c r="C4865">
        <v>5</v>
      </c>
      <c r="D4865" t="s">
        <v>4087</v>
      </c>
      <c r="E4865" t="s">
        <v>4088</v>
      </c>
      <c r="F4865" t="s">
        <v>4075</v>
      </c>
    </row>
    <row r="4866" spans="1:6" x14ac:dyDescent="0.25">
      <c r="A4866">
        <v>4194</v>
      </c>
      <c r="B4866" t="s">
        <v>4072</v>
      </c>
      <c r="C4866">
        <v>15</v>
      </c>
      <c r="D4866" t="s">
        <v>4080</v>
      </c>
      <c r="E4866" t="s">
        <v>4081</v>
      </c>
      <c r="F4866" t="s">
        <v>4076</v>
      </c>
    </row>
    <row r="4867" spans="1:6" x14ac:dyDescent="0.25">
      <c r="A4867">
        <v>4194</v>
      </c>
      <c r="B4867" t="s">
        <v>4072</v>
      </c>
      <c r="C4867">
        <v>40</v>
      </c>
      <c r="D4867" t="s">
        <v>4080</v>
      </c>
      <c r="E4867" t="s">
        <v>4081</v>
      </c>
      <c r="F4867" t="s">
        <v>4079</v>
      </c>
    </row>
    <row r="4868" spans="1:6" x14ac:dyDescent="0.25">
      <c r="A4868">
        <v>4195</v>
      </c>
      <c r="B4868" t="s">
        <v>4072</v>
      </c>
      <c r="C4868">
        <v>6</v>
      </c>
      <c r="D4868" t="s">
        <v>4073</v>
      </c>
      <c r="E4868" t="s">
        <v>4074</v>
      </c>
      <c r="F4868" t="s">
        <v>4075</v>
      </c>
    </row>
    <row r="4869" spans="1:6" x14ac:dyDescent="0.25">
      <c r="A4869">
        <v>4195</v>
      </c>
      <c r="B4869" t="s">
        <v>4072</v>
      </c>
      <c r="C4869">
        <v>19</v>
      </c>
      <c r="D4869" t="s">
        <v>4073</v>
      </c>
      <c r="E4869" t="s">
        <v>4074</v>
      </c>
      <c r="F4869" t="s">
        <v>4076</v>
      </c>
    </row>
    <row r="4870" spans="1:6" x14ac:dyDescent="0.25">
      <c r="A4870">
        <v>4195</v>
      </c>
      <c r="B4870" t="s">
        <v>4072</v>
      </c>
      <c r="C4870">
        <v>39</v>
      </c>
      <c r="D4870" t="s">
        <v>4073</v>
      </c>
      <c r="E4870" t="s">
        <v>4074</v>
      </c>
      <c r="F4870" t="s">
        <v>4079</v>
      </c>
    </row>
    <row r="4871" spans="1:6" x14ac:dyDescent="0.25">
      <c r="A4871">
        <v>4196</v>
      </c>
      <c r="B4871" t="s">
        <v>4072</v>
      </c>
      <c r="C4871">
        <v>3</v>
      </c>
      <c r="D4871" t="s">
        <v>4085</v>
      </c>
      <c r="E4871" t="s">
        <v>4086</v>
      </c>
      <c r="F4871" t="s">
        <v>4075</v>
      </c>
    </row>
    <row r="4872" spans="1:6" x14ac:dyDescent="0.25">
      <c r="A4872">
        <v>4196</v>
      </c>
      <c r="B4872" t="s">
        <v>4072</v>
      </c>
      <c r="C4872">
        <v>15</v>
      </c>
      <c r="D4872" t="s">
        <v>4080</v>
      </c>
      <c r="E4872" t="s">
        <v>4081</v>
      </c>
      <c r="F4872" t="s">
        <v>4076</v>
      </c>
    </row>
    <row r="4873" spans="1:6" x14ac:dyDescent="0.25">
      <c r="A4873">
        <v>4196</v>
      </c>
      <c r="B4873" t="s">
        <v>4072</v>
      </c>
      <c r="C4873">
        <v>40</v>
      </c>
      <c r="D4873" t="s">
        <v>4080</v>
      </c>
      <c r="E4873" t="s">
        <v>4081</v>
      </c>
      <c r="F4873" t="s">
        <v>4079</v>
      </c>
    </row>
    <row r="4874" spans="1:6" x14ac:dyDescent="0.25">
      <c r="A4874">
        <v>4197</v>
      </c>
      <c r="B4874" t="s">
        <v>4072</v>
      </c>
      <c r="C4874">
        <v>4</v>
      </c>
      <c r="D4874" t="s">
        <v>4077</v>
      </c>
      <c r="E4874" t="s">
        <v>4078</v>
      </c>
      <c r="F4874" t="s">
        <v>4075</v>
      </c>
    </row>
    <row r="4875" spans="1:6" x14ac:dyDescent="0.25">
      <c r="A4875">
        <v>4197</v>
      </c>
      <c r="B4875" t="s">
        <v>4072</v>
      </c>
      <c r="C4875">
        <v>16</v>
      </c>
      <c r="D4875" t="s">
        <v>4077</v>
      </c>
      <c r="E4875" t="s">
        <v>4078</v>
      </c>
      <c r="F4875" t="s">
        <v>4076</v>
      </c>
    </row>
    <row r="4876" spans="1:6" x14ac:dyDescent="0.25">
      <c r="A4876">
        <v>4197</v>
      </c>
      <c r="B4876" t="s">
        <v>4072</v>
      </c>
      <c r="C4876">
        <v>44</v>
      </c>
      <c r="D4876" t="s">
        <v>4077</v>
      </c>
      <c r="E4876" t="s">
        <v>4078</v>
      </c>
      <c r="F4876" t="s">
        <v>4079</v>
      </c>
    </row>
    <row r="4877" spans="1:6" x14ac:dyDescent="0.25">
      <c r="A4877">
        <v>4198</v>
      </c>
      <c r="B4877" t="s">
        <v>4072</v>
      </c>
      <c r="C4877">
        <v>5</v>
      </c>
      <c r="D4877" t="s">
        <v>4087</v>
      </c>
      <c r="E4877" t="s">
        <v>4088</v>
      </c>
      <c r="F4877" t="s">
        <v>4075</v>
      </c>
    </row>
    <row r="4878" spans="1:6" x14ac:dyDescent="0.25">
      <c r="A4878">
        <v>4198</v>
      </c>
      <c r="B4878" t="s">
        <v>4072</v>
      </c>
      <c r="C4878">
        <v>15</v>
      </c>
      <c r="D4878" t="s">
        <v>4080</v>
      </c>
      <c r="E4878" t="s">
        <v>4081</v>
      </c>
      <c r="F4878" t="s">
        <v>4076</v>
      </c>
    </row>
    <row r="4879" spans="1:6" x14ac:dyDescent="0.25">
      <c r="A4879">
        <v>4198</v>
      </c>
      <c r="B4879" t="s">
        <v>4072</v>
      </c>
      <c r="C4879">
        <v>40</v>
      </c>
      <c r="D4879" t="s">
        <v>4080</v>
      </c>
      <c r="E4879" t="s">
        <v>4081</v>
      </c>
      <c r="F4879" t="s">
        <v>4079</v>
      </c>
    </row>
    <row r="4880" spans="1:6" x14ac:dyDescent="0.25">
      <c r="A4880">
        <v>4199</v>
      </c>
      <c r="B4880" t="s">
        <v>4092</v>
      </c>
      <c r="C4880">
        <v>24</v>
      </c>
      <c r="D4880" t="s">
        <v>2760</v>
      </c>
      <c r="E4880" t="s">
        <v>4108</v>
      </c>
      <c r="F4880" t="s">
        <v>4075</v>
      </c>
    </row>
    <row r="4881" spans="1:6" x14ac:dyDescent="0.25">
      <c r="A4881">
        <v>4199</v>
      </c>
      <c r="B4881" t="s">
        <v>4092</v>
      </c>
      <c r="C4881">
        <v>29</v>
      </c>
      <c r="D4881" t="s">
        <v>2760</v>
      </c>
      <c r="E4881" t="s">
        <v>4108</v>
      </c>
      <c r="F4881" t="s">
        <v>4076</v>
      </c>
    </row>
    <row r="4882" spans="1:6" x14ac:dyDescent="0.25">
      <c r="A4882">
        <v>4199</v>
      </c>
      <c r="B4882" t="s">
        <v>4092</v>
      </c>
      <c r="C4882">
        <v>49</v>
      </c>
      <c r="D4882" t="s">
        <v>2760</v>
      </c>
      <c r="E4882" t="s">
        <v>4108</v>
      </c>
      <c r="F4882" t="s">
        <v>4079</v>
      </c>
    </row>
    <row r="4883" spans="1:6" x14ac:dyDescent="0.25">
      <c r="A4883">
        <v>4200</v>
      </c>
      <c r="B4883" t="s">
        <v>4072</v>
      </c>
      <c r="C4883">
        <v>10</v>
      </c>
      <c r="D4883" t="s">
        <v>4095</v>
      </c>
      <c r="E4883" t="s">
        <v>4096</v>
      </c>
      <c r="F4883" t="s">
        <v>4075</v>
      </c>
    </row>
    <row r="4884" spans="1:6" x14ac:dyDescent="0.25">
      <c r="A4884">
        <v>4201</v>
      </c>
      <c r="B4884" t="s">
        <v>4072</v>
      </c>
      <c r="C4884">
        <v>19</v>
      </c>
      <c r="D4884" t="s">
        <v>4073</v>
      </c>
      <c r="E4884" t="s">
        <v>4074</v>
      </c>
      <c r="F4884" t="s">
        <v>4076</v>
      </c>
    </row>
    <row r="4885" spans="1:6" x14ac:dyDescent="0.25">
      <c r="A4885">
        <v>4201</v>
      </c>
      <c r="B4885" t="s">
        <v>4072</v>
      </c>
      <c r="C4885">
        <v>39</v>
      </c>
      <c r="D4885" t="s">
        <v>4073</v>
      </c>
      <c r="E4885" t="s">
        <v>4074</v>
      </c>
      <c r="F4885" t="s">
        <v>4079</v>
      </c>
    </row>
    <row r="4886" spans="1:6" x14ac:dyDescent="0.25">
      <c r="A4886">
        <v>4202</v>
      </c>
      <c r="B4886" t="s">
        <v>4072</v>
      </c>
      <c r="C4886">
        <v>2</v>
      </c>
      <c r="D4886" t="s">
        <v>4082</v>
      </c>
      <c r="E4886" t="s">
        <v>4083</v>
      </c>
      <c r="F4886" t="s">
        <v>4075</v>
      </c>
    </row>
    <row r="4887" spans="1:6" x14ac:dyDescent="0.25">
      <c r="A4887">
        <v>4202</v>
      </c>
      <c r="B4887" t="s">
        <v>4072</v>
      </c>
      <c r="C4887">
        <v>17</v>
      </c>
      <c r="D4887" t="s">
        <v>4082</v>
      </c>
      <c r="E4887" t="s">
        <v>4084</v>
      </c>
      <c r="F4887" t="s">
        <v>4076</v>
      </c>
    </row>
    <row r="4888" spans="1:6" x14ac:dyDescent="0.25">
      <c r="A4888">
        <v>4202</v>
      </c>
      <c r="B4888" t="s">
        <v>4072</v>
      </c>
      <c r="C4888">
        <v>42</v>
      </c>
      <c r="D4888" t="s">
        <v>4082</v>
      </c>
      <c r="E4888" t="s">
        <v>4083</v>
      </c>
      <c r="F4888" t="s">
        <v>4079</v>
      </c>
    </row>
    <row r="4889" spans="1:6" x14ac:dyDescent="0.25">
      <c r="A4889">
        <v>4203</v>
      </c>
      <c r="B4889" t="s">
        <v>4072</v>
      </c>
      <c r="C4889">
        <v>6</v>
      </c>
      <c r="D4889" t="s">
        <v>4073</v>
      </c>
      <c r="E4889" t="s">
        <v>4074</v>
      </c>
      <c r="F4889" t="s">
        <v>4075</v>
      </c>
    </row>
    <row r="4890" spans="1:6" x14ac:dyDescent="0.25">
      <c r="A4890">
        <v>4203</v>
      </c>
      <c r="B4890" t="s">
        <v>4072</v>
      </c>
      <c r="C4890">
        <v>19</v>
      </c>
      <c r="D4890" t="s">
        <v>4073</v>
      </c>
      <c r="E4890" t="s">
        <v>4074</v>
      </c>
      <c r="F4890" t="s">
        <v>4076</v>
      </c>
    </row>
    <row r="4891" spans="1:6" x14ac:dyDescent="0.25">
      <c r="A4891">
        <v>4203</v>
      </c>
      <c r="B4891" t="s">
        <v>4072</v>
      </c>
      <c r="C4891">
        <v>39</v>
      </c>
      <c r="D4891" t="s">
        <v>4073</v>
      </c>
      <c r="E4891" t="s">
        <v>4074</v>
      </c>
      <c r="F4891" t="s">
        <v>4079</v>
      </c>
    </row>
    <row r="4892" spans="1:6" x14ac:dyDescent="0.25">
      <c r="A4892">
        <v>4204</v>
      </c>
      <c r="B4892" t="s">
        <v>4072</v>
      </c>
      <c r="C4892">
        <v>5</v>
      </c>
      <c r="D4892" t="s">
        <v>4087</v>
      </c>
      <c r="E4892" t="s">
        <v>4088</v>
      </c>
      <c r="F4892" t="s">
        <v>4075</v>
      </c>
    </row>
    <row r="4893" spans="1:6" x14ac:dyDescent="0.25">
      <c r="A4893">
        <v>4204</v>
      </c>
      <c r="B4893" t="s">
        <v>4072</v>
      </c>
      <c r="C4893">
        <v>15</v>
      </c>
      <c r="D4893" t="s">
        <v>4080</v>
      </c>
      <c r="E4893" t="s">
        <v>4081</v>
      </c>
      <c r="F4893" t="s">
        <v>4076</v>
      </c>
    </row>
    <row r="4894" spans="1:6" x14ac:dyDescent="0.25">
      <c r="A4894">
        <v>4204</v>
      </c>
      <c r="B4894" t="s">
        <v>4072</v>
      </c>
      <c r="C4894">
        <v>40</v>
      </c>
      <c r="D4894" t="s">
        <v>4080</v>
      </c>
      <c r="E4894" t="s">
        <v>4081</v>
      </c>
      <c r="F4894" t="s">
        <v>4079</v>
      </c>
    </row>
    <row r="4895" spans="1:6" x14ac:dyDescent="0.25">
      <c r="A4895">
        <v>4205</v>
      </c>
      <c r="B4895" t="s">
        <v>4072</v>
      </c>
      <c r="C4895">
        <v>3</v>
      </c>
      <c r="D4895" t="s">
        <v>4085</v>
      </c>
      <c r="E4895" t="s">
        <v>4086</v>
      </c>
      <c r="F4895" t="s">
        <v>4075</v>
      </c>
    </row>
    <row r="4896" spans="1:6" x14ac:dyDescent="0.25">
      <c r="A4896">
        <v>4205</v>
      </c>
      <c r="B4896" t="s">
        <v>4072</v>
      </c>
      <c r="C4896">
        <v>15</v>
      </c>
      <c r="D4896" t="s">
        <v>4080</v>
      </c>
      <c r="E4896" t="s">
        <v>4081</v>
      </c>
      <c r="F4896" t="s">
        <v>4076</v>
      </c>
    </row>
    <row r="4897" spans="1:6" x14ac:dyDescent="0.25">
      <c r="A4897">
        <v>4205</v>
      </c>
      <c r="B4897" t="s">
        <v>4072</v>
      </c>
      <c r="C4897">
        <v>40</v>
      </c>
      <c r="D4897" t="s">
        <v>4080</v>
      </c>
      <c r="E4897" t="s">
        <v>4081</v>
      </c>
      <c r="F4897" t="s">
        <v>4079</v>
      </c>
    </row>
    <row r="4898" spans="1:6" x14ac:dyDescent="0.25">
      <c r="A4898">
        <v>4206</v>
      </c>
      <c r="B4898" t="s">
        <v>4072</v>
      </c>
      <c r="C4898">
        <v>5</v>
      </c>
      <c r="D4898" t="s">
        <v>4087</v>
      </c>
      <c r="E4898" t="s">
        <v>4088</v>
      </c>
      <c r="F4898" t="s">
        <v>4075</v>
      </c>
    </row>
    <row r="4899" spans="1:6" x14ac:dyDescent="0.25">
      <c r="A4899">
        <v>4206</v>
      </c>
      <c r="B4899" t="s">
        <v>4072</v>
      </c>
      <c r="C4899">
        <v>15</v>
      </c>
      <c r="D4899" t="s">
        <v>4080</v>
      </c>
      <c r="E4899" t="s">
        <v>4081</v>
      </c>
      <c r="F4899" t="s">
        <v>4076</v>
      </c>
    </row>
    <row r="4900" spans="1:6" x14ac:dyDescent="0.25">
      <c r="A4900">
        <v>4206</v>
      </c>
      <c r="B4900" t="s">
        <v>4072</v>
      </c>
      <c r="C4900">
        <v>40</v>
      </c>
      <c r="D4900" t="s">
        <v>4080</v>
      </c>
      <c r="E4900" t="s">
        <v>4081</v>
      </c>
      <c r="F4900" t="s">
        <v>4079</v>
      </c>
    </row>
    <row r="4901" spans="1:6" x14ac:dyDescent="0.25">
      <c r="A4901">
        <v>4207</v>
      </c>
      <c r="B4901" t="s">
        <v>4072</v>
      </c>
      <c r="C4901">
        <v>5</v>
      </c>
      <c r="D4901" t="s">
        <v>4087</v>
      </c>
      <c r="E4901" t="s">
        <v>4088</v>
      </c>
      <c r="F4901" t="s">
        <v>4075</v>
      </c>
    </row>
    <row r="4902" spans="1:6" x14ac:dyDescent="0.25">
      <c r="A4902">
        <v>4207</v>
      </c>
      <c r="B4902" t="s">
        <v>4072</v>
      </c>
      <c r="C4902">
        <v>15</v>
      </c>
      <c r="D4902" t="s">
        <v>4080</v>
      </c>
      <c r="E4902" t="s">
        <v>4081</v>
      </c>
      <c r="F4902" t="s">
        <v>4076</v>
      </c>
    </row>
    <row r="4903" spans="1:6" x14ac:dyDescent="0.25">
      <c r="A4903">
        <v>4207</v>
      </c>
      <c r="B4903" t="s">
        <v>4072</v>
      </c>
      <c r="C4903">
        <v>40</v>
      </c>
      <c r="D4903" t="s">
        <v>4080</v>
      </c>
      <c r="E4903" t="s">
        <v>4081</v>
      </c>
      <c r="F4903" t="s">
        <v>4079</v>
      </c>
    </row>
    <row r="4904" spans="1:6" x14ac:dyDescent="0.25">
      <c r="A4904">
        <v>4208</v>
      </c>
      <c r="B4904" t="s">
        <v>4072</v>
      </c>
      <c r="C4904">
        <v>2</v>
      </c>
      <c r="D4904" t="s">
        <v>4082</v>
      </c>
      <c r="E4904" t="s">
        <v>4083</v>
      </c>
      <c r="F4904" t="s">
        <v>4075</v>
      </c>
    </row>
    <row r="4905" spans="1:6" x14ac:dyDescent="0.25">
      <c r="A4905">
        <v>4208</v>
      </c>
      <c r="B4905" t="s">
        <v>4072</v>
      </c>
      <c r="C4905">
        <v>17</v>
      </c>
      <c r="D4905" t="s">
        <v>4082</v>
      </c>
      <c r="E4905" t="s">
        <v>4084</v>
      </c>
      <c r="F4905" t="s">
        <v>4076</v>
      </c>
    </row>
    <row r="4906" spans="1:6" x14ac:dyDescent="0.25">
      <c r="A4906">
        <v>4208</v>
      </c>
      <c r="B4906" t="s">
        <v>4072</v>
      </c>
      <c r="C4906">
        <v>42</v>
      </c>
      <c r="D4906" t="s">
        <v>4082</v>
      </c>
      <c r="E4906" t="s">
        <v>4083</v>
      </c>
      <c r="F4906" t="s">
        <v>4079</v>
      </c>
    </row>
    <row r="4907" spans="1:6" x14ac:dyDescent="0.25">
      <c r="A4907">
        <v>4209</v>
      </c>
      <c r="B4907" t="s">
        <v>4072</v>
      </c>
      <c r="C4907">
        <v>2</v>
      </c>
      <c r="D4907" t="s">
        <v>4082</v>
      </c>
      <c r="E4907" t="s">
        <v>4083</v>
      </c>
      <c r="F4907" t="s">
        <v>4075</v>
      </c>
    </row>
    <row r="4908" spans="1:6" x14ac:dyDescent="0.25">
      <c r="A4908">
        <v>4209</v>
      </c>
      <c r="B4908" t="s">
        <v>4072</v>
      </c>
      <c r="C4908">
        <v>17</v>
      </c>
      <c r="D4908" t="s">
        <v>4082</v>
      </c>
      <c r="E4908" t="s">
        <v>4084</v>
      </c>
      <c r="F4908" t="s">
        <v>4076</v>
      </c>
    </row>
    <row r="4909" spans="1:6" x14ac:dyDescent="0.25">
      <c r="A4909">
        <v>4209</v>
      </c>
      <c r="B4909" t="s">
        <v>4072</v>
      </c>
      <c r="C4909">
        <v>42</v>
      </c>
      <c r="D4909" t="s">
        <v>4082</v>
      </c>
      <c r="E4909" t="s">
        <v>4083</v>
      </c>
      <c r="F4909" t="s">
        <v>4079</v>
      </c>
    </row>
    <row r="4910" spans="1:6" x14ac:dyDescent="0.25">
      <c r="A4910">
        <v>4210</v>
      </c>
      <c r="B4910" t="s">
        <v>4072</v>
      </c>
      <c r="C4910">
        <v>2</v>
      </c>
      <c r="D4910" t="s">
        <v>4082</v>
      </c>
      <c r="E4910" t="s">
        <v>4083</v>
      </c>
      <c r="F4910" t="s">
        <v>4075</v>
      </c>
    </row>
    <row r="4911" spans="1:6" x14ac:dyDescent="0.25">
      <c r="A4911">
        <v>4210</v>
      </c>
      <c r="B4911" t="s">
        <v>4072</v>
      </c>
      <c r="C4911">
        <v>17</v>
      </c>
      <c r="D4911" t="s">
        <v>4082</v>
      </c>
      <c r="E4911" t="s">
        <v>4084</v>
      </c>
      <c r="F4911" t="s">
        <v>4076</v>
      </c>
    </row>
    <row r="4912" spans="1:6" x14ac:dyDescent="0.25">
      <c r="A4912">
        <v>4210</v>
      </c>
      <c r="B4912" t="s">
        <v>4072</v>
      </c>
      <c r="C4912">
        <v>42</v>
      </c>
      <c r="D4912" t="s">
        <v>4082</v>
      </c>
      <c r="E4912" t="s">
        <v>4083</v>
      </c>
      <c r="F4912" t="s">
        <v>4079</v>
      </c>
    </row>
    <row r="4913" spans="1:6" x14ac:dyDescent="0.25">
      <c r="A4913">
        <v>4211</v>
      </c>
      <c r="B4913" t="s">
        <v>4072</v>
      </c>
      <c r="C4913">
        <v>2</v>
      </c>
      <c r="D4913" t="s">
        <v>4082</v>
      </c>
      <c r="E4913" t="s">
        <v>4083</v>
      </c>
      <c r="F4913" t="s">
        <v>4075</v>
      </c>
    </row>
    <row r="4914" spans="1:6" x14ac:dyDescent="0.25">
      <c r="A4914">
        <v>4211</v>
      </c>
      <c r="B4914" t="s">
        <v>4072</v>
      </c>
      <c r="C4914">
        <v>17</v>
      </c>
      <c r="D4914" t="s">
        <v>4082</v>
      </c>
      <c r="E4914" t="s">
        <v>4084</v>
      </c>
      <c r="F4914" t="s">
        <v>4076</v>
      </c>
    </row>
    <row r="4915" spans="1:6" x14ac:dyDescent="0.25">
      <c r="A4915">
        <v>4211</v>
      </c>
      <c r="B4915" t="s">
        <v>4072</v>
      </c>
      <c r="C4915">
        <v>42</v>
      </c>
      <c r="D4915" t="s">
        <v>4082</v>
      </c>
      <c r="E4915" t="s">
        <v>4083</v>
      </c>
      <c r="F4915" t="s">
        <v>4079</v>
      </c>
    </row>
    <row r="4916" spans="1:6" x14ac:dyDescent="0.25">
      <c r="A4916">
        <v>4212</v>
      </c>
      <c r="B4916" t="s">
        <v>4092</v>
      </c>
      <c r="C4916">
        <v>24</v>
      </c>
      <c r="D4916" t="s">
        <v>2760</v>
      </c>
      <c r="E4916" t="s">
        <v>4108</v>
      </c>
      <c r="F4916" t="s">
        <v>4075</v>
      </c>
    </row>
    <row r="4917" spans="1:6" x14ac:dyDescent="0.25">
      <c r="A4917">
        <v>4212</v>
      </c>
      <c r="B4917" t="s">
        <v>4092</v>
      </c>
      <c r="C4917">
        <v>29</v>
      </c>
      <c r="D4917" t="s">
        <v>2760</v>
      </c>
      <c r="E4917" t="s">
        <v>4108</v>
      </c>
      <c r="F4917" t="s">
        <v>4076</v>
      </c>
    </row>
    <row r="4918" spans="1:6" x14ac:dyDescent="0.25">
      <c r="A4918">
        <v>4212</v>
      </c>
      <c r="B4918" t="s">
        <v>4092</v>
      </c>
      <c r="C4918">
        <v>49</v>
      </c>
      <c r="D4918" t="s">
        <v>2760</v>
      </c>
      <c r="E4918" t="s">
        <v>4108</v>
      </c>
      <c r="F4918" t="s">
        <v>4079</v>
      </c>
    </row>
    <row r="4919" spans="1:6" x14ac:dyDescent="0.25">
      <c r="A4919">
        <v>4213</v>
      </c>
      <c r="B4919" t="s">
        <v>4072</v>
      </c>
      <c r="C4919">
        <v>10</v>
      </c>
      <c r="D4919" t="s">
        <v>4095</v>
      </c>
      <c r="E4919" t="s">
        <v>4096</v>
      </c>
      <c r="F4919" t="s">
        <v>4075</v>
      </c>
    </row>
    <row r="4920" spans="1:6" x14ac:dyDescent="0.25">
      <c r="A4920">
        <v>4214</v>
      </c>
      <c r="B4920" t="s">
        <v>4072</v>
      </c>
      <c r="C4920">
        <v>6</v>
      </c>
      <c r="D4920" t="s">
        <v>4073</v>
      </c>
      <c r="E4920" t="s">
        <v>4074</v>
      </c>
      <c r="F4920" t="s">
        <v>4075</v>
      </c>
    </row>
    <row r="4921" spans="1:6" x14ac:dyDescent="0.25">
      <c r="A4921">
        <v>4214</v>
      </c>
      <c r="B4921" t="s">
        <v>4072</v>
      </c>
      <c r="C4921">
        <v>19</v>
      </c>
      <c r="D4921" t="s">
        <v>4073</v>
      </c>
      <c r="E4921" t="s">
        <v>4074</v>
      </c>
      <c r="F4921" t="s">
        <v>4076</v>
      </c>
    </row>
    <row r="4922" spans="1:6" x14ac:dyDescent="0.25">
      <c r="A4922">
        <v>4215</v>
      </c>
      <c r="B4922" t="s">
        <v>4072</v>
      </c>
      <c r="C4922">
        <v>19</v>
      </c>
      <c r="D4922" t="s">
        <v>4073</v>
      </c>
      <c r="E4922" t="s">
        <v>4074</v>
      </c>
      <c r="F4922" t="s">
        <v>4076</v>
      </c>
    </row>
    <row r="4923" spans="1:6" x14ac:dyDescent="0.25">
      <c r="A4923">
        <v>4217</v>
      </c>
      <c r="B4923" t="s">
        <v>4072</v>
      </c>
      <c r="C4923">
        <v>6</v>
      </c>
      <c r="D4923" t="s">
        <v>4073</v>
      </c>
      <c r="E4923" t="s">
        <v>4074</v>
      </c>
      <c r="F4923" t="s">
        <v>4075</v>
      </c>
    </row>
    <row r="4924" spans="1:6" x14ac:dyDescent="0.25">
      <c r="A4924">
        <v>4217</v>
      </c>
      <c r="B4924" t="s">
        <v>4072</v>
      </c>
      <c r="C4924">
        <v>19</v>
      </c>
      <c r="D4924" t="s">
        <v>4073</v>
      </c>
      <c r="E4924" t="s">
        <v>4074</v>
      </c>
      <c r="F4924" t="s">
        <v>4076</v>
      </c>
    </row>
    <row r="4925" spans="1:6" x14ac:dyDescent="0.25">
      <c r="A4925">
        <v>4218</v>
      </c>
      <c r="B4925" t="s">
        <v>4072</v>
      </c>
      <c r="C4925">
        <v>2</v>
      </c>
      <c r="D4925" t="s">
        <v>4082</v>
      </c>
      <c r="E4925" t="s">
        <v>4083</v>
      </c>
      <c r="F4925" t="s">
        <v>4075</v>
      </c>
    </row>
    <row r="4926" spans="1:6" x14ac:dyDescent="0.25">
      <c r="A4926">
        <v>4218</v>
      </c>
      <c r="B4926" t="s">
        <v>4072</v>
      </c>
      <c r="C4926">
        <v>17</v>
      </c>
      <c r="D4926" t="s">
        <v>4082</v>
      </c>
      <c r="E4926" t="s">
        <v>4084</v>
      </c>
      <c r="F4926" t="s">
        <v>4076</v>
      </c>
    </row>
    <row r="4927" spans="1:6" x14ac:dyDescent="0.25">
      <c r="A4927">
        <v>4219</v>
      </c>
      <c r="B4927" t="s">
        <v>4072</v>
      </c>
      <c r="C4927">
        <v>5</v>
      </c>
      <c r="D4927" t="s">
        <v>4087</v>
      </c>
      <c r="E4927" t="s">
        <v>4088</v>
      </c>
      <c r="F4927" t="s">
        <v>4075</v>
      </c>
    </row>
    <row r="4928" spans="1:6" x14ac:dyDescent="0.25">
      <c r="A4928">
        <v>4219</v>
      </c>
      <c r="B4928" t="s">
        <v>4072</v>
      </c>
      <c r="C4928">
        <v>15</v>
      </c>
      <c r="D4928" t="s">
        <v>4080</v>
      </c>
      <c r="E4928" t="s">
        <v>4081</v>
      </c>
      <c r="F4928" t="s">
        <v>4076</v>
      </c>
    </row>
    <row r="4929" spans="1:6" x14ac:dyDescent="0.25">
      <c r="A4929">
        <v>4220</v>
      </c>
      <c r="B4929" t="s">
        <v>4072</v>
      </c>
      <c r="C4929">
        <v>3</v>
      </c>
      <c r="D4929" t="s">
        <v>4085</v>
      </c>
      <c r="E4929" t="s">
        <v>4086</v>
      </c>
      <c r="F4929" t="s">
        <v>4075</v>
      </c>
    </row>
    <row r="4930" spans="1:6" x14ac:dyDescent="0.25">
      <c r="A4930">
        <v>4220</v>
      </c>
      <c r="B4930" t="s">
        <v>4072</v>
      </c>
      <c r="C4930">
        <v>15</v>
      </c>
      <c r="D4930" t="s">
        <v>4080</v>
      </c>
      <c r="E4930" t="s">
        <v>4081</v>
      </c>
      <c r="F4930" t="s">
        <v>4076</v>
      </c>
    </row>
    <row r="4931" spans="1:6" x14ac:dyDescent="0.25">
      <c r="A4931">
        <v>4221</v>
      </c>
      <c r="B4931" t="s">
        <v>4072</v>
      </c>
      <c r="C4931">
        <v>2</v>
      </c>
      <c r="D4931" t="s">
        <v>4082</v>
      </c>
      <c r="E4931" t="s">
        <v>4083</v>
      </c>
      <c r="F4931" t="s">
        <v>4075</v>
      </c>
    </row>
    <row r="4932" spans="1:6" x14ac:dyDescent="0.25">
      <c r="A4932">
        <v>4221</v>
      </c>
      <c r="B4932" t="s">
        <v>4072</v>
      </c>
      <c r="C4932">
        <v>17</v>
      </c>
      <c r="D4932" t="s">
        <v>4082</v>
      </c>
      <c r="E4932" t="s">
        <v>4084</v>
      </c>
      <c r="F4932" t="s">
        <v>4076</v>
      </c>
    </row>
    <row r="4933" spans="1:6" x14ac:dyDescent="0.25">
      <c r="A4933">
        <v>4222</v>
      </c>
      <c r="B4933" t="s">
        <v>4072</v>
      </c>
      <c r="C4933">
        <v>2</v>
      </c>
      <c r="D4933" t="s">
        <v>4082</v>
      </c>
      <c r="E4933" t="s">
        <v>4083</v>
      </c>
      <c r="F4933" t="s">
        <v>4075</v>
      </c>
    </row>
    <row r="4934" spans="1:6" x14ac:dyDescent="0.25">
      <c r="A4934">
        <v>4222</v>
      </c>
      <c r="B4934" t="s">
        <v>4072</v>
      </c>
      <c r="C4934">
        <v>17</v>
      </c>
      <c r="D4934" t="s">
        <v>4082</v>
      </c>
      <c r="E4934" t="s">
        <v>4084</v>
      </c>
      <c r="F4934" t="s">
        <v>4076</v>
      </c>
    </row>
    <row r="4935" spans="1:6" x14ac:dyDescent="0.25">
      <c r="A4935">
        <v>4223</v>
      </c>
      <c r="B4935" t="s">
        <v>4072</v>
      </c>
      <c r="C4935">
        <v>5</v>
      </c>
      <c r="D4935" t="s">
        <v>4087</v>
      </c>
      <c r="E4935" t="s">
        <v>4088</v>
      </c>
      <c r="F4935" t="s">
        <v>4075</v>
      </c>
    </row>
    <row r="4936" spans="1:6" x14ac:dyDescent="0.25">
      <c r="A4936">
        <v>4223</v>
      </c>
      <c r="B4936" t="s">
        <v>4072</v>
      </c>
      <c r="C4936">
        <v>15</v>
      </c>
      <c r="D4936" t="s">
        <v>4080</v>
      </c>
      <c r="E4936" t="s">
        <v>4081</v>
      </c>
      <c r="F4936" t="s">
        <v>4076</v>
      </c>
    </row>
    <row r="4937" spans="1:6" x14ac:dyDescent="0.25">
      <c r="A4937">
        <v>4223</v>
      </c>
      <c r="B4937" t="s">
        <v>4072</v>
      </c>
      <c r="C4937">
        <v>40</v>
      </c>
      <c r="D4937" t="s">
        <v>4080</v>
      </c>
      <c r="E4937" t="s">
        <v>4081</v>
      </c>
      <c r="F4937" t="s">
        <v>4079</v>
      </c>
    </row>
    <row r="4938" spans="1:6" x14ac:dyDescent="0.25">
      <c r="A4938">
        <v>4224</v>
      </c>
      <c r="B4938" t="s">
        <v>4072</v>
      </c>
      <c r="C4938">
        <v>4</v>
      </c>
      <c r="D4938" t="s">
        <v>4077</v>
      </c>
      <c r="E4938" t="s">
        <v>4078</v>
      </c>
      <c r="F4938" t="s">
        <v>4075</v>
      </c>
    </row>
    <row r="4939" spans="1:6" x14ac:dyDescent="0.25">
      <c r="A4939">
        <v>4224</v>
      </c>
      <c r="B4939" t="s">
        <v>4072</v>
      </c>
      <c r="C4939">
        <v>16</v>
      </c>
      <c r="D4939" t="s">
        <v>4077</v>
      </c>
      <c r="E4939" t="s">
        <v>4078</v>
      </c>
      <c r="F4939" t="s">
        <v>4076</v>
      </c>
    </row>
    <row r="4940" spans="1:6" x14ac:dyDescent="0.25">
      <c r="A4940">
        <v>4225</v>
      </c>
      <c r="B4940" t="s">
        <v>4072</v>
      </c>
      <c r="C4940">
        <v>13</v>
      </c>
      <c r="D4940" t="s">
        <v>4097</v>
      </c>
      <c r="E4940" t="s">
        <v>4098</v>
      </c>
      <c r="F4940" t="s">
        <v>4076</v>
      </c>
    </row>
    <row r="4941" spans="1:6" x14ac:dyDescent="0.25">
      <c r="A4941">
        <v>4225</v>
      </c>
      <c r="B4941" t="s">
        <v>4072</v>
      </c>
      <c r="C4941">
        <v>46</v>
      </c>
      <c r="D4941" t="s">
        <v>4099</v>
      </c>
      <c r="E4941" t="s">
        <v>4100</v>
      </c>
      <c r="F4941" t="s">
        <v>4079</v>
      </c>
    </row>
    <row r="4942" spans="1:6" x14ac:dyDescent="0.25">
      <c r="A4942">
        <v>4226</v>
      </c>
      <c r="B4942" t="s">
        <v>4072</v>
      </c>
      <c r="C4942">
        <v>2</v>
      </c>
      <c r="D4942" t="s">
        <v>4082</v>
      </c>
      <c r="E4942" t="s">
        <v>4083</v>
      </c>
      <c r="F4942" t="s">
        <v>4075</v>
      </c>
    </row>
    <row r="4943" spans="1:6" x14ac:dyDescent="0.25">
      <c r="A4943">
        <v>4226</v>
      </c>
      <c r="B4943" t="s">
        <v>4072</v>
      </c>
      <c r="C4943">
        <v>17</v>
      </c>
      <c r="D4943" t="s">
        <v>4082</v>
      </c>
      <c r="E4943" t="s">
        <v>4084</v>
      </c>
      <c r="F4943" t="s">
        <v>4076</v>
      </c>
    </row>
    <row r="4944" spans="1:6" x14ac:dyDescent="0.25">
      <c r="A4944">
        <v>4227</v>
      </c>
      <c r="B4944" t="s">
        <v>4072</v>
      </c>
      <c r="C4944">
        <v>5</v>
      </c>
      <c r="D4944" t="s">
        <v>4087</v>
      </c>
      <c r="E4944" t="s">
        <v>4088</v>
      </c>
      <c r="F4944" t="s">
        <v>4075</v>
      </c>
    </row>
    <row r="4945" spans="1:6" x14ac:dyDescent="0.25">
      <c r="A4945">
        <v>4227</v>
      </c>
      <c r="B4945" t="s">
        <v>4072</v>
      </c>
      <c r="C4945">
        <v>15</v>
      </c>
      <c r="D4945" t="s">
        <v>4080</v>
      </c>
      <c r="E4945" t="s">
        <v>4081</v>
      </c>
      <c r="F4945" t="s">
        <v>4076</v>
      </c>
    </row>
    <row r="4946" spans="1:6" x14ac:dyDescent="0.25">
      <c r="A4946">
        <v>4228</v>
      </c>
      <c r="B4946" t="s">
        <v>4072</v>
      </c>
      <c r="C4946">
        <v>5</v>
      </c>
      <c r="D4946" t="s">
        <v>4087</v>
      </c>
      <c r="E4946" t="s">
        <v>4088</v>
      </c>
      <c r="F4946" t="s">
        <v>4075</v>
      </c>
    </row>
    <row r="4947" spans="1:6" x14ac:dyDescent="0.25">
      <c r="A4947">
        <v>4228</v>
      </c>
      <c r="B4947" t="s">
        <v>4072</v>
      </c>
      <c r="C4947">
        <v>15</v>
      </c>
      <c r="D4947" t="s">
        <v>4080</v>
      </c>
      <c r="E4947" t="s">
        <v>4081</v>
      </c>
      <c r="F4947" t="s">
        <v>4076</v>
      </c>
    </row>
    <row r="4948" spans="1:6" x14ac:dyDescent="0.25">
      <c r="A4948">
        <v>4229</v>
      </c>
      <c r="B4948" t="s">
        <v>4072</v>
      </c>
      <c r="C4948">
        <v>5</v>
      </c>
      <c r="D4948" t="s">
        <v>4087</v>
      </c>
      <c r="E4948" t="s">
        <v>4088</v>
      </c>
      <c r="F4948" t="s">
        <v>4075</v>
      </c>
    </row>
    <row r="4949" spans="1:6" x14ac:dyDescent="0.25">
      <c r="A4949">
        <v>4229</v>
      </c>
      <c r="B4949" t="s">
        <v>4072</v>
      </c>
      <c r="C4949">
        <v>15</v>
      </c>
      <c r="D4949" t="s">
        <v>4080</v>
      </c>
      <c r="E4949" t="s">
        <v>4081</v>
      </c>
      <c r="F4949" t="s">
        <v>4076</v>
      </c>
    </row>
    <row r="4950" spans="1:6" x14ac:dyDescent="0.25">
      <c r="A4950">
        <v>4230</v>
      </c>
      <c r="B4950" t="s">
        <v>4072</v>
      </c>
      <c r="C4950">
        <v>19</v>
      </c>
      <c r="D4950" t="s">
        <v>4073</v>
      </c>
      <c r="E4950" t="s">
        <v>4074</v>
      </c>
      <c r="F4950" t="s">
        <v>4076</v>
      </c>
    </row>
    <row r="4951" spans="1:6" x14ac:dyDescent="0.25">
      <c r="A4951">
        <v>4230</v>
      </c>
      <c r="B4951" t="s">
        <v>4072</v>
      </c>
      <c r="C4951">
        <v>39</v>
      </c>
      <c r="D4951" t="s">
        <v>4073</v>
      </c>
      <c r="E4951" t="s">
        <v>4074</v>
      </c>
      <c r="F4951" t="s">
        <v>4079</v>
      </c>
    </row>
    <row r="4952" spans="1:6" x14ac:dyDescent="0.25">
      <c r="A4952">
        <v>4231</v>
      </c>
      <c r="B4952" t="s">
        <v>4072</v>
      </c>
      <c r="C4952">
        <v>3</v>
      </c>
      <c r="D4952" t="s">
        <v>4085</v>
      </c>
      <c r="E4952" t="s">
        <v>4086</v>
      </c>
      <c r="F4952" t="s">
        <v>4075</v>
      </c>
    </row>
    <row r="4953" spans="1:6" x14ac:dyDescent="0.25">
      <c r="A4953">
        <v>4231</v>
      </c>
      <c r="B4953" t="s">
        <v>4072</v>
      </c>
      <c r="C4953">
        <v>15</v>
      </c>
      <c r="D4953" t="s">
        <v>4080</v>
      </c>
      <c r="E4953" t="s">
        <v>4081</v>
      </c>
      <c r="F4953" t="s">
        <v>4076</v>
      </c>
    </row>
    <row r="4954" spans="1:6" x14ac:dyDescent="0.25">
      <c r="A4954">
        <v>4232</v>
      </c>
      <c r="B4954" t="s">
        <v>4072</v>
      </c>
      <c r="C4954">
        <v>4</v>
      </c>
      <c r="D4954" t="s">
        <v>4077</v>
      </c>
      <c r="E4954" t="s">
        <v>4078</v>
      </c>
      <c r="F4954" t="s">
        <v>4075</v>
      </c>
    </row>
    <row r="4955" spans="1:6" x14ac:dyDescent="0.25">
      <c r="A4955">
        <v>4232</v>
      </c>
      <c r="B4955" t="s">
        <v>4072</v>
      </c>
      <c r="C4955">
        <v>16</v>
      </c>
      <c r="D4955" t="s">
        <v>4077</v>
      </c>
      <c r="E4955" t="s">
        <v>4078</v>
      </c>
      <c r="F4955" t="s">
        <v>4076</v>
      </c>
    </row>
    <row r="4956" spans="1:6" x14ac:dyDescent="0.25">
      <c r="A4956">
        <v>4233</v>
      </c>
      <c r="B4956" t="s">
        <v>4072</v>
      </c>
      <c r="C4956">
        <v>5</v>
      </c>
      <c r="D4956" t="s">
        <v>4087</v>
      </c>
      <c r="E4956" t="s">
        <v>4088</v>
      </c>
      <c r="F4956" t="s">
        <v>4075</v>
      </c>
    </row>
    <row r="4957" spans="1:6" x14ac:dyDescent="0.25">
      <c r="A4957">
        <v>4233</v>
      </c>
      <c r="B4957" t="s">
        <v>4072</v>
      </c>
      <c r="C4957">
        <v>15</v>
      </c>
      <c r="D4957" t="s">
        <v>4080</v>
      </c>
      <c r="E4957" t="s">
        <v>4081</v>
      </c>
      <c r="F4957" t="s">
        <v>4076</v>
      </c>
    </row>
    <row r="4958" spans="1:6" x14ac:dyDescent="0.25">
      <c r="A4958">
        <v>4234</v>
      </c>
      <c r="B4958" t="s">
        <v>4072</v>
      </c>
      <c r="C4958">
        <v>5</v>
      </c>
      <c r="D4958" t="s">
        <v>4087</v>
      </c>
      <c r="E4958" t="s">
        <v>4088</v>
      </c>
      <c r="F4958" t="s">
        <v>4075</v>
      </c>
    </row>
    <row r="4959" spans="1:6" x14ac:dyDescent="0.25">
      <c r="A4959">
        <v>4234</v>
      </c>
      <c r="B4959" t="s">
        <v>4072</v>
      </c>
      <c r="C4959">
        <v>15</v>
      </c>
      <c r="D4959" t="s">
        <v>4080</v>
      </c>
      <c r="E4959" t="s">
        <v>4081</v>
      </c>
      <c r="F4959" t="s">
        <v>4076</v>
      </c>
    </row>
    <row r="4960" spans="1:6" x14ac:dyDescent="0.25">
      <c r="A4960">
        <v>4236</v>
      </c>
      <c r="B4960" t="s">
        <v>4092</v>
      </c>
      <c r="C4960">
        <v>23</v>
      </c>
      <c r="D4960" t="s">
        <v>2757</v>
      </c>
      <c r="E4960" t="s">
        <v>4093</v>
      </c>
      <c r="F4960" t="s">
        <v>4075</v>
      </c>
    </row>
    <row r="4961" spans="1:6" x14ac:dyDescent="0.25">
      <c r="A4961">
        <v>4236</v>
      </c>
      <c r="B4961" t="s">
        <v>4092</v>
      </c>
      <c r="C4961">
        <v>28</v>
      </c>
      <c r="D4961" t="s">
        <v>2757</v>
      </c>
      <c r="E4961" t="s">
        <v>4093</v>
      </c>
      <c r="F4961" t="s">
        <v>4076</v>
      </c>
    </row>
    <row r="4962" spans="1:6" x14ac:dyDescent="0.25">
      <c r="A4962">
        <v>4237</v>
      </c>
      <c r="B4962" t="s">
        <v>4092</v>
      </c>
      <c r="C4962">
        <v>24</v>
      </c>
      <c r="D4962" t="s">
        <v>2760</v>
      </c>
      <c r="E4962" t="s">
        <v>4108</v>
      </c>
      <c r="F4962" t="s">
        <v>4075</v>
      </c>
    </row>
    <row r="4963" spans="1:6" x14ac:dyDescent="0.25">
      <c r="A4963">
        <v>4237</v>
      </c>
      <c r="B4963" t="s">
        <v>4092</v>
      </c>
      <c r="C4963">
        <v>29</v>
      </c>
      <c r="D4963" t="s">
        <v>2760</v>
      </c>
      <c r="E4963" t="s">
        <v>4108</v>
      </c>
      <c r="F4963" t="s">
        <v>4076</v>
      </c>
    </row>
    <row r="4964" spans="1:6" x14ac:dyDescent="0.25">
      <c r="A4964">
        <v>4238</v>
      </c>
      <c r="B4964" t="s">
        <v>4092</v>
      </c>
      <c r="C4964">
        <v>23</v>
      </c>
      <c r="D4964" t="s">
        <v>2757</v>
      </c>
      <c r="E4964" t="s">
        <v>4093</v>
      </c>
      <c r="F4964" t="s">
        <v>4075</v>
      </c>
    </row>
    <row r="4965" spans="1:6" x14ac:dyDescent="0.25">
      <c r="A4965">
        <v>4238</v>
      </c>
      <c r="B4965" t="s">
        <v>4092</v>
      </c>
      <c r="C4965">
        <v>28</v>
      </c>
      <c r="D4965" t="s">
        <v>2757</v>
      </c>
      <c r="E4965" t="s">
        <v>4093</v>
      </c>
      <c r="F4965" t="s">
        <v>4076</v>
      </c>
    </row>
    <row r="4966" spans="1:6" x14ac:dyDescent="0.25">
      <c r="A4966">
        <v>4239</v>
      </c>
      <c r="B4966" t="s">
        <v>4072</v>
      </c>
      <c r="C4966">
        <v>6</v>
      </c>
      <c r="D4966" t="s">
        <v>4073</v>
      </c>
      <c r="E4966" t="s">
        <v>4074</v>
      </c>
      <c r="F4966" t="s">
        <v>4075</v>
      </c>
    </row>
    <row r="4967" spans="1:6" x14ac:dyDescent="0.25">
      <c r="A4967">
        <v>4239</v>
      </c>
      <c r="B4967" t="s">
        <v>4072</v>
      </c>
      <c r="C4967">
        <v>19</v>
      </c>
      <c r="D4967" t="s">
        <v>4073</v>
      </c>
      <c r="E4967" t="s">
        <v>4074</v>
      </c>
      <c r="F4967" t="s">
        <v>4076</v>
      </c>
    </row>
    <row r="4968" spans="1:6" x14ac:dyDescent="0.25">
      <c r="A4968">
        <v>4240</v>
      </c>
      <c r="B4968" t="s">
        <v>4072</v>
      </c>
      <c r="C4968">
        <v>2</v>
      </c>
      <c r="D4968" t="s">
        <v>4082</v>
      </c>
      <c r="E4968" t="s">
        <v>4083</v>
      </c>
      <c r="F4968" t="s">
        <v>4075</v>
      </c>
    </row>
    <row r="4969" spans="1:6" x14ac:dyDescent="0.25">
      <c r="A4969">
        <v>4240</v>
      </c>
      <c r="B4969" t="s">
        <v>4072</v>
      </c>
      <c r="C4969">
        <v>17</v>
      </c>
      <c r="D4969" t="s">
        <v>4082</v>
      </c>
      <c r="E4969" t="s">
        <v>4084</v>
      </c>
      <c r="F4969" t="s">
        <v>4076</v>
      </c>
    </row>
    <row r="4970" spans="1:6" x14ac:dyDescent="0.25">
      <c r="A4970">
        <v>4241</v>
      </c>
      <c r="B4970" t="s">
        <v>4092</v>
      </c>
      <c r="C4970">
        <v>33</v>
      </c>
      <c r="D4970" t="s">
        <v>4109</v>
      </c>
      <c r="E4970" t="s">
        <v>4110</v>
      </c>
      <c r="F4970" t="s">
        <v>4075</v>
      </c>
    </row>
    <row r="4971" spans="1:6" x14ac:dyDescent="0.25">
      <c r="A4971">
        <v>4241</v>
      </c>
      <c r="B4971" t="s">
        <v>4092</v>
      </c>
      <c r="C4971">
        <v>34</v>
      </c>
      <c r="D4971" t="s">
        <v>4109</v>
      </c>
      <c r="E4971" t="s">
        <v>4110</v>
      </c>
      <c r="F4971" t="s">
        <v>4076</v>
      </c>
    </row>
    <row r="4972" spans="1:6" x14ac:dyDescent="0.25">
      <c r="A4972">
        <v>4244</v>
      </c>
      <c r="B4972" t="s">
        <v>4072</v>
      </c>
      <c r="C4972">
        <v>6</v>
      </c>
      <c r="D4972" t="s">
        <v>4073</v>
      </c>
      <c r="E4972" t="s">
        <v>4074</v>
      </c>
      <c r="F4972" t="s">
        <v>4075</v>
      </c>
    </row>
    <row r="4973" spans="1:6" x14ac:dyDescent="0.25">
      <c r="A4973">
        <v>4244</v>
      </c>
      <c r="B4973" t="s">
        <v>4072</v>
      </c>
      <c r="C4973">
        <v>19</v>
      </c>
      <c r="D4973" t="s">
        <v>4073</v>
      </c>
      <c r="E4973" t="s">
        <v>4074</v>
      </c>
      <c r="F4973" t="s">
        <v>4076</v>
      </c>
    </row>
    <row r="4974" spans="1:6" x14ac:dyDescent="0.25">
      <c r="A4974">
        <v>4244</v>
      </c>
      <c r="B4974" t="s">
        <v>4072</v>
      </c>
      <c r="C4974">
        <v>39</v>
      </c>
      <c r="D4974" t="s">
        <v>4073</v>
      </c>
      <c r="E4974" t="s">
        <v>4074</v>
      </c>
      <c r="F4974" t="s">
        <v>4079</v>
      </c>
    </row>
    <row r="4975" spans="1:6" x14ac:dyDescent="0.25">
      <c r="A4975">
        <v>4245</v>
      </c>
      <c r="B4975" t="s">
        <v>4072</v>
      </c>
      <c r="C4975">
        <v>6</v>
      </c>
      <c r="D4975" t="s">
        <v>4073</v>
      </c>
      <c r="E4975" t="s">
        <v>4074</v>
      </c>
      <c r="F4975" t="s">
        <v>4075</v>
      </c>
    </row>
    <row r="4976" spans="1:6" x14ac:dyDescent="0.25">
      <c r="A4976">
        <v>4245</v>
      </c>
      <c r="B4976" t="s">
        <v>4072</v>
      </c>
      <c r="C4976">
        <v>19</v>
      </c>
      <c r="D4976" t="s">
        <v>4073</v>
      </c>
      <c r="E4976" t="s">
        <v>4074</v>
      </c>
      <c r="F4976" t="s">
        <v>4076</v>
      </c>
    </row>
    <row r="4977" spans="1:6" x14ac:dyDescent="0.25">
      <c r="A4977">
        <v>4245</v>
      </c>
      <c r="B4977" t="s">
        <v>4072</v>
      </c>
      <c r="C4977">
        <v>39</v>
      </c>
      <c r="D4977" t="s">
        <v>4073</v>
      </c>
      <c r="E4977" t="s">
        <v>4074</v>
      </c>
      <c r="F4977" t="s">
        <v>4079</v>
      </c>
    </row>
    <row r="4978" spans="1:6" x14ac:dyDescent="0.25">
      <c r="A4978">
        <v>4246</v>
      </c>
      <c r="B4978" t="s">
        <v>4092</v>
      </c>
      <c r="C4978">
        <v>24</v>
      </c>
      <c r="D4978" t="s">
        <v>2760</v>
      </c>
      <c r="E4978" t="s">
        <v>4108</v>
      </c>
      <c r="F4978" t="s">
        <v>4075</v>
      </c>
    </row>
    <row r="4979" spans="1:6" x14ac:dyDescent="0.25">
      <c r="A4979">
        <v>4246</v>
      </c>
      <c r="B4979" t="s">
        <v>4092</v>
      </c>
      <c r="C4979">
        <v>29</v>
      </c>
      <c r="D4979" t="s">
        <v>2760</v>
      </c>
      <c r="E4979" t="s">
        <v>4108</v>
      </c>
      <c r="F4979" t="s">
        <v>4076</v>
      </c>
    </row>
    <row r="4980" spans="1:6" x14ac:dyDescent="0.25">
      <c r="A4980">
        <v>4246</v>
      </c>
      <c r="B4980" t="s">
        <v>4092</v>
      </c>
      <c r="C4980">
        <v>49</v>
      </c>
      <c r="D4980" t="s">
        <v>2760</v>
      </c>
      <c r="E4980" t="s">
        <v>4108</v>
      </c>
      <c r="F4980" t="s">
        <v>4079</v>
      </c>
    </row>
    <row r="4981" spans="1:6" x14ac:dyDescent="0.25">
      <c r="A4981">
        <v>4253</v>
      </c>
      <c r="B4981" t="s">
        <v>4092</v>
      </c>
      <c r="C4981">
        <v>23</v>
      </c>
      <c r="D4981" t="s">
        <v>2757</v>
      </c>
      <c r="E4981" t="s">
        <v>4093</v>
      </c>
      <c r="F4981" t="s">
        <v>4075</v>
      </c>
    </row>
    <row r="4982" spans="1:6" x14ac:dyDescent="0.25">
      <c r="A4982">
        <v>4253</v>
      </c>
      <c r="B4982" t="s">
        <v>4092</v>
      </c>
      <c r="C4982">
        <v>28</v>
      </c>
      <c r="D4982" t="s">
        <v>2757</v>
      </c>
      <c r="E4982" t="s">
        <v>4093</v>
      </c>
      <c r="F4982" t="s">
        <v>4076</v>
      </c>
    </row>
    <row r="4983" spans="1:6" x14ac:dyDescent="0.25">
      <c r="A4983">
        <v>4253</v>
      </c>
      <c r="B4983" t="s">
        <v>4092</v>
      </c>
      <c r="C4983">
        <v>48</v>
      </c>
      <c r="D4983" t="s">
        <v>2757</v>
      </c>
      <c r="E4983" t="s">
        <v>4093</v>
      </c>
      <c r="F4983" t="s">
        <v>4079</v>
      </c>
    </row>
    <row r="4984" spans="1:6" x14ac:dyDescent="0.25">
      <c r="A4984">
        <v>4254</v>
      </c>
      <c r="B4984" t="s">
        <v>4072</v>
      </c>
      <c r="C4984">
        <v>5</v>
      </c>
      <c r="D4984" t="s">
        <v>4087</v>
      </c>
      <c r="E4984" t="s">
        <v>4088</v>
      </c>
      <c r="F4984" t="s">
        <v>4075</v>
      </c>
    </row>
    <row r="4985" spans="1:6" x14ac:dyDescent="0.25">
      <c r="A4985">
        <v>4254</v>
      </c>
      <c r="B4985" t="s">
        <v>4072</v>
      </c>
      <c r="C4985">
        <v>15</v>
      </c>
      <c r="D4985" t="s">
        <v>4080</v>
      </c>
      <c r="E4985" t="s">
        <v>4081</v>
      </c>
      <c r="F4985" t="s">
        <v>4076</v>
      </c>
    </row>
    <row r="4986" spans="1:6" x14ac:dyDescent="0.25">
      <c r="A4986">
        <v>4254</v>
      </c>
      <c r="B4986" t="s">
        <v>4072</v>
      </c>
      <c r="C4986">
        <v>40</v>
      </c>
      <c r="D4986" t="s">
        <v>4080</v>
      </c>
      <c r="E4986" t="s">
        <v>4081</v>
      </c>
      <c r="F4986" t="s">
        <v>4079</v>
      </c>
    </row>
    <row r="4987" spans="1:6" x14ac:dyDescent="0.25">
      <c r="A4987">
        <v>4257</v>
      </c>
      <c r="B4987" t="s">
        <v>4072</v>
      </c>
      <c r="C4987">
        <v>4</v>
      </c>
      <c r="D4987" t="s">
        <v>4077</v>
      </c>
      <c r="E4987" t="s">
        <v>4078</v>
      </c>
      <c r="F4987" t="s">
        <v>4075</v>
      </c>
    </row>
    <row r="4988" spans="1:6" x14ac:dyDescent="0.25">
      <c r="A4988">
        <v>4257</v>
      </c>
      <c r="B4988" t="s">
        <v>4072</v>
      </c>
      <c r="C4988">
        <v>16</v>
      </c>
      <c r="D4988" t="s">
        <v>4077</v>
      </c>
      <c r="E4988" t="s">
        <v>4078</v>
      </c>
      <c r="F4988" t="s">
        <v>4076</v>
      </c>
    </row>
    <row r="4989" spans="1:6" x14ac:dyDescent="0.25">
      <c r="A4989">
        <v>4257</v>
      </c>
      <c r="B4989" t="s">
        <v>4072</v>
      </c>
      <c r="C4989">
        <v>44</v>
      </c>
      <c r="D4989" t="s">
        <v>4077</v>
      </c>
      <c r="E4989" t="s">
        <v>4078</v>
      </c>
      <c r="F4989" t="s">
        <v>4079</v>
      </c>
    </row>
    <row r="4990" spans="1:6" x14ac:dyDescent="0.25">
      <c r="A4990">
        <v>4260</v>
      </c>
      <c r="B4990" t="s">
        <v>4072</v>
      </c>
      <c r="C4990">
        <v>13</v>
      </c>
      <c r="D4990" t="s">
        <v>4097</v>
      </c>
      <c r="E4990" t="s">
        <v>4098</v>
      </c>
      <c r="F4990" t="s">
        <v>4076</v>
      </c>
    </row>
    <row r="4991" spans="1:6" x14ac:dyDescent="0.25">
      <c r="A4991">
        <v>4260</v>
      </c>
      <c r="B4991" t="s">
        <v>4072</v>
      </c>
      <c r="C4991">
        <v>46</v>
      </c>
      <c r="D4991" t="s">
        <v>4099</v>
      </c>
      <c r="E4991" t="s">
        <v>4100</v>
      </c>
      <c r="F4991" t="s">
        <v>4079</v>
      </c>
    </row>
    <row r="4992" spans="1:6" x14ac:dyDescent="0.25">
      <c r="A4992">
        <v>4261</v>
      </c>
      <c r="B4992" t="s">
        <v>4072</v>
      </c>
      <c r="C4992">
        <v>1</v>
      </c>
      <c r="D4992" t="s">
        <v>2761</v>
      </c>
      <c r="E4992" t="s">
        <v>4089</v>
      </c>
      <c r="F4992" t="s">
        <v>4075</v>
      </c>
    </row>
    <row r="4993" spans="1:6" x14ac:dyDescent="0.25">
      <c r="A4993">
        <v>4261</v>
      </c>
      <c r="B4993" t="s">
        <v>4072</v>
      </c>
      <c r="C4993">
        <v>38</v>
      </c>
      <c r="D4993" t="s">
        <v>2761</v>
      </c>
      <c r="E4993" t="s">
        <v>4089</v>
      </c>
      <c r="F4993" t="s">
        <v>4076</v>
      </c>
    </row>
    <row r="4994" spans="1:6" x14ac:dyDescent="0.25">
      <c r="A4994">
        <v>4262</v>
      </c>
      <c r="B4994" t="s">
        <v>4072</v>
      </c>
      <c r="C4994">
        <v>13</v>
      </c>
      <c r="D4994" t="s">
        <v>4097</v>
      </c>
      <c r="E4994" t="s">
        <v>4098</v>
      </c>
      <c r="F4994" t="s">
        <v>4076</v>
      </c>
    </row>
    <row r="4995" spans="1:6" x14ac:dyDescent="0.25">
      <c r="A4995">
        <v>4262</v>
      </c>
      <c r="B4995" t="s">
        <v>4072</v>
      </c>
      <c r="C4995">
        <v>14</v>
      </c>
      <c r="D4995" t="s">
        <v>4090</v>
      </c>
      <c r="E4995" t="s">
        <v>4091</v>
      </c>
      <c r="F4995" t="s">
        <v>4076</v>
      </c>
    </row>
    <row r="4996" spans="1:6" x14ac:dyDescent="0.25">
      <c r="A4996">
        <v>4265</v>
      </c>
      <c r="B4996" t="s">
        <v>4072</v>
      </c>
      <c r="C4996">
        <v>4</v>
      </c>
      <c r="D4996" t="s">
        <v>4077</v>
      </c>
      <c r="E4996" t="s">
        <v>4078</v>
      </c>
      <c r="F4996" t="s">
        <v>4075</v>
      </c>
    </row>
    <row r="4997" spans="1:6" x14ac:dyDescent="0.25">
      <c r="A4997">
        <v>4265</v>
      </c>
      <c r="B4997" t="s">
        <v>4072</v>
      </c>
      <c r="C4997">
        <v>16</v>
      </c>
      <c r="D4997" t="s">
        <v>4077</v>
      </c>
      <c r="E4997" t="s">
        <v>4078</v>
      </c>
      <c r="F4997" t="s">
        <v>4076</v>
      </c>
    </row>
    <row r="4998" spans="1:6" x14ac:dyDescent="0.25">
      <c r="A4998">
        <v>4266</v>
      </c>
      <c r="B4998" t="s">
        <v>4072</v>
      </c>
      <c r="C4998">
        <v>19</v>
      </c>
      <c r="D4998" t="s">
        <v>4073</v>
      </c>
      <c r="E4998" t="s">
        <v>4074</v>
      </c>
      <c r="F4998" t="s">
        <v>4076</v>
      </c>
    </row>
    <row r="4999" spans="1:6" x14ac:dyDescent="0.25">
      <c r="A4999">
        <v>4274</v>
      </c>
      <c r="B4999" t="s">
        <v>4072</v>
      </c>
      <c r="C4999">
        <v>6</v>
      </c>
      <c r="D4999" t="s">
        <v>4073</v>
      </c>
      <c r="E4999" t="s">
        <v>4074</v>
      </c>
      <c r="F4999" t="s">
        <v>4075</v>
      </c>
    </row>
    <row r="5000" spans="1:6" x14ac:dyDescent="0.25">
      <c r="A5000">
        <v>4274</v>
      </c>
      <c r="B5000" t="s">
        <v>4072</v>
      </c>
      <c r="C5000">
        <v>19</v>
      </c>
      <c r="D5000" t="s">
        <v>4073</v>
      </c>
      <c r="E5000" t="s">
        <v>4074</v>
      </c>
      <c r="F5000" t="s">
        <v>4076</v>
      </c>
    </row>
    <row r="5001" spans="1:6" x14ac:dyDescent="0.25">
      <c r="A5001">
        <v>4275</v>
      </c>
      <c r="B5001" t="s">
        <v>4072</v>
      </c>
      <c r="C5001">
        <v>6</v>
      </c>
      <c r="D5001" t="s">
        <v>4073</v>
      </c>
      <c r="E5001" t="s">
        <v>4074</v>
      </c>
      <c r="F5001" t="s">
        <v>4075</v>
      </c>
    </row>
    <row r="5002" spans="1:6" x14ac:dyDescent="0.25">
      <c r="A5002">
        <v>4275</v>
      </c>
      <c r="B5002" t="s">
        <v>4072</v>
      </c>
      <c r="C5002">
        <v>19</v>
      </c>
      <c r="D5002" t="s">
        <v>4073</v>
      </c>
      <c r="E5002" t="s">
        <v>4074</v>
      </c>
      <c r="F5002" t="s">
        <v>4076</v>
      </c>
    </row>
    <row r="5003" spans="1:6" x14ac:dyDescent="0.25">
      <c r="A5003">
        <v>4276</v>
      </c>
      <c r="B5003" t="s">
        <v>4072</v>
      </c>
      <c r="C5003">
        <v>19</v>
      </c>
      <c r="D5003" t="s">
        <v>4073</v>
      </c>
      <c r="E5003" t="s">
        <v>4074</v>
      </c>
      <c r="F5003" t="s">
        <v>4076</v>
      </c>
    </row>
    <row r="5004" spans="1:6" x14ac:dyDescent="0.25">
      <c r="A5004">
        <v>4277</v>
      </c>
      <c r="B5004" t="s">
        <v>4072</v>
      </c>
      <c r="C5004">
        <v>6</v>
      </c>
      <c r="D5004" t="s">
        <v>4073</v>
      </c>
      <c r="E5004" t="s">
        <v>4074</v>
      </c>
      <c r="F5004" t="s">
        <v>4075</v>
      </c>
    </row>
    <row r="5005" spans="1:6" x14ac:dyDescent="0.25">
      <c r="A5005">
        <v>4277</v>
      </c>
      <c r="B5005" t="s">
        <v>4072</v>
      </c>
      <c r="C5005">
        <v>19</v>
      </c>
      <c r="D5005" t="s">
        <v>4073</v>
      </c>
      <c r="E5005" t="s">
        <v>4074</v>
      </c>
      <c r="F5005" t="s">
        <v>4076</v>
      </c>
    </row>
    <row r="5006" spans="1:6" x14ac:dyDescent="0.25">
      <c r="A5006">
        <v>4278</v>
      </c>
      <c r="B5006" t="s">
        <v>4072</v>
      </c>
      <c r="C5006">
        <v>6</v>
      </c>
      <c r="D5006" t="s">
        <v>4073</v>
      </c>
      <c r="E5006" t="s">
        <v>4074</v>
      </c>
      <c r="F5006" t="s">
        <v>4075</v>
      </c>
    </row>
    <row r="5007" spans="1:6" x14ac:dyDescent="0.25">
      <c r="A5007">
        <v>4278</v>
      </c>
      <c r="B5007" t="s">
        <v>4072</v>
      </c>
      <c r="C5007">
        <v>19</v>
      </c>
      <c r="D5007" t="s">
        <v>4073</v>
      </c>
      <c r="E5007" t="s">
        <v>4074</v>
      </c>
      <c r="F5007" t="s">
        <v>4076</v>
      </c>
    </row>
    <row r="5008" spans="1:6" x14ac:dyDescent="0.25">
      <c r="A5008">
        <v>4279</v>
      </c>
      <c r="B5008" t="s">
        <v>4072</v>
      </c>
      <c r="C5008">
        <v>10</v>
      </c>
      <c r="D5008" t="s">
        <v>4095</v>
      </c>
      <c r="E5008" t="s">
        <v>4096</v>
      </c>
      <c r="F5008" t="s">
        <v>4075</v>
      </c>
    </row>
    <row r="5009" spans="1:6" x14ac:dyDescent="0.25">
      <c r="A5009">
        <v>4280</v>
      </c>
      <c r="B5009" t="s">
        <v>4072</v>
      </c>
      <c r="C5009">
        <v>2</v>
      </c>
      <c r="D5009" t="s">
        <v>4082</v>
      </c>
      <c r="E5009" t="s">
        <v>4083</v>
      </c>
      <c r="F5009" t="s">
        <v>4075</v>
      </c>
    </row>
    <row r="5010" spans="1:6" x14ac:dyDescent="0.25">
      <c r="A5010">
        <v>4280</v>
      </c>
      <c r="B5010" t="s">
        <v>4072</v>
      </c>
      <c r="C5010">
        <v>17</v>
      </c>
      <c r="D5010" t="s">
        <v>4082</v>
      </c>
      <c r="E5010" t="s">
        <v>4084</v>
      </c>
      <c r="F5010" t="s">
        <v>4076</v>
      </c>
    </row>
    <row r="5011" spans="1:6" x14ac:dyDescent="0.25">
      <c r="A5011">
        <v>4281</v>
      </c>
      <c r="B5011" t="s">
        <v>4072</v>
      </c>
      <c r="C5011">
        <v>12</v>
      </c>
      <c r="D5011" t="s">
        <v>2159</v>
      </c>
      <c r="E5011" t="s">
        <v>4094</v>
      </c>
      <c r="F5011" t="s">
        <v>4076</v>
      </c>
    </row>
    <row r="5012" spans="1:6" x14ac:dyDescent="0.25">
      <c r="A5012">
        <v>4282</v>
      </c>
      <c r="B5012" t="s">
        <v>4072</v>
      </c>
      <c r="C5012">
        <v>4</v>
      </c>
      <c r="D5012" t="s">
        <v>4077</v>
      </c>
      <c r="E5012" t="s">
        <v>4078</v>
      </c>
      <c r="F5012" t="s">
        <v>4075</v>
      </c>
    </row>
    <row r="5013" spans="1:6" x14ac:dyDescent="0.25">
      <c r="A5013">
        <v>4282</v>
      </c>
      <c r="B5013" t="s">
        <v>4072</v>
      </c>
      <c r="C5013">
        <v>16</v>
      </c>
      <c r="D5013" t="s">
        <v>4077</v>
      </c>
      <c r="E5013" t="s">
        <v>4078</v>
      </c>
      <c r="F5013" t="s">
        <v>4076</v>
      </c>
    </row>
    <row r="5014" spans="1:6" x14ac:dyDescent="0.25">
      <c r="A5014">
        <v>4283</v>
      </c>
      <c r="B5014" t="s">
        <v>4072</v>
      </c>
      <c r="C5014">
        <v>4</v>
      </c>
      <c r="D5014" t="s">
        <v>4077</v>
      </c>
      <c r="E5014" t="s">
        <v>4078</v>
      </c>
      <c r="F5014" t="s">
        <v>4075</v>
      </c>
    </row>
    <row r="5015" spans="1:6" x14ac:dyDescent="0.25">
      <c r="A5015">
        <v>4283</v>
      </c>
      <c r="B5015" t="s">
        <v>4072</v>
      </c>
      <c r="C5015">
        <v>16</v>
      </c>
      <c r="D5015" t="s">
        <v>4077</v>
      </c>
      <c r="E5015" t="s">
        <v>4078</v>
      </c>
      <c r="F5015" t="s">
        <v>4076</v>
      </c>
    </row>
    <row r="5016" spans="1:6" x14ac:dyDescent="0.25">
      <c r="A5016">
        <v>4284</v>
      </c>
      <c r="B5016" t="s">
        <v>4092</v>
      </c>
      <c r="C5016">
        <v>24</v>
      </c>
      <c r="D5016" t="s">
        <v>2760</v>
      </c>
      <c r="E5016" t="s">
        <v>4108</v>
      </c>
      <c r="F5016" t="s">
        <v>4075</v>
      </c>
    </row>
    <row r="5017" spans="1:6" x14ac:dyDescent="0.25">
      <c r="A5017">
        <v>4284</v>
      </c>
      <c r="B5017" t="s">
        <v>4092</v>
      </c>
      <c r="C5017">
        <v>29</v>
      </c>
      <c r="D5017" t="s">
        <v>2760</v>
      </c>
      <c r="E5017" t="s">
        <v>4108</v>
      </c>
      <c r="F5017" t="s">
        <v>4076</v>
      </c>
    </row>
    <row r="5018" spans="1:6" x14ac:dyDescent="0.25">
      <c r="A5018">
        <v>4286</v>
      </c>
      <c r="B5018" t="s">
        <v>4072</v>
      </c>
      <c r="C5018">
        <v>6</v>
      </c>
      <c r="D5018" t="s">
        <v>4073</v>
      </c>
      <c r="E5018" t="s">
        <v>4074</v>
      </c>
      <c r="F5018" t="s">
        <v>4075</v>
      </c>
    </row>
    <row r="5019" spans="1:6" x14ac:dyDescent="0.25">
      <c r="A5019">
        <v>4286</v>
      </c>
      <c r="B5019" t="s">
        <v>4072</v>
      </c>
      <c r="C5019">
        <v>19</v>
      </c>
      <c r="D5019" t="s">
        <v>4073</v>
      </c>
      <c r="E5019" t="s">
        <v>4074</v>
      </c>
      <c r="F5019" t="s">
        <v>4076</v>
      </c>
    </row>
    <row r="5020" spans="1:6" x14ac:dyDescent="0.25">
      <c r="A5020">
        <v>4287</v>
      </c>
      <c r="B5020" t="s">
        <v>4072</v>
      </c>
      <c r="C5020">
        <v>2</v>
      </c>
      <c r="D5020" t="s">
        <v>4082</v>
      </c>
      <c r="E5020" t="s">
        <v>4083</v>
      </c>
      <c r="F5020" t="s">
        <v>4075</v>
      </c>
    </row>
    <row r="5021" spans="1:6" x14ac:dyDescent="0.25">
      <c r="A5021">
        <v>4287</v>
      </c>
      <c r="B5021" t="s">
        <v>4072</v>
      </c>
      <c r="C5021">
        <v>17</v>
      </c>
      <c r="D5021" t="s">
        <v>4082</v>
      </c>
      <c r="E5021" t="s">
        <v>4084</v>
      </c>
      <c r="F5021" t="s">
        <v>4076</v>
      </c>
    </row>
    <row r="5022" spans="1:6" x14ac:dyDescent="0.25">
      <c r="A5022">
        <v>4288</v>
      </c>
      <c r="B5022" t="s">
        <v>4072</v>
      </c>
      <c r="C5022">
        <v>2</v>
      </c>
      <c r="D5022" t="s">
        <v>4082</v>
      </c>
      <c r="E5022" t="s">
        <v>4083</v>
      </c>
      <c r="F5022" t="s">
        <v>4075</v>
      </c>
    </row>
    <row r="5023" spans="1:6" x14ac:dyDescent="0.25">
      <c r="A5023">
        <v>4288</v>
      </c>
      <c r="B5023" t="s">
        <v>4072</v>
      </c>
      <c r="C5023">
        <v>17</v>
      </c>
      <c r="D5023" t="s">
        <v>4082</v>
      </c>
      <c r="E5023" t="s">
        <v>4084</v>
      </c>
      <c r="F5023" t="s">
        <v>4076</v>
      </c>
    </row>
    <row r="5024" spans="1:6" x14ac:dyDescent="0.25">
      <c r="A5024">
        <v>4288</v>
      </c>
      <c r="B5024" t="s">
        <v>4072</v>
      </c>
      <c r="C5024">
        <v>42</v>
      </c>
      <c r="D5024" t="s">
        <v>4082</v>
      </c>
      <c r="E5024" t="s">
        <v>4083</v>
      </c>
      <c r="F5024" t="s">
        <v>4079</v>
      </c>
    </row>
    <row r="5025" spans="1:6" x14ac:dyDescent="0.25">
      <c r="A5025">
        <v>4289</v>
      </c>
      <c r="B5025" t="s">
        <v>4072</v>
      </c>
      <c r="C5025">
        <v>5</v>
      </c>
      <c r="D5025" t="s">
        <v>4087</v>
      </c>
      <c r="E5025" t="s">
        <v>4088</v>
      </c>
      <c r="F5025" t="s">
        <v>4075</v>
      </c>
    </row>
    <row r="5026" spans="1:6" x14ac:dyDescent="0.25">
      <c r="A5026">
        <v>4289</v>
      </c>
      <c r="B5026" t="s">
        <v>4072</v>
      </c>
      <c r="C5026">
        <v>15</v>
      </c>
      <c r="D5026" t="s">
        <v>4080</v>
      </c>
      <c r="E5026" t="s">
        <v>4081</v>
      </c>
      <c r="F5026" t="s">
        <v>4076</v>
      </c>
    </row>
    <row r="5027" spans="1:6" x14ac:dyDescent="0.25">
      <c r="A5027">
        <v>4290</v>
      </c>
      <c r="B5027" t="s">
        <v>4072</v>
      </c>
      <c r="C5027">
        <v>5</v>
      </c>
      <c r="D5027" t="s">
        <v>4087</v>
      </c>
      <c r="E5027" t="s">
        <v>4088</v>
      </c>
      <c r="F5027" t="s">
        <v>4075</v>
      </c>
    </row>
    <row r="5028" spans="1:6" x14ac:dyDescent="0.25">
      <c r="A5028">
        <v>4290</v>
      </c>
      <c r="B5028" t="s">
        <v>4072</v>
      </c>
      <c r="C5028">
        <v>15</v>
      </c>
      <c r="D5028" t="s">
        <v>4080</v>
      </c>
      <c r="E5028" t="s">
        <v>4081</v>
      </c>
      <c r="F5028" t="s">
        <v>4076</v>
      </c>
    </row>
    <row r="5029" spans="1:6" x14ac:dyDescent="0.25">
      <c r="A5029">
        <v>4291</v>
      </c>
      <c r="B5029" t="s">
        <v>4072</v>
      </c>
      <c r="C5029">
        <v>3</v>
      </c>
      <c r="D5029" t="s">
        <v>4085</v>
      </c>
      <c r="E5029" t="s">
        <v>4086</v>
      </c>
      <c r="F5029" t="s">
        <v>4075</v>
      </c>
    </row>
    <row r="5030" spans="1:6" x14ac:dyDescent="0.25">
      <c r="A5030">
        <v>4291</v>
      </c>
      <c r="B5030" t="s">
        <v>4072</v>
      </c>
      <c r="C5030">
        <v>15</v>
      </c>
      <c r="D5030" t="s">
        <v>4080</v>
      </c>
      <c r="E5030" t="s">
        <v>4081</v>
      </c>
      <c r="F5030" t="s">
        <v>4076</v>
      </c>
    </row>
    <row r="5031" spans="1:6" x14ac:dyDescent="0.25">
      <c r="A5031">
        <v>4292</v>
      </c>
      <c r="B5031" t="s">
        <v>4072</v>
      </c>
      <c r="C5031">
        <v>4</v>
      </c>
      <c r="D5031" t="s">
        <v>4077</v>
      </c>
      <c r="E5031" t="s">
        <v>4078</v>
      </c>
      <c r="F5031" t="s">
        <v>4075</v>
      </c>
    </row>
    <row r="5032" spans="1:6" x14ac:dyDescent="0.25">
      <c r="A5032">
        <v>4292</v>
      </c>
      <c r="B5032" t="s">
        <v>4072</v>
      </c>
      <c r="C5032">
        <v>16</v>
      </c>
      <c r="D5032" t="s">
        <v>4077</v>
      </c>
      <c r="E5032" t="s">
        <v>4078</v>
      </c>
      <c r="F5032" t="s">
        <v>4076</v>
      </c>
    </row>
    <row r="5033" spans="1:6" x14ac:dyDescent="0.25">
      <c r="A5033">
        <v>4294</v>
      </c>
      <c r="B5033" t="s">
        <v>4072</v>
      </c>
      <c r="C5033">
        <v>2</v>
      </c>
      <c r="D5033" t="s">
        <v>4082</v>
      </c>
      <c r="E5033" t="s">
        <v>4083</v>
      </c>
      <c r="F5033" t="s">
        <v>4075</v>
      </c>
    </row>
    <row r="5034" spans="1:6" x14ac:dyDescent="0.25">
      <c r="A5034">
        <v>4294</v>
      </c>
      <c r="B5034" t="s">
        <v>4072</v>
      </c>
      <c r="C5034">
        <v>17</v>
      </c>
      <c r="D5034" t="s">
        <v>4082</v>
      </c>
      <c r="E5034" t="s">
        <v>4084</v>
      </c>
      <c r="F5034" t="s">
        <v>4076</v>
      </c>
    </row>
    <row r="5035" spans="1:6" x14ac:dyDescent="0.25">
      <c r="A5035">
        <v>4294</v>
      </c>
      <c r="B5035" t="s">
        <v>4072</v>
      </c>
      <c r="C5035">
        <v>42</v>
      </c>
      <c r="D5035" t="s">
        <v>4082</v>
      </c>
      <c r="E5035" t="s">
        <v>4083</v>
      </c>
      <c r="F5035" t="s">
        <v>4079</v>
      </c>
    </row>
    <row r="5036" spans="1:6" x14ac:dyDescent="0.25">
      <c r="A5036">
        <v>4295</v>
      </c>
      <c r="B5036" t="s">
        <v>4072</v>
      </c>
      <c r="C5036">
        <v>1</v>
      </c>
      <c r="D5036" t="s">
        <v>2761</v>
      </c>
      <c r="E5036" t="s">
        <v>4089</v>
      </c>
      <c r="F5036" t="s">
        <v>4075</v>
      </c>
    </row>
    <row r="5037" spans="1:6" x14ac:dyDescent="0.25">
      <c r="A5037">
        <v>4295</v>
      </c>
      <c r="B5037" t="s">
        <v>4072</v>
      </c>
      <c r="C5037">
        <v>38</v>
      </c>
      <c r="D5037" t="s">
        <v>2761</v>
      </c>
      <c r="E5037" t="s">
        <v>4089</v>
      </c>
      <c r="F5037" t="s">
        <v>4076</v>
      </c>
    </row>
    <row r="5038" spans="1:6" x14ac:dyDescent="0.25">
      <c r="A5038">
        <v>4295</v>
      </c>
      <c r="B5038" t="s">
        <v>4072</v>
      </c>
      <c r="C5038">
        <v>43</v>
      </c>
      <c r="D5038" t="s">
        <v>2761</v>
      </c>
      <c r="E5038" t="s">
        <v>4089</v>
      </c>
      <c r="F5038" t="s">
        <v>4079</v>
      </c>
    </row>
    <row r="5039" spans="1:6" x14ac:dyDescent="0.25">
      <c r="A5039">
        <v>4296</v>
      </c>
      <c r="B5039" t="s">
        <v>4072</v>
      </c>
      <c r="C5039">
        <v>5</v>
      </c>
      <c r="D5039" t="s">
        <v>4087</v>
      </c>
      <c r="E5039" t="s">
        <v>4088</v>
      </c>
      <c r="F5039" t="s">
        <v>4075</v>
      </c>
    </row>
    <row r="5040" spans="1:6" x14ac:dyDescent="0.25">
      <c r="A5040">
        <v>4296</v>
      </c>
      <c r="B5040" t="s">
        <v>4072</v>
      </c>
      <c r="C5040">
        <v>15</v>
      </c>
      <c r="D5040" t="s">
        <v>4080</v>
      </c>
      <c r="E5040" t="s">
        <v>4081</v>
      </c>
      <c r="F5040" t="s">
        <v>4076</v>
      </c>
    </row>
    <row r="5041" spans="1:6" x14ac:dyDescent="0.25">
      <c r="A5041">
        <v>4296</v>
      </c>
      <c r="B5041" t="s">
        <v>4072</v>
      </c>
      <c r="C5041">
        <v>40</v>
      </c>
      <c r="D5041" t="s">
        <v>4080</v>
      </c>
      <c r="E5041" t="s">
        <v>4081</v>
      </c>
      <c r="F5041" t="s">
        <v>4079</v>
      </c>
    </row>
    <row r="5042" spans="1:6" x14ac:dyDescent="0.25">
      <c r="A5042">
        <v>4297</v>
      </c>
      <c r="B5042" t="s">
        <v>4072</v>
      </c>
      <c r="C5042">
        <v>4</v>
      </c>
      <c r="D5042" t="s">
        <v>4077</v>
      </c>
      <c r="E5042" t="s">
        <v>4078</v>
      </c>
      <c r="F5042" t="s">
        <v>4075</v>
      </c>
    </row>
    <row r="5043" spans="1:6" x14ac:dyDescent="0.25">
      <c r="A5043">
        <v>4297</v>
      </c>
      <c r="B5043" t="s">
        <v>4072</v>
      </c>
      <c r="C5043">
        <v>16</v>
      </c>
      <c r="D5043" t="s">
        <v>4077</v>
      </c>
      <c r="E5043" t="s">
        <v>4078</v>
      </c>
      <c r="F5043" t="s">
        <v>4076</v>
      </c>
    </row>
    <row r="5044" spans="1:6" x14ac:dyDescent="0.25">
      <c r="A5044">
        <v>4297</v>
      </c>
      <c r="B5044" t="s">
        <v>4072</v>
      </c>
      <c r="C5044">
        <v>44</v>
      </c>
      <c r="D5044" t="s">
        <v>4077</v>
      </c>
      <c r="E5044" t="s">
        <v>4078</v>
      </c>
      <c r="F5044" t="s">
        <v>4079</v>
      </c>
    </row>
    <row r="5045" spans="1:6" x14ac:dyDescent="0.25">
      <c r="A5045">
        <v>4298</v>
      </c>
      <c r="B5045" t="s">
        <v>4072</v>
      </c>
      <c r="C5045">
        <v>3</v>
      </c>
      <c r="D5045" t="s">
        <v>4085</v>
      </c>
      <c r="E5045" t="s">
        <v>4086</v>
      </c>
      <c r="F5045" t="s">
        <v>4075</v>
      </c>
    </row>
    <row r="5046" spans="1:6" x14ac:dyDescent="0.25">
      <c r="A5046">
        <v>4298</v>
      </c>
      <c r="B5046" t="s">
        <v>4072</v>
      </c>
      <c r="C5046">
        <v>15</v>
      </c>
      <c r="D5046" t="s">
        <v>4080</v>
      </c>
      <c r="E5046" t="s">
        <v>4081</v>
      </c>
      <c r="F5046" t="s">
        <v>4076</v>
      </c>
    </row>
    <row r="5047" spans="1:6" x14ac:dyDescent="0.25">
      <c r="A5047">
        <v>4298</v>
      </c>
      <c r="B5047" t="s">
        <v>4072</v>
      </c>
      <c r="C5047">
        <v>40</v>
      </c>
      <c r="D5047" t="s">
        <v>4080</v>
      </c>
      <c r="E5047" t="s">
        <v>4081</v>
      </c>
      <c r="F5047" t="s">
        <v>4079</v>
      </c>
    </row>
    <row r="5048" spans="1:6" x14ac:dyDescent="0.25">
      <c r="A5048">
        <v>4299</v>
      </c>
      <c r="B5048" t="s">
        <v>4072</v>
      </c>
      <c r="C5048">
        <v>2</v>
      </c>
      <c r="D5048" t="s">
        <v>4082</v>
      </c>
      <c r="E5048" t="s">
        <v>4083</v>
      </c>
      <c r="F5048" t="s">
        <v>4075</v>
      </c>
    </row>
    <row r="5049" spans="1:6" x14ac:dyDescent="0.25">
      <c r="A5049">
        <v>4299</v>
      </c>
      <c r="B5049" t="s">
        <v>4072</v>
      </c>
      <c r="C5049">
        <v>17</v>
      </c>
      <c r="D5049" t="s">
        <v>4082</v>
      </c>
      <c r="E5049" t="s">
        <v>4084</v>
      </c>
      <c r="F5049" t="s">
        <v>4076</v>
      </c>
    </row>
    <row r="5050" spans="1:6" x14ac:dyDescent="0.25">
      <c r="A5050">
        <v>4299</v>
      </c>
      <c r="B5050" t="s">
        <v>4072</v>
      </c>
      <c r="C5050">
        <v>42</v>
      </c>
      <c r="D5050" t="s">
        <v>4082</v>
      </c>
      <c r="E5050" t="s">
        <v>4083</v>
      </c>
      <c r="F5050" t="s">
        <v>4079</v>
      </c>
    </row>
    <row r="5051" spans="1:6" x14ac:dyDescent="0.25">
      <c r="A5051">
        <v>4300</v>
      </c>
      <c r="B5051" t="s">
        <v>4072</v>
      </c>
      <c r="C5051">
        <v>4</v>
      </c>
      <c r="D5051" t="s">
        <v>4077</v>
      </c>
      <c r="E5051" t="s">
        <v>4078</v>
      </c>
      <c r="F5051" t="s">
        <v>4075</v>
      </c>
    </row>
    <row r="5052" spans="1:6" x14ac:dyDescent="0.25">
      <c r="A5052">
        <v>4300</v>
      </c>
      <c r="B5052" t="s">
        <v>4072</v>
      </c>
      <c r="C5052">
        <v>16</v>
      </c>
      <c r="D5052" t="s">
        <v>4077</v>
      </c>
      <c r="E5052" t="s">
        <v>4078</v>
      </c>
      <c r="F5052" t="s">
        <v>4076</v>
      </c>
    </row>
    <row r="5053" spans="1:6" x14ac:dyDescent="0.25">
      <c r="A5053">
        <v>4300</v>
      </c>
      <c r="B5053" t="s">
        <v>4072</v>
      </c>
      <c r="C5053">
        <v>44</v>
      </c>
      <c r="D5053" t="s">
        <v>4077</v>
      </c>
      <c r="E5053" t="s">
        <v>4078</v>
      </c>
      <c r="F5053" t="s">
        <v>4079</v>
      </c>
    </row>
    <row r="5054" spans="1:6" x14ac:dyDescent="0.25">
      <c r="A5054">
        <v>4302</v>
      </c>
      <c r="B5054" t="s">
        <v>4072</v>
      </c>
      <c r="C5054">
        <v>5</v>
      </c>
      <c r="D5054" t="s">
        <v>4087</v>
      </c>
      <c r="E5054" t="s">
        <v>4088</v>
      </c>
      <c r="F5054" t="s">
        <v>4075</v>
      </c>
    </row>
    <row r="5055" spans="1:6" x14ac:dyDescent="0.25">
      <c r="A5055">
        <v>4302</v>
      </c>
      <c r="B5055" t="s">
        <v>4072</v>
      </c>
      <c r="C5055">
        <v>15</v>
      </c>
      <c r="D5055" t="s">
        <v>4080</v>
      </c>
      <c r="E5055" t="s">
        <v>4081</v>
      </c>
      <c r="F5055" t="s">
        <v>4076</v>
      </c>
    </row>
    <row r="5056" spans="1:6" x14ac:dyDescent="0.25">
      <c r="A5056">
        <v>4302</v>
      </c>
      <c r="B5056" t="s">
        <v>4072</v>
      </c>
      <c r="C5056">
        <v>40</v>
      </c>
      <c r="D5056" t="s">
        <v>4080</v>
      </c>
      <c r="E5056" t="s">
        <v>4081</v>
      </c>
      <c r="F5056" t="s">
        <v>4079</v>
      </c>
    </row>
    <row r="5057" spans="1:6" x14ac:dyDescent="0.25">
      <c r="A5057">
        <v>4303</v>
      </c>
      <c r="B5057" t="s">
        <v>4092</v>
      </c>
      <c r="C5057">
        <v>24</v>
      </c>
      <c r="D5057" t="s">
        <v>2760</v>
      </c>
      <c r="E5057" t="s">
        <v>4108</v>
      </c>
      <c r="F5057" t="s">
        <v>4075</v>
      </c>
    </row>
    <row r="5058" spans="1:6" x14ac:dyDescent="0.25">
      <c r="A5058">
        <v>4303</v>
      </c>
      <c r="B5058" t="s">
        <v>4092</v>
      </c>
      <c r="C5058">
        <v>29</v>
      </c>
      <c r="D5058" t="s">
        <v>2760</v>
      </c>
      <c r="E5058" t="s">
        <v>4108</v>
      </c>
      <c r="F5058" t="s">
        <v>4076</v>
      </c>
    </row>
    <row r="5059" spans="1:6" x14ac:dyDescent="0.25">
      <c r="A5059">
        <v>4304</v>
      </c>
      <c r="B5059" t="s">
        <v>4092</v>
      </c>
      <c r="C5059">
        <v>23</v>
      </c>
      <c r="D5059" t="s">
        <v>2757</v>
      </c>
      <c r="E5059" t="s">
        <v>4093</v>
      </c>
      <c r="F5059" t="s">
        <v>4075</v>
      </c>
    </row>
    <row r="5060" spans="1:6" x14ac:dyDescent="0.25">
      <c r="A5060">
        <v>4305</v>
      </c>
      <c r="B5060" t="s">
        <v>4072</v>
      </c>
      <c r="C5060">
        <v>6</v>
      </c>
      <c r="D5060" t="s">
        <v>4073</v>
      </c>
      <c r="E5060" t="s">
        <v>4074</v>
      </c>
      <c r="F5060" t="s">
        <v>4075</v>
      </c>
    </row>
    <row r="5061" spans="1:6" x14ac:dyDescent="0.25">
      <c r="A5061">
        <v>4305</v>
      </c>
      <c r="B5061" t="s">
        <v>4072</v>
      </c>
      <c r="C5061">
        <v>19</v>
      </c>
      <c r="D5061" t="s">
        <v>4073</v>
      </c>
      <c r="E5061" t="s">
        <v>4074</v>
      </c>
      <c r="F5061" t="s">
        <v>4076</v>
      </c>
    </row>
    <row r="5062" spans="1:6" x14ac:dyDescent="0.25">
      <c r="A5062">
        <v>4306</v>
      </c>
      <c r="B5062" t="s">
        <v>4072</v>
      </c>
      <c r="C5062">
        <v>4</v>
      </c>
      <c r="D5062" t="s">
        <v>4077</v>
      </c>
      <c r="E5062" t="s">
        <v>4078</v>
      </c>
      <c r="F5062" t="s">
        <v>4075</v>
      </c>
    </row>
    <row r="5063" spans="1:6" x14ac:dyDescent="0.25">
      <c r="A5063">
        <v>4306</v>
      </c>
      <c r="B5063" t="s">
        <v>4072</v>
      </c>
      <c r="C5063">
        <v>16</v>
      </c>
      <c r="D5063" t="s">
        <v>4077</v>
      </c>
      <c r="E5063" t="s">
        <v>4078</v>
      </c>
      <c r="F5063" t="s">
        <v>4076</v>
      </c>
    </row>
    <row r="5064" spans="1:6" x14ac:dyDescent="0.25">
      <c r="A5064">
        <v>4307</v>
      </c>
      <c r="B5064" t="s">
        <v>4072</v>
      </c>
      <c r="C5064">
        <v>10</v>
      </c>
      <c r="D5064" t="s">
        <v>4095</v>
      </c>
      <c r="E5064" t="s">
        <v>4096</v>
      </c>
      <c r="F5064" t="s">
        <v>4075</v>
      </c>
    </row>
    <row r="5065" spans="1:6" x14ac:dyDescent="0.25">
      <c r="A5065">
        <v>4308</v>
      </c>
      <c r="B5065" t="s">
        <v>4072</v>
      </c>
      <c r="C5065">
        <v>6</v>
      </c>
      <c r="D5065" t="s">
        <v>4073</v>
      </c>
      <c r="E5065" t="s">
        <v>4074</v>
      </c>
      <c r="F5065" t="s">
        <v>4075</v>
      </c>
    </row>
    <row r="5066" spans="1:6" x14ac:dyDescent="0.25">
      <c r="A5066">
        <v>4308</v>
      </c>
      <c r="B5066" t="s">
        <v>4072</v>
      </c>
      <c r="C5066">
        <v>19</v>
      </c>
      <c r="D5066" t="s">
        <v>4073</v>
      </c>
      <c r="E5066" t="s">
        <v>4074</v>
      </c>
      <c r="F5066" t="s">
        <v>4076</v>
      </c>
    </row>
    <row r="5067" spans="1:6" x14ac:dyDescent="0.25">
      <c r="A5067">
        <v>4308</v>
      </c>
      <c r="B5067" t="s">
        <v>4072</v>
      </c>
      <c r="C5067">
        <v>39</v>
      </c>
      <c r="D5067" t="s">
        <v>4073</v>
      </c>
      <c r="E5067" t="s">
        <v>4074</v>
      </c>
      <c r="F5067" t="s">
        <v>4079</v>
      </c>
    </row>
    <row r="5068" spans="1:6" x14ac:dyDescent="0.25">
      <c r="A5068">
        <v>4309</v>
      </c>
      <c r="B5068" t="s">
        <v>4092</v>
      </c>
      <c r="C5068">
        <v>33</v>
      </c>
      <c r="D5068" t="s">
        <v>4109</v>
      </c>
      <c r="E5068" t="s">
        <v>4110</v>
      </c>
      <c r="F5068" t="s">
        <v>4075</v>
      </c>
    </row>
    <row r="5069" spans="1:6" x14ac:dyDescent="0.25">
      <c r="A5069">
        <v>4309</v>
      </c>
      <c r="B5069" t="s">
        <v>4092</v>
      </c>
      <c r="C5069">
        <v>34</v>
      </c>
      <c r="D5069" t="s">
        <v>4109</v>
      </c>
      <c r="E5069" t="s">
        <v>4110</v>
      </c>
      <c r="F5069" t="s">
        <v>4076</v>
      </c>
    </row>
    <row r="5070" spans="1:6" x14ac:dyDescent="0.25">
      <c r="A5070">
        <v>4310</v>
      </c>
      <c r="B5070" t="s">
        <v>4092</v>
      </c>
      <c r="C5070">
        <v>24</v>
      </c>
      <c r="D5070" t="s">
        <v>2760</v>
      </c>
      <c r="E5070" t="s">
        <v>4108</v>
      </c>
      <c r="F5070" t="s">
        <v>4075</v>
      </c>
    </row>
    <row r="5071" spans="1:6" x14ac:dyDescent="0.25">
      <c r="A5071">
        <v>4310</v>
      </c>
      <c r="B5071" t="s">
        <v>4092</v>
      </c>
      <c r="C5071">
        <v>29</v>
      </c>
      <c r="D5071" t="s">
        <v>2760</v>
      </c>
      <c r="E5071" t="s">
        <v>4108</v>
      </c>
      <c r="F5071" t="s">
        <v>4076</v>
      </c>
    </row>
    <row r="5072" spans="1:6" x14ac:dyDescent="0.25">
      <c r="A5072">
        <v>4312</v>
      </c>
      <c r="B5072" t="s">
        <v>4072</v>
      </c>
      <c r="C5072">
        <v>5</v>
      </c>
      <c r="D5072" t="s">
        <v>4087</v>
      </c>
      <c r="E5072" t="s">
        <v>4088</v>
      </c>
      <c r="F5072" t="s">
        <v>4075</v>
      </c>
    </row>
    <row r="5073" spans="1:6" x14ac:dyDescent="0.25">
      <c r="A5073">
        <v>4312</v>
      </c>
      <c r="B5073" t="s">
        <v>4072</v>
      </c>
      <c r="C5073">
        <v>15</v>
      </c>
      <c r="D5073" t="s">
        <v>4080</v>
      </c>
      <c r="E5073" t="s">
        <v>4081</v>
      </c>
      <c r="F5073" t="s">
        <v>4076</v>
      </c>
    </row>
    <row r="5074" spans="1:6" x14ac:dyDescent="0.25">
      <c r="A5074">
        <v>4312</v>
      </c>
      <c r="B5074" t="s">
        <v>4072</v>
      </c>
      <c r="C5074">
        <v>40</v>
      </c>
      <c r="D5074" t="s">
        <v>4080</v>
      </c>
      <c r="E5074" t="s">
        <v>4081</v>
      </c>
      <c r="F5074" t="s">
        <v>4079</v>
      </c>
    </row>
    <row r="5075" spans="1:6" x14ac:dyDescent="0.25">
      <c r="A5075">
        <v>4313</v>
      </c>
      <c r="B5075" t="s">
        <v>4072</v>
      </c>
      <c r="C5075">
        <v>6</v>
      </c>
      <c r="D5075" t="s">
        <v>4073</v>
      </c>
      <c r="E5075" t="s">
        <v>4074</v>
      </c>
      <c r="F5075" t="s">
        <v>4075</v>
      </c>
    </row>
    <row r="5076" spans="1:6" x14ac:dyDescent="0.25">
      <c r="A5076">
        <v>4313</v>
      </c>
      <c r="B5076" t="s">
        <v>4072</v>
      </c>
      <c r="C5076">
        <v>19</v>
      </c>
      <c r="D5076" t="s">
        <v>4073</v>
      </c>
      <c r="E5076" t="s">
        <v>4074</v>
      </c>
      <c r="F5076" t="s">
        <v>4076</v>
      </c>
    </row>
    <row r="5077" spans="1:6" x14ac:dyDescent="0.25">
      <c r="A5077">
        <v>4314</v>
      </c>
      <c r="B5077" t="s">
        <v>4072</v>
      </c>
      <c r="C5077">
        <v>2</v>
      </c>
      <c r="D5077" t="s">
        <v>4082</v>
      </c>
      <c r="E5077" t="s">
        <v>4083</v>
      </c>
      <c r="F5077" t="s">
        <v>4075</v>
      </c>
    </row>
    <row r="5078" spans="1:6" x14ac:dyDescent="0.25">
      <c r="A5078">
        <v>4314</v>
      </c>
      <c r="B5078" t="s">
        <v>4072</v>
      </c>
      <c r="C5078">
        <v>17</v>
      </c>
      <c r="D5078" t="s">
        <v>4082</v>
      </c>
      <c r="E5078" t="s">
        <v>4084</v>
      </c>
      <c r="F5078" t="s">
        <v>4076</v>
      </c>
    </row>
    <row r="5079" spans="1:6" x14ac:dyDescent="0.25">
      <c r="A5079">
        <v>4314</v>
      </c>
      <c r="B5079" t="s">
        <v>4072</v>
      </c>
      <c r="C5079">
        <v>42</v>
      </c>
      <c r="D5079" t="s">
        <v>4082</v>
      </c>
      <c r="E5079" t="s">
        <v>4083</v>
      </c>
      <c r="F5079" t="s">
        <v>4079</v>
      </c>
    </row>
    <row r="5080" spans="1:6" x14ac:dyDescent="0.25">
      <c r="A5080">
        <v>4315</v>
      </c>
      <c r="B5080" t="s">
        <v>4072</v>
      </c>
      <c r="C5080">
        <v>2</v>
      </c>
      <c r="D5080" t="s">
        <v>4082</v>
      </c>
      <c r="E5080" t="s">
        <v>4083</v>
      </c>
      <c r="F5080" t="s">
        <v>4075</v>
      </c>
    </row>
    <row r="5081" spans="1:6" x14ac:dyDescent="0.25">
      <c r="A5081">
        <v>4315</v>
      </c>
      <c r="B5081" t="s">
        <v>4072</v>
      </c>
      <c r="C5081">
        <v>17</v>
      </c>
      <c r="D5081" t="s">
        <v>4082</v>
      </c>
      <c r="E5081" t="s">
        <v>4084</v>
      </c>
      <c r="F5081" t="s">
        <v>4076</v>
      </c>
    </row>
    <row r="5082" spans="1:6" x14ac:dyDescent="0.25">
      <c r="A5082">
        <v>4315</v>
      </c>
      <c r="B5082" t="s">
        <v>4072</v>
      </c>
      <c r="C5082">
        <v>42</v>
      </c>
      <c r="D5082" t="s">
        <v>4082</v>
      </c>
      <c r="E5082" t="s">
        <v>4083</v>
      </c>
      <c r="F5082" t="s">
        <v>4079</v>
      </c>
    </row>
    <row r="5083" spans="1:6" x14ac:dyDescent="0.25">
      <c r="A5083">
        <v>4316</v>
      </c>
      <c r="B5083" t="s">
        <v>4072</v>
      </c>
      <c r="C5083">
        <v>5</v>
      </c>
      <c r="D5083" t="s">
        <v>4087</v>
      </c>
      <c r="E5083" t="s">
        <v>4088</v>
      </c>
      <c r="F5083" t="s">
        <v>4075</v>
      </c>
    </row>
    <row r="5084" spans="1:6" x14ac:dyDescent="0.25">
      <c r="A5084">
        <v>4316</v>
      </c>
      <c r="B5084" t="s">
        <v>4072</v>
      </c>
      <c r="C5084">
        <v>15</v>
      </c>
      <c r="D5084" t="s">
        <v>4080</v>
      </c>
      <c r="E5084" t="s">
        <v>4081</v>
      </c>
      <c r="F5084" t="s">
        <v>4076</v>
      </c>
    </row>
    <row r="5085" spans="1:6" x14ac:dyDescent="0.25">
      <c r="A5085">
        <v>4316</v>
      </c>
      <c r="B5085" t="s">
        <v>4072</v>
      </c>
      <c r="C5085">
        <v>40</v>
      </c>
      <c r="D5085" t="s">
        <v>4080</v>
      </c>
      <c r="E5085" t="s">
        <v>4081</v>
      </c>
      <c r="F5085" t="s">
        <v>4079</v>
      </c>
    </row>
    <row r="5086" spans="1:6" x14ac:dyDescent="0.25">
      <c r="A5086">
        <v>4317</v>
      </c>
      <c r="B5086" t="s">
        <v>4072</v>
      </c>
      <c r="C5086">
        <v>5</v>
      </c>
      <c r="D5086" t="s">
        <v>4087</v>
      </c>
      <c r="E5086" t="s">
        <v>4088</v>
      </c>
      <c r="F5086" t="s">
        <v>4075</v>
      </c>
    </row>
    <row r="5087" spans="1:6" x14ac:dyDescent="0.25">
      <c r="A5087">
        <v>4317</v>
      </c>
      <c r="B5087" t="s">
        <v>4072</v>
      </c>
      <c r="C5087">
        <v>15</v>
      </c>
      <c r="D5087" t="s">
        <v>4080</v>
      </c>
      <c r="E5087" t="s">
        <v>4081</v>
      </c>
      <c r="F5087" t="s">
        <v>4076</v>
      </c>
    </row>
    <row r="5088" spans="1:6" x14ac:dyDescent="0.25">
      <c r="A5088">
        <v>4317</v>
      </c>
      <c r="B5088" t="s">
        <v>4072</v>
      </c>
      <c r="C5088">
        <v>40</v>
      </c>
      <c r="D5088" t="s">
        <v>4080</v>
      </c>
      <c r="E5088" t="s">
        <v>4081</v>
      </c>
      <c r="F5088" t="s">
        <v>4079</v>
      </c>
    </row>
    <row r="5089" spans="1:6" x14ac:dyDescent="0.25">
      <c r="A5089">
        <v>4318</v>
      </c>
      <c r="B5089" t="s">
        <v>4072</v>
      </c>
      <c r="C5089">
        <v>5</v>
      </c>
      <c r="D5089" t="s">
        <v>4087</v>
      </c>
      <c r="E5089" t="s">
        <v>4088</v>
      </c>
      <c r="F5089" t="s">
        <v>4075</v>
      </c>
    </row>
    <row r="5090" spans="1:6" x14ac:dyDescent="0.25">
      <c r="A5090">
        <v>4318</v>
      </c>
      <c r="B5090" t="s">
        <v>4072</v>
      </c>
      <c r="C5090">
        <v>15</v>
      </c>
      <c r="D5090" t="s">
        <v>4080</v>
      </c>
      <c r="E5090" t="s">
        <v>4081</v>
      </c>
      <c r="F5090" t="s">
        <v>4076</v>
      </c>
    </row>
    <row r="5091" spans="1:6" x14ac:dyDescent="0.25">
      <c r="A5091">
        <v>4318</v>
      </c>
      <c r="B5091" t="s">
        <v>4072</v>
      </c>
      <c r="C5091">
        <v>40</v>
      </c>
      <c r="D5091" t="s">
        <v>4080</v>
      </c>
      <c r="E5091" t="s">
        <v>4081</v>
      </c>
      <c r="F5091" t="s">
        <v>4079</v>
      </c>
    </row>
    <row r="5092" spans="1:6" x14ac:dyDescent="0.25">
      <c r="A5092">
        <v>4319</v>
      </c>
      <c r="B5092" t="s">
        <v>4072</v>
      </c>
      <c r="C5092">
        <v>5</v>
      </c>
      <c r="D5092" t="s">
        <v>4087</v>
      </c>
      <c r="E5092" t="s">
        <v>4088</v>
      </c>
      <c r="F5092" t="s">
        <v>4075</v>
      </c>
    </row>
    <row r="5093" spans="1:6" x14ac:dyDescent="0.25">
      <c r="A5093">
        <v>4319</v>
      </c>
      <c r="B5093" t="s">
        <v>4072</v>
      </c>
      <c r="C5093">
        <v>15</v>
      </c>
      <c r="D5093" t="s">
        <v>4080</v>
      </c>
      <c r="E5093" t="s">
        <v>4081</v>
      </c>
      <c r="F5093" t="s">
        <v>4076</v>
      </c>
    </row>
    <row r="5094" spans="1:6" x14ac:dyDescent="0.25">
      <c r="A5094">
        <v>4319</v>
      </c>
      <c r="B5094" t="s">
        <v>4072</v>
      </c>
      <c r="C5094">
        <v>40</v>
      </c>
      <c r="D5094" t="s">
        <v>4080</v>
      </c>
      <c r="E5094" t="s">
        <v>4081</v>
      </c>
      <c r="F5094" t="s">
        <v>4079</v>
      </c>
    </row>
    <row r="5095" spans="1:6" x14ac:dyDescent="0.25">
      <c r="A5095">
        <v>4320</v>
      </c>
      <c r="B5095" t="s">
        <v>4072</v>
      </c>
      <c r="C5095">
        <v>3</v>
      </c>
      <c r="D5095" t="s">
        <v>4085</v>
      </c>
      <c r="E5095" t="s">
        <v>4086</v>
      </c>
      <c r="F5095" t="s">
        <v>4075</v>
      </c>
    </row>
    <row r="5096" spans="1:6" x14ac:dyDescent="0.25">
      <c r="A5096">
        <v>4320</v>
      </c>
      <c r="B5096" t="s">
        <v>4072</v>
      </c>
      <c r="C5096">
        <v>15</v>
      </c>
      <c r="D5096" t="s">
        <v>4080</v>
      </c>
      <c r="E5096" t="s">
        <v>4081</v>
      </c>
      <c r="F5096" t="s">
        <v>4076</v>
      </c>
    </row>
    <row r="5097" spans="1:6" x14ac:dyDescent="0.25">
      <c r="A5097">
        <v>4320</v>
      </c>
      <c r="B5097" t="s">
        <v>4072</v>
      </c>
      <c r="C5097">
        <v>40</v>
      </c>
      <c r="D5097" t="s">
        <v>4080</v>
      </c>
      <c r="E5097" t="s">
        <v>4081</v>
      </c>
      <c r="F5097" t="s">
        <v>4079</v>
      </c>
    </row>
    <row r="5098" spans="1:6" x14ac:dyDescent="0.25">
      <c r="A5098">
        <v>4321</v>
      </c>
      <c r="B5098" t="s">
        <v>4072</v>
      </c>
      <c r="C5098">
        <v>4</v>
      </c>
      <c r="D5098" t="s">
        <v>4077</v>
      </c>
      <c r="E5098" t="s">
        <v>4078</v>
      </c>
      <c r="F5098" t="s">
        <v>4075</v>
      </c>
    </row>
    <row r="5099" spans="1:6" x14ac:dyDescent="0.25">
      <c r="A5099">
        <v>4321</v>
      </c>
      <c r="B5099" t="s">
        <v>4072</v>
      </c>
      <c r="C5099">
        <v>16</v>
      </c>
      <c r="D5099" t="s">
        <v>4077</v>
      </c>
      <c r="E5099" t="s">
        <v>4078</v>
      </c>
      <c r="F5099" t="s">
        <v>4076</v>
      </c>
    </row>
    <row r="5100" spans="1:6" x14ac:dyDescent="0.25">
      <c r="A5100">
        <v>4321</v>
      </c>
      <c r="B5100" t="s">
        <v>4072</v>
      </c>
      <c r="C5100">
        <v>44</v>
      </c>
      <c r="D5100" t="s">
        <v>4077</v>
      </c>
      <c r="E5100" t="s">
        <v>4078</v>
      </c>
      <c r="F5100" t="s">
        <v>4079</v>
      </c>
    </row>
    <row r="5101" spans="1:6" x14ac:dyDescent="0.25">
      <c r="A5101">
        <v>4322</v>
      </c>
      <c r="B5101" t="s">
        <v>4072</v>
      </c>
      <c r="C5101">
        <v>6</v>
      </c>
      <c r="D5101" t="s">
        <v>4073</v>
      </c>
      <c r="E5101" t="s">
        <v>4074</v>
      </c>
      <c r="F5101" t="s">
        <v>4075</v>
      </c>
    </row>
    <row r="5102" spans="1:6" x14ac:dyDescent="0.25">
      <c r="A5102">
        <v>4322</v>
      </c>
      <c r="B5102" t="s">
        <v>4072</v>
      </c>
      <c r="C5102">
        <v>19</v>
      </c>
      <c r="D5102" t="s">
        <v>4073</v>
      </c>
      <c r="E5102" t="s">
        <v>4074</v>
      </c>
      <c r="F5102" t="s">
        <v>4076</v>
      </c>
    </row>
    <row r="5103" spans="1:6" x14ac:dyDescent="0.25">
      <c r="A5103">
        <v>4322</v>
      </c>
      <c r="B5103" t="s">
        <v>4072</v>
      </c>
      <c r="C5103">
        <v>39</v>
      </c>
      <c r="D5103" t="s">
        <v>4073</v>
      </c>
      <c r="E5103" t="s">
        <v>4074</v>
      </c>
      <c r="F5103" t="s">
        <v>4079</v>
      </c>
    </row>
    <row r="5104" spans="1:6" x14ac:dyDescent="0.25">
      <c r="A5104">
        <v>4323</v>
      </c>
      <c r="B5104" t="s">
        <v>4072</v>
      </c>
      <c r="C5104">
        <v>1</v>
      </c>
      <c r="D5104" t="s">
        <v>2761</v>
      </c>
      <c r="E5104" t="s">
        <v>4089</v>
      </c>
      <c r="F5104" t="s">
        <v>4075</v>
      </c>
    </row>
    <row r="5105" spans="1:6" x14ac:dyDescent="0.25">
      <c r="A5105">
        <v>4323</v>
      </c>
      <c r="B5105" t="s">
        <v>4072</v>
      </c>
      <c r="C5105">
        <v>2</v>
      </c>
      <c r="D5105" t="s">
        <v>4082</v>
      </c>
      <c r="E5105" t="s">
        <v>4083</v>
      </c>
      <c r="F5105" t="s">
        <v>4075</v>
      </c>
    </row>
    <row r="5106" spans="1:6" x14ac:dyDescent="0.25">
      <c r="A5106">
        <v>4323</v>
      </c>
      <c r="B5106" t="s">
        <v>4072</v>
      </c>
      <c r="C5106">
        <v>17</v>
      </c>
      <c r="D5106" t="s">
        <v>4082</v>
      </c>
      <c r="E5106" t="s">
        <v>4084</v>
      </c>
      <c r="F5106" t="s">
        <v>4076</v>
      </c>
    </row>
    <row r="5107" spans="1:6" x14ac:dyDescent="0.25">
      <c r="A5107">
        <v>4323</v>
      </c>
      <c r="B5107" t="s">
        <v>4072</v>
      </c>
      <c r="C5107">
        <v>38</v>
      </c>
      <c r="D5107" t="s">
        <v>2761</v>
      </c>
      <c r="E5107" t="s">
        <v>4089</v>
      </c>
      <c r="F5107" t="s">
        <v>4076</v>
      </c>
    </row>
    <row r="5108" spans="1:6" x14ac:dyDescent="0.25">
      <c r="A5108">
        <v>4323</v>
      </c>
      <c r="B5108" t="s">
        <v>4072</v>
      </c>
      <c r="C5108">
        <v>42</v>
      </c>
      <c r="D5108" t="s">
        <v>4082</v>
      </c>
      <c r="E5108" t="s">
        <v>4083</v>
      </c>
      <c r="F5108" t="s">
        <v>4079</v>
      </c>
    </row>
    <row r="5109" spans="1:6" x14ac:dyDescent="0.25">
      <c r="A5109">
        <v>4323</v>
      </c>
      <c r="B5109" t="s">
        <v>4072</v>
      </c>
      <c r="C5109">
        <v>43</v>
      </c>
      <c r="D5109" t="s">
        <v>2761</v>
      </c>
      <c r="E5109" t="s">
        <v>4089</v>
      </c>
      <c r="F5109" t="s">
        <v>4079</v>
      </c>
    </row>
    <row r="5110" spans="1:6" x14ac:dyDescent="0.25">
      <c r="A5110">
        <v>4324</v>
      </c>
      <c r="B5110" t="s">
        <v>4072</v>
      </c>
      <c r="C5110">
        <v>6</v>
      </c>
      <c r="D5110" t="s">
        <v>4073</v>
      </c>
      <c r="E5110" t="s">
        <v>4074</v>
      </c>
      <c r="F5110" t="s">
        <v>4075</v>
      </c>
    </row>
    <row r="5111" spans="1:6" x14ac:dyDescent="0.25">
      <c r="A5111">
        <v>4324</v>
      </c>
      <c r="B5111" t="s">
        <v>4072</v>
      </c>
      <c r="C5111">
        <v>19</v>
      </c>
      <c r="D5111" t="s">
        <v>4073</v>
      </c>
      <c r="E5111" t="s">
        <v>4074</v>
      </c>
      <c r="F5111" t="s">
        <v>4076</v>
      </c>
    </row>
    <row r="5112" spans="1:6" x14ac:dyDescent="0.25">
      <c r="A5112">
        <v>4324</v>
      </c>
      <c r="B5112" t="s">
        <v>4072</v>
      </c>
      <c r="C5112">
        <v>39</v>
      </c>
      <c r="D5112" t="s">
        <v>4073</v>
      </c>
      <c r="E5112" t="s">
        <v>4074</v>
      </c>
      <c r="F5112" t="s">
        <v>4079</v>
      </c>
    </row>
    <row r="5113" spans="1:6" x14ac:dyDescent="0.25">
      <c r="A5113">
        <v>4325</v>
      </c>
      <c r="B5113" t="s">
        <v>4072</v>
      </c>
      <c r="C5113">
        <v>6</v>
      </c>
      <c r="D5113" t="s">
        <v>4073</v>
      </c>
      <c r="E5113" t="s">
        <v>4074</v>
      </c>
      <c r="F5113" t="s">
        <v>4075</v>
      </c>
    </row>
    <row r="5114" spans="1:6" x14ac:dyDescent="0.25">
      <c r="A5114">
        <v>4325</v>
      </c>
      <c r="B5114" t="s">
        <v>4072</v>
      </c>
      <c r="C5114">
        <v>19</v>
      </c>
      <c r="D5114" t="s">
        <v>4073</v>
      </c>
      <c r="E5114" t="s">
        <v>4074</v>
      </c>
      <c r="F5114" t="s">
        <v>4076</v>
      </c>
    </row>
    <row r="5115" spans="1:6" x14ac:dyDescent="0.25">
      <c r="A5115">
        <v>4325</v>
      </c>
      <c r="B5115" t="s">
        <v>4072</v>
      </c>
      <c r="C5115">
        <v>39</v>
      </c>
      <c r="D5115" t="s">
        <v>4073</v>
      </c>
      <c r="E5115" t="s">
        <v>4074</v>
      </c>
      <c r="F5115" t="s">
        <v>4079</v>
      </c>
    </row>
    <row r="5116" spans="1:6" x14ac:dyDescent="0.25">
      <c r="A5116">
        <v>4326</v>
      </c>
      <c r="B5116" t="s">
        <v>4072</v>
      </c>
      <c r="C5116">
        <v>6</v>
      </c>
      <c r="D5116" t="s">
        <v>4073</v>
      </c>
      <c r="E5116" t="s">
        <v>4074</v>
      </c>
      <c r="F5116" t="s">
        <v>4075</v>
      </c>
    </row>
    <row r="5117" spans="1:6" x14ac:dyDescent="0.25">
      <c r="A5117">
        <v>4326</v>
      </c>
      <c r="B5117" t="s">
        <v>4072</v>
      </c>
      <c r="C5117">
        <v>19</v>
      </c>
      <c r="D5117" t="s">
        <v>4073</v>
      </c>
      <c r="E5117" t="s">
        <v>4074</v>
      </c>
      <c r="F5117" t="s">
        <v>4076</v>
      </c>
    </row>
    <row r="5118" spans="1:6" x14ac:dyDescent="0.25">
      <c r="A5118">
        <v>4326</v>
      </c>
      <c r="B5118" t="s">
        <v>4072</v>
      </c>
      <c r="C5118">
        <v>39</v>
      </c>
      <c r="D5118" t="s">
        <v>4073</v>
      </c>
      <c r="E5118" t="s">
        <v>4074</v>
      </c>
      <c r="F5118" t="s">
        <v>4079</v>
      </c>
    </row>
    <row r="5119" spans="1:6" x14ac:dyDescent="0.25">
      <c r="A5119">
        <v>4331</v>
      </c>
      <c r="B5119" t="s">
        <v>4072</v>
      </c>
      <c r="C5119">
        <v>5</v>
      </c>
      <c r="D5119" t="s">
        <v>4087</v>
      </c>
      <c r="E5119" t="s">
        <v>4088</v>
      </c>
      <c r="F5119" t="s">
        <v>4075</v>
      </c>
    </row>
    <row r="5120" spans="1:6" x14ac:dyDescent="0.25">
      <c r="A5120">
        <v>4331</v>
      </c>
      <c r="B5120" t="s">
        <v>4072</v>
      </c>
      <c r="C5120">
        <v>15</v>
      </c>
      <c r="D5120" t="s">
        <v>4080</v>
      </c>
      <c r="E5120" t="s">
        <v>4081</v>
      </c>
      <c r="F5120" t="s">
        <v>4076</v>
      </c>
    </row>
    <row r="5121" spans="1:6" x14ac:dyDescent="0.25">
      <c r="A5121">
        <v>4331</v>
      </c>
      <c r="B5121" t="s">
        <v>4072</v>
      </c>
      <c r="C5121">
        <v>40</v>
      </c>
      <c r="D5121" t="s">
        <v>4080</v>
      </c>
      <c r="E5121" t="s">
        <v>4081</v>
      </c>
      <c r="F5121" t="s">
        <v>4079</v>
      </c>
    </row>
    <row r="5122" spans="1:6" x14ac:dyDescent="0.25">
      <c r="A5122">
        <v>4332</v>
      </c>
      <c r="B5122" t="s">
        <v>4072</v>
      </c>
      <c r="C5122">
        <v>5</v>
      </c>
      <c r="D5122" t="s">
        <v>4087</v>
      </c>
      <c r="E5122" t="s">
        <v>4088</v>
      </c>
      <c r="F5122" t="s">
        <v>4075</v>
      </c>
    </row>
    <row r="5123" spans="1:6" x14ac:dyDescent="0.25">
      <c r="A5123">
        <v>4332</v>
      </c>
      <c r="B5123" t="s">
        <v>4072</v>
      </c>
      <c r="C5123">
        <v>15</v>
      </c>
      <c r="D5123" t="s">
        <v>4080</v>
      </c>
      <c r="E5123" t="s">
        <v>4081</v>
      </c>
      <c r="F5123" t="s">
        <v>4076</v>
      </c>
    </row>
    <row r="5124" spans="1:6" x14ac:dyDescent="0.25">
      <c r="A5124">
        <v>4332</v>
      </c>
      <c r="B5124" t="s">
        <v>4072</v>
      </c>
      <c r="C5124">
        <v>40</v>
      </c>
      <c r="D5124" t="s">
        <v>4080</v>
      </c>
      <c r="E5124" t="s">
        <v>4081</v>
      </c>
      <c r="F5124" t="s">
        <v>4079</v>
      </c>
    </row>
    <row r="5125" spans="1:6" x14ac:dyDescent="0.25">
      <c r="A5125">
        <v>4333</v>
      </c>
      <c r="B5125" t="s">
        <v>4072</v>
      </c>
      <c r="C5125">
        <v>6</v>
      </c>
      <c r="D5125" t="s">
        <v>4073</v>
      </c>
      <c r="E5125" t="s">
        <v>4074</v>
      </c>
      <c r="F5125" t="s">
        <v>4075</v>
      </c>
    </row>
    <row r="5126" spans="1:6" x14ac:dyDescent="0.25">
      <c r="A5126">
        <v>4333</v>
      </c>
      <c r="B5126" t="s">
        <v>4072</v>
      </c>
      <c r="C5126">
        <v>19</v>
      </c>
      <c r="D5126" t="s">
        <v>4073</v>
      </c>
      <c r="E5126" t="s">
        <v>4074</v>
      </c>
      <c r="F5126" t="s">
        <v>4076</v>
      </c>
    </row>
    <row r="5127" spans="1:6" x14ac:dyDescent="0.25">
      <c r="A5127">
        <v>4333</v>
      </c>
      <c r="B5127" t="s">
        <v>4072</v>
      </c>
      <c r="C5127">
        <v>39</v>
      </c>
      <c r="D5127" t="s">
        <v>4073</v>
      </c>
      <c r="E5127" t="s">
        <v>4074</v>
      </c>
      <c r="F5127" t="s">
        <v>4079</v>
      </c>
    </row>
    <row r="5128" spans="1:6" x14ac:dyDescent="0.25">
      <c r="A5128">
        <v>4334</v>
      </c>
      <c r="B5128" t="s">
        <v>4072</v>
      </c>
      <c r="C5128">
        <v>19</v>
      </c>
      <c r="D5128" t="s">
        <v>4073</v>
      </c>
      <c r="E5128" t="s">
        <v>4074</v>
      </c>
      <c r="F5128" t="s">
        <v>4076</v>
      </c>
    </row>
    <row r="5129" spans="1:6" x14ac:dyDescent="0.25">
      <c r="A5129">
        <v>4334</v>
      </c>
      <c r="B5129" t="s">
        <v>4072</v>
      </c>
      <c r="C5129">
        <v>39</v>
      </c>
      <c r="D5129" t="s">
        <v>4073</v>
      </c>
      <c r="E5129" t="s">
        <v>4074</v>
      </c>
      <c r="F5129" t="s">
        <v>4079</v>
      </c>
    </row>
    <row r="5130" spans="1:6" x14ac:dyDescent="0.25">
      <c r="A5130">
        <v>4335</v>
      </c>
      <c r="B5130" t="s">
        <v>4072</v>
      </c>
      <c r="C5130">
        <v>5</v>
      </c>
      <c r="D5130" t="s">
        <v>4087</v>
      </c>
      <c r="E5130" t="s">
        <v>4088</v>
      </c>
      <c r="F5130" t="s">
        <v>4075</v>
      </c>
    </row>
    <row r="5131" spans="1:6" x14ac:dyDescent="0.25">
      <c r="A5131">
        <v>4335</v>
      </c>
      <c r="B5131" t="s">
        <v>4072</v>
      </c>
      <c r="C5131">
        <v>15</v>
      </c>
      <c r="D5131" t="s">
        <v>4080</v>
      </c>
      <c r="E5131" t="s">
        <v>4081</v>
      </c>
      <c r="F5131" t="s">
        <v>4076</v>
      </c>
    </row>
    <row r="5132" spans="1:6" x14ac:dyDescent="0.25">
      <c r="A5132">
        <v>4336</v>
      </c>
      <c r="B5132" t="s">
        <v>4072</v>
      </c>
      <c r="C5132">
        <v>10</v>
      </c>
      <c r="D5132" t="s">
        <v>4095</v>
      </c>
      <c r="E5132" t="s">
        <v>4096</v>
      </c>
      <c r="F5132" t="s">
        <v>4075</v>
      </c>
    </row>
    <row r="5133" spans="1:6" x14ac:dyDescent="0.25">
      <c r="A5133">
        <v>4336</v>
      </c>
      <c r="B5133" t="s">
        <v>4072</v>
      </c>
      <c r="C5133">
        <v>13</v>
      </c>
      <c r="D5133" t="s">
        <v>4097</v>
      </c>
      <c r="E5133" t="s">
        <v>4098</v>
      </c>
      <c r="F5133" t="s">
        <v>4076</v>
      </c>
    </row>
    <row r="5134" spans="1:6" x14ac:dyDescent="0.25">
      <c r="A5134">
        <v>4337</v>
      </c>
      <c r="B5134" t="s">
        <v>4072</v>
      </c>
      <c r="C5134">
        <v>10</v>
      </c>
      <c r="D5134" t="s">
        <v>4095</v>
      </c>
      <c r="E5134" t="s">
        <v>4096</v>
      </c>
      <c r="F5134" t="s">
        <v>4075</v>
      </c>
    </row>
    <row r="5135" spans="1:6" x14ac:dyDescent="0.25">
      <c r="A5135">
        <v>4338</v>
      </c>
      <c r="B5135" t="s">
        <v>4092</v>
      </c>
      <c r="C5135">
        <v>33</v>
      </c>
      <c r="D5135" t="s">
        <v>4109</v>
      </c>
      <c r="E5135" t="s">
        <v>4110</v>
      </c>
      <c r="F5135" t="s">
        <v>4075</v>
      </c>
    </row>
    <row r="5136" spans="1:6" x14ac:dyDescent="0.25">
      <c r="A5136">
        <v>4339</v>
      </c>
      <c r="B5136" t="s">
        <v>4092</v>
      </c>
      <c r="C5136">
        <v>33</v>
      </c>
      <c r="D5136" t="s">
        <v>4109</v>
      </c>
      <c r="E5136" t="s">
        <v>4110</v>
      </c>
      <c r="F5136" t="s">
        <v>4075</v>
      </c>
    </row>
    <row r="5137" spans="1:6" x14ac:dyDescent="0.25">
      <c r="A5137">
        <v>4340</v>
      </c>
      <c r="B5137" t="s">
        <v>4092</v>
      </c>
      <c r="C5137">
        <v>33</v>
      </c>
      <c r="D5137" t="s">
        <v>4109</v>
      </c>
      <c r="E5137" t="s">
        <v>4110</v>
      </c>
      <c r="F5137" t="s">
        <v>4075</v>
      </c>
    </row>
    <row r="5138" spans="1:6" x14ac:dyDescent="0.25">
      <c r="A5138">
        <v>4341</v>
      </c>
      <c r="B5138" t="s">
        <v>4092</v>
      </c>
      <c r="C5138">
        <v>33</v>
      </c>
      <c r="D5138" t="s">
        <v>4109</v>
      </c>
      <c r="E5138" t="s">
        <v>4110</v>
      </c>
      <c r="F5138" t="s">
        <v>4075</v>
      </c>
    </row>
    <row r="5139" spans="1:6" x14ac:dyDescent="0.25">
      <c r="A5139">
        <v>4342</v>
      </c>
      <c r="B5139" t="s">
        <v>4092</v>
      </c>
      <c r="C5139">
        <v>33</v>
      </c>
      <c r="D5139" t="s">
        <v>4109</v>
      </c>
      <c r="E5139" t="s">
        <v>4110</v>
      </c>
      <c r="F5139" t="s">
        <v>4075</v>
      </c>
    </row>
    <row r="5140" spans="1:6" x14ac:dyDescent="0.25">
      <c r="A5140">
        <v>4342</v>
      </c>
      <c r="B5140" t="s">
        <v>4092</v>
      </c>
      <c r="C5140">
        <v>34</v>
      </c>
      <c r="D5140" t="s">
        <v>4109</v>
      </c>
      <c r="E5140" t="s">
        <v>4110</v>
      </c>
      <c r="F5140" t="s">
        <v>4076</v>
      </c>
    </row>
    <row r="5141" spans="1:6" x14ac:dyDescent="0.25">
      <c r="A5141">
        <v>4343</v>
      </c>
      <c r="B5141" t="s">
        <v>4072</v>
      </c>
      <c r="C5141">
        <v>5</v>
      </c>
      <c r="D5141" t="s">
        <v>4087</v>
      </c>
      <c r="E5141" t="s">
        <v>4088</v>
      </c>
      <c r="F5141" t="s">
        <v>4075</v>
      </c>
    </row>
    <row r="5142" spans="1:6" x14ac:dyDescent="0.25">
      <c r="A5142">
        <v>4343</v>
      </c>
      <c r="B5142" t="s">
        <v>4072</v>
      </c>
      <c r="C5142">
        <v>15</v>
      </c>
      <c r="D5142" t="s">
        <v>4080</v>
      </c>
      <c r="E5142" t="s">
        <v>4081</v>
      </c>
      <c r="F5142" t="s">
        <v>4076</v>
      </c>
    </row>
    <row r="5143" spans="1:6" x14ac:dyDescent="0.25">
      <c r="A5143">
        <v>4345</v>
      </c>
      <c r="B5143" t="s">
        <v>4072</v>
      </c>
      <c r="C5143">
        <v>5</v>
      </c>
      <c r="D5143" t="s">
        <v>4087</v>
      </c>
      <c r="E5143" t="s">
        <v>4088</v>
      </c>
      <c r="F5143" t="s">
        <v>4075</v>
      </c>
    </row>
    <row r="5144" spans="1:6" x14ac:dyDescent="0.25">
      <c r="A5144">
        <v>4345</v>
      </c>
      <c r="B5144" t="s">
        <v>4072</v>
      </c>
      <c r="C5144">
        <v>15</v>
      </c>
      <c r="D5144" t="s">
        <v>4080</v>
      </c>
      <c r="E5144" t="s">
        <v>4081</v>
      </c>
      <c r="F5144" t="s">
        <v>4076</v>
      </c>
    </row>
    <row r="5145" spans="1:6" x14ac:dyDescent="0.25">
      <c r="A5145">
        <v>4346</v>
      </c>
      <c r="B5145" t="s">
        <v>4072</v>
      </c>
      <c r="C5145">
        <v>4</v>
      </c>
      <c r="D5145" t="s">
        <v>4077</v>
      </c>
      <c r="E5145" t="s">
        <v>4078</v>
      </c>
      <c r="F5145" t="s">
        <v>4075</v>
      </c>
    </row>
    <row r="5146" spans="1:6" x14ac:dyDescent="0.25">
      <c r="A5146">
        <v>4346</v>
      </c>
      <c r="B5146" t="s">
        <v>4072</v>
      </c>
      <c r="C5146">
        <v>16</v>
      </c>
      <c r="D5146" t="s">
        <v>4077</v>
      </c>
      <c r="E5146" t="s">
        <v>4078</v>
      </c>
      <c r="F5146" t="s">
        <v>4076</v>
      </c>
    </row>
    <row r="5147" spans="1:6" x14ac:dyDescent="0.25">
      <c r="A5147">
        <v>4346</v>
      </c>
      <c r="B5147" t="s">
        <v>4072</v>
      </c>
      <c r="C5147">
        <v>44</v>
      </c>
      <c r="D5147" t="s">
        <v>4077</v>
      </c>
      <c r="E5147" t="s">
        <v>4078</v>
      </c>
      <c r="F5147" t="s">
        <v>4079</v>
      </c>
    </row>
    <row r="5148" spans="1:6" x14ac:dyDescent="0.25">
      <c r="A5148">
        <v>4347</v>
      </c>
      <c r="B5148" t="s">
        <v>4072</v>
      </c>
      <c r="C5148">
        <v>3</v>
      </c>
      <c r="D5148" t="s">
        <v>4085</v>
      </c>
      <c r="E5148" t="s">
        <v>4086</v>
      </c>
      <c r="F5148" t="s">
        <v>4075</v>
      </c>
    </row>
    <row r="5149" spans="1:6" x14ac:dyDescent="0.25">
      <c r="A5149">
        <v>4347</v>
      </c>
      <c r="B5149" t="s">
        <v>4072</v>
      </c>
      <c r="C5149">
        <v>15</v>
      </c>
      <c r="D5149" t="s">
        <v>4080</v>
      </c>
      <c r="E5149" t="s">
        <v>4081</v>
      </c>
      <c r="F5149" t="s">
        <v>4076</v>
      </c>
    </row>
    <row r="5150" spans="1:6" x14ac:dyDescent="0.25">
      <c r="A5150">
        <v>4347</v>
      </c>
      <c r="B5150" t="s">
        <v>4072</v>
      </c>
      <c r="C5150">
        <v>40</v>
      </c>
      <c r="D5150" t="s">
        <v>4080</v>
      </c>
      <c r="E5150" t="s">
        <v>4081</v>
      </c>
      <c r="F5150" t="s">
        <v>4079</v>
      </c>
    </row>
    <row r="5151" spans="1:6" x14ac:dyDescent="0.25">
      <c r="A5151">
        <v>4348</v>
      </c>
      <c r="B5151" t="s">
        <v>4072</v>
      </c>
      <c r="C5151">
        <v>5</v>
      </c>
      <c r="D5151" t="s">
        <v>4087</v>
      </c>
      <c r="E5151" t="s">
        <v>4088</v>
      </c>
      <c r="F5151" t="s">
        <v>4075</v>
      </c>
    </row>
    <row r="5152" spans="1:6" x14ac:dyDescent="0.25">
      <c r="A5152">
        <v>4348</v>
      </c>
      <c r="B5152" t="s">
        <v>4072</v>
      </c>
      <c r="C5152">
        <v>15</v>
      </c>
      <c r="D5152" t="s">
        <v>4080</v>
      </c>
      <c r="E5152" t="s">
        <v>4081</v>
      </c>
      <c r="F5152" t="s">
        <v>4076</v>
      </c>
    </row>
    <row r="5153" spans="1:6" x14ac:dyDescent="0.25">
      <c r="A5153">
        <v>4349</v>
      </c>
      <c r="B5153" t="s">
        <v>4072</v>
      </c>
      <c r="C5153">
        <v>19</v>
      </c>
      <c r="D5153" t="s">
        <v>4073</v>
      </c>
      <c r="E5153" t="s">
        <v>4074</v>
      </c>
      <c r="F5153" t="s">
        <v>4076</v>
      </c>
    </row>
    <row r="5154" spans="1:6" x14ac:dyDescent="0.25">
      <c r="A5154">
        <v>4350</v>
      </c>
      <c r="B5154" t="s">
        <v>4072</v>
      </c>
      <c r="C5154">
        <v>10</v>
      </c>
      <c r="D5154" t="s">
        <v>4095</v>
      </c>
      <c r="E5154" t="s">
        <v>4096</v>
      </c>
      <c r="F5154" t="s">
        <v>4075</v>
      </c>
    </row>
    <row r="5155" spans="1:6" x14ac:dyDescent="0.25">
      <c r="A5155">
        <v>4350</v>
      </c>
      <c r="B5155" t="s">
        <v>4072</v>
      </c>
      <c r="C5155">
        <v>13</v>
      </c>
      <c r="D5155" t="s">
        <v>4097</v>
      </c>
      <c r="E5155" t="s">
        <v>4098</v>
      </c>
      <c r="F5155" t="s">
        <v>4076</v>
      </c>
    </row>
    <row r="5156" spans="1:6" x14ac:dyDescent="0.25">
      <c r="A5156">
        <v>4351</v>
      </c>
      <c r="B5156" t="s">
        <v>4072</v>
      </c>
      <c r="C5156">
        <v>2</v>
      </c>
      <c r="D5156" t="s">
        <v>4082</v>
      </c>
      <c r="E5156" t="s">
        <v>4083</v>
      </c>
      <c r="F5156" t="s">
        <v>4075</v>
      </c>
    </row>
    <row r="5157" spans="1:6" x14ac:dyDescent="0.25">
      <c r="A5157">
        <v>4351</v>
      </c>
      <c r="B5157" t="s">
        <v>4072</v>
      </c>
      <c r="C5157">
        <v>17</v>
      </c>
      <c r="D5157" t="s">
        <v>4082</v>
      </c>
      <c r="E5157" t="s">
        <v>4084</v>
      </c>
      <c r="F5157" t="s">
        <v>4076</v>
      </c>
    </row>
    <row r="5158" spans="1:6" x14ac:dyDescent="0.25">
      <c r="A5158">
        <v>4352</v>
      </c>
      <c r="B5158" t="s">
        <v>4072</v>
      </c>
      <c r="C5158">
        <v>10</v>
      </c>
      <c r="D5158" t="s">
        <v>4095</v>
      </c>
      <c r="E5158" t="s">
        <v>4096</v>
      </c>
      <c r="F5158" t="s">
        <v>4075</v>
      </c>
    </row>
    <row r="5159" spans="1:6" x14ac:dyDescent="0.25">
      <c r="A5159">
        <v>4352</v>
      </c>
      <c r="B5159" t="s">
        <v>4072</v>
      </c>
      <c r="C5159">
        <v>13</v>
      </c>
      <c r="D5159" t="s">
        <v>4097</v>
      </c>
      <c r="E5159" t="s">
        <v>4098</v>
      </c>
      <c r="F5159" t="s">
        <v>4076</v>
      </c>
    </row>
    <row r="5160" spans="1:6" x14ac:dyDescent="0.25">
      <c r="A5160">
        <v>4353</v>
      </c>
      <c r="B5160" t="s">
        <v>4072</v>
      </c>
      <c r="C5160">
        <v>6</v>
      </c>
      <c r="D5160" t="s">
        <v>4073</v>
      </c>
      <c r="E5160" t="s">
        <v>4074</v>
      </c>
      <c r="F5160" t="s">
        <v>4075</v>
      </c>
    </row>
    <row r="5161" spans="1:6" x14ac:dyDescent="0.25">
      <c r="A5161">
        <v>4353</v>
      </c>
      <c r="B5161" t="s">
        <v>4072</v>
      </c>
      <c r="C5161">
        <v>19</v>
      </c>
      <c r="D5161" t="s">
        <v>4073</v>
      </c>
      <c r="E5161" t="s">
        <v>4074</v>
      </c>
      <c r="F5161" t="s">
        <v>4076</v>
      </c>
    </row>
    <row r="5162" spans="1:6" x14ac:dyDescent="0.25">
      <c r="A5162">
        <v>4354</v>
      </c>
      <c r="B5162" t="s">
        <v>4072</v>
      </c>
      <c r="C5162">
        <v>6</v>
      </c>
      <c r="D5162" t="s">
        <v>4073</v>
      </c>
      <c r="E5162" t="s">
        <v>4074</v>
      </c>
      <c r="F5162" t="s">
        <v>4075</v>
      </c>
    </row>
    <row r="5163" spans="1:6" x14ac:dyDescent="0.25">
      <c r="A5163">
        <v>4355</v>
      </c>
      <c r="B5163" t="s">
        <v>4072</v>
      </c>
      <c r="C5163">
        <v>4</v>
      </c>
      <c r="D5163" t="s">
        <v>4077</v>
      </c>
      <c r="E5163" t="s">
        <v>4078</v>
      </c>
      <c r="F5163" t="s">
        <v>4075</v>
      </c>
    </row>
    <row r="5164" spans="1:6" x14ac:dyDescent="0.25">
      <c r="A5164">
        <v>4355</v>
      </c>
      <c r="B5164" t="s">
        <v>4072</v>
      </c>
      <c r="C5164">
        <v>16</v>
      </c>
      <c r="D5164" t="s">
        <v>4077</v>
      </c>
      <c r="E5164" t="s">
        <v>4078</v>
      </c>
      <c r="F5164" t="s">
        <v>4076</v>
      </c>
    </row>
    <row r="5165" spans="1:6" x14ac:dyDescent="0.25">
      <c r="A5165">
        <v>4356</v>
      </c>
      <c r="B5165" t="s">
        <v>4072</v>
      </c>
      <c r="C5165">
        <v>5</v>
      </c>
      <c r="D5165" t="s">
        <v>4087</v>
      </c>
      <c r="E5165" t="s">
        <v>4088</v>
      </c>
      <c r="F5165" t="s">
        <v>4075</v>
      </c>
    </row>
    <row r="5166" spans="1:6" x14ac:dyDescent="0.25">
      <c r="A5166">
        <v>4356</v>
      </c>
      <c r="B5166" t="s">
        <v>4072</v>
      </c>
      <c r="C5166">
        <v>15</v>
      </c>
      <c r="D5166" t="s">
        <v>4080</v>
      </c>
      <c r="E5166" t="s">
        <v>4081</v>
      </c>
      <c r="F5166" t="s">
        <v>4076</v>
      </c>
    </row>
    <row r="5167" spans="1:6" x14ac:dyDescent="0.25">
      <c r="A5167">
        <v>4357</v>
      </c>
      <c r="B5167" t="s">
        <v>4072</v>
      </c>
      <c r="C5167">
        <v>5</v>
      </c>
      <c r="D5167" t="s">
        <v>4087</v>
      </c>
      <c r="E5167" t="s">
        <v>4088</v>
      </c>
      <c r="F5167" t="s">
        <v>4075</v>
      </c>
    </row>
    <row r="5168" spans="1:6" x14ac:dyDescent="0.25">
      <c r="A5168">
        <v>4357</v>
      </c>
      <c r="B5168" t="s">
        <v>4072</v>
      </c>
      <c r="C5168">
        <v>15</v>
      </c>
      <c r="D5168" t="s">
        <v>4080</v>
      </c>
      <c r="E5168" t="s">
        <v>4081</v>
      </c>
      <c r="F5168" t="s">
        <v>4076</v>
      </c>
    </row>
    <row r="5169" spans="1:6" x14ac:dyDescent="0.25">
      <c r="A5169">
        <v>4358</v>
      </c>
      <c r="B5169" t="s">
        <v>4072</v>
      </c>
      <c r="C5169">
        <v>5</v>
      </c>
      <c r="D5169" t="s">
        <v>4087</v>
      </c>
      <c r="E5169" t="s">
        <v>4088</v>
      </c>
      <c r="F5169" t="s">
        <v>4075</v>
      </c>
    </row>
    <row r="5170" spans="1:6" x14ac:dyDescent="0.25">
      <c r="A5170">
        <v>4358</v>
      </c>
      <c r="B5170" t="s">
        <v>4072</v>
      </c>
      <c r="C5170">
        <v>15</v>
      </c>
      <c r="D5170" t="s">
        <v>4080</v>
      </c>
      <c r="E5170" t="s">
        <v>4081</v>
      </c>
      <c r="F5170" t="s">
        <v>4076</v>
      </c>
    </row>
    <row r="5171" spans="1:6" x14ac:dyDescent="0.25">
      <c r="A5171">
        <v>4359</v>
      </c>
      <c r="B5171" t="s">
        <v>4072</v>
      </c>
      <c r="C5171">
        <v>4</v>
      </c>
      <c r="D5171" t="s">
        <v>4077</v>
      </c>
      <c r="E5171" t="s">
        <v>4078</v>
      </c>
      <c r="F5171" t="s">
        <v>4075</v>
      </c>
    </row>
    <row r="5172" spans="1:6" x14ac:dyDescent="0.25">
      <c r="A5172">
        <v>4359</v>
      </c>
      <c r="B5172" t="s">
        <v>4072</v>
      </c>
      <c r="C5172">
        <v>16</v>
      </c>
      <c r="D5172" t="s">
        <v>4077</v>
      </c>
      <c r="E5172" t="s">
        <v>4078</v>
      </c>
      <c r="F5172" t="s">
        <v>4076</v>
      </c>
    </row>
    <row r="5173" spans="1:6" x14ac:dyDescent="0.25">
      <c r="A5173">
        <v>4360</v>
      </c>
      <c r="B5173" t="s">
        <v>4072</v>
      </c>
      <c r="C5173">
        <v>3</v>
      </c>
      <c r="D5173" t="s">
        <v>4085</v>
      </c>
      <c r="E5173" t="s">
        <v>4086</v>
      </c>
      <c r="F5173" t="s">
        <v>4075</v>
      </c>
    </row>
    <row r="5174" spans="1:6" x14ac:dyDescent="0.25">
      <c r="A5174">
        <v>4360</v>
      </c>
      <c r="B5174" t="s">
        <v>4072</v>
      </c>
      <c r="C5174">
        <v>15</v>
      </c>
      <c r="D5174" t="s">
        <v>4080</v>
      </c>
      <c r="E5174" t="s">
        <v>4081</v>
      </c>
      <c r="F5174" t="s">
        <v>4076</v>
      </c>
    </row>
    <row r="5175" spans="1:6" x14ac:dyDescent="0.25">
      <c r="A5175">
        <v>4361</v>
      </c>
      <c r="B5175" t="s">
        <v>4092</v>
      </c>
      <c r="C5175">
        <v>24</v>
      </c>
      <c r="D5175" t="s">
        <v>2760</v>
      </c>
      <c r="E5175" t="s">
        <v>4108</v>
      </c>
      <c r="F5175" t="s">
        <v>4075</v>
      </c>
    </row>
    <row r="5176" spans="1:6" x14ac:dyDescent="0.25">
      <c r="A5176">
        <v>4361</v>
      </c>
      <c r="B5176" t="s">
        <v>4092</v>
      </c>
      <c r="C5176">
        <v>29</v>
      </c>
      <c r="D5176" t="s">
        <v>2760</v>
      </c>
      <c r="E5176" t="s">
        <v>4108</v>
      </c>
      <c r="F5176" t="s">
        <v>4076</v>
      </c>
    </row>
    <row r="5177" spans="1:6" x14ac:dyDescent="0.25">
      <c r="A5177">
        <v>4362</v>
      </c>
      <c r="B5177" t="s">
        <v>4072</v>
      </c>
      <c r="C5177">
        <v>5</v>
      </c>
      <c r="D5177" t="s">
        <v>4087</v>
      </c>
      <c r="E5177" t="s">
        <v>4088</v>
      </c>
      <c r="F5177" t="s">
        <v>4075</v>
      </c>
    </row>
    <row r="5178" spans="1:6" x14ac:dyDescent="0.25">
      <c r="A5178">
        <v>4362</v>
      </c>
      <c r="B5178" t="s">
        <v>4072</v>
      </c>
      <c r="C5178">
        <v>15</v>
      </c>
      <c r="D5178" t="s">
        <v>4080</v>
      </c>
      <c r="E5178" t="s">
        <v>4081</v>
      </c>
      <c r="F5178" t="s">
        <v>4076</v>
      </c>
    </row>
    <row r="5179" spans="1:6" x14ac:dyDescent="0.25">
      <c r="A5179">
        <v>4362</v>
      </c>
      <c r="B5179" t="s">
        <v>4072</v>
      </c>
      <c r="C5179">
        <v>40</v>
      </c>
      <c r="D5179" t="s">
        <v>4080</v>
      </c>
      <c r="E5179" t="s">
        <v>4081</v>
      </c>
      <c r="F5179" t="s">
        <v>4079</v>
      </c>
    </row>
    <row r="5180" spans="1:6" x14ac:dyDescent="0.25">
      <c r="A5180">
        <v>4363</v>
      </c>
      <c r="B5180" t="s">
        <v>4072</v>
      </c>
      <c r="C5180">
        <v>6</v>
      </c>
      <c r="D5180" t="s">
        <v>4073</v>
      </c>
      <c r="E5180" t="s">
        <v>4074</v>
      </c>
      <c r="F5180" t="s">
        <v>4075</v>
      </c>
    </row>
    <row r="5181" spans="1:6" x14ac:dyDescent="0.25">
      <c r="A5181">
        <v>4364</v>
      </c>
      <c r="B5181" t="s">
        <v>4072</v>
      </c>
      <c r="C5181">
        <v>19</v>
      </c>
      <c r="D5181" t="s">
        <v>4073</v>
      </c>
      <c r="E5181" t="s">
        <v>4074</v>
      </c>
      <c r="F5181" t="s">
        <v>4076</v>
      </c>
    </row>
    <row r="5182" spans="1:6" x14ac:dyDescent="0.25">
      <c r="A5182">
        <v>4364</v>
      </c>
      <c r="B5182" t="s">
        <v>4072</v>
      </c>
      <c r="C5182">
        <v>39</v>
      </c>
      <c r="D5182" t="s">
        <v>4073</v>
      </c>
      <c r="E5182" t="s">
        <v>4074</v>
      </c>
      <c r="F5182" t="s">
        <v>4079</v>
      </c>
    </row>
    <row r="5183" spans="1:6" x14ac:dyDescent="0.25">
      <c r="A5183">
        <v>4365</v>
      </c>
      <c r="B5183" t="s">
        <v>4072</v>
      </c>
      <c r="C5183">
        <v>6</v>
      </c>
      <c r="D5183" t="s">
        <v>4073</v>
      </c>
      <c r="E5183" t="s">
        <v>4074</v>
      </c>
      <c r="F5183" t="s">
        <v>4075</v>
      </c>
    </row>
    <row r="5184" spans="1:6" x14ac:dyDescent="0.25">
      <c r="A5184">
        <v>4365</v>
      </c>
      <c r="B5184" t="s">
        <v>4072</v>
      </c>
      <c r="C5184">
        <v>19</v>
      </c>
      <c r="D5184" t="s">
        <v>4073</v>
      </c>
      <c r="E5184" t="s">
        <v>4074</v>
      </c>
      <c r="F5184" t="s">
        <v>4076</v>
      </c>
    </row>
    <row r="5185" spans="1:6" x14ac:dyDescent="0.25">
      <c r="A5185">
        <v>4366</v>
      </c>
      <c r="B5185" t="s">
        <v>4072</v>
      </c>
      <c r="C5185">
        <v>6</v>
      </c>
      <c r="D5185" t="s">
        <v>4073</v>
      </c>
      <c r="E5185" t="s">
        <v>4074</v>
      </c>
      <c r="F5185" t="s">
        <v>4075</v>
      </c>
    </row>
    <row r="5186" spans="1:6" x14ac:dyDescent="0.25">
      <c r="A5186">
        <v>4366</v>
      </c>
      <c r="B5186" t="s">
        <v>4072</v>
      </c>
      <c r="C5186">
        <v>19</v>
      </c>
      <c r="D5186" t="s">
        <v>4073</v>
      </c>
      <c r="E5186" t="s">
        <v>4074</v>
      </c>
      <c r="F5186" t="s">
        <v>4076</v>
      </c>
    </row>
    <row r="5187" spans="1:6" x14ac:dyDescent="0.25">
      <c r="A5187">
        <v>4367</v>
      </c>
      <c r="B5187" t="s">
        <v>4092</v>
      </c>
      <c r="C5187">
        <v>24</v>
      </c>
      <c r="D5187" t="s">
        <v>2760</v>
      </c>
      <c r="E5187" t="s">
        <v>4108</v>
      </c>
      <c r="F5187" t="s">
        <v>4075</v>
      </c>
    </row>
    <row r="5188" spans="1:6" x14ac:dyDescent="0.25">
      <c r="A5188">
        <v>4367</v>
      </c>
      <c r="B5188" t="s">
        <v>4092</v>
      </c>
      <c r="C5188">
        <v>29</v>
      </c>
      <c r="D5188" t="s">
        <v>2760</v>
      </c>
      <c r="E5188" t="s">
        <v>4108</v>
      </c>
      <c r="F5188" t="s">
        <v>4076</v>
      </c>
    </row>
    <row r="5189" spans="1:6" x14ac:dyDescent="0.25">
      <c r="A5189">
        <v>4367</v>
      </c>
      <c r="B5189" t="s">
        <v>4092</v>
      </c>
      <c r="C5189">
        <v>49</v>
      </c>
      <c r="D5189" t="s">
        <v>2760</v>
      </c>
      <c r="E5189" t="s">
        <v>4108</v>
      </c>
      <c r="F5189" t="s">
        <v>4079</v>
      </c>
    </row>
    <row r="5190" spans="1:6" x14ac:dyDescent="0.25">
      <c r="A5190">
        <v>4368</v>
      </c>
      <c r="B5190" t="s">
        <v>4072</v>
      </c>
      <c r="C5190">
        <v>12</v>
      </c>
      <c r="D5190" t="s">
        <v>2159</v>
      </c>
      <c r="E5190" t="s">
        <v>4094</v>
      </c>
      <c r="F5190" t="s">
        <v>4076</v>
      </c>
    </row>
    <row r="5191" spans="1:6" x14ac:dyDescent="0.25">
      <c r="A5191">
        <v>4368</v>
      </c>
      <c r="B5191" t="s">
        <v>4072</v>
      </c>
      <c r="C5191">
        <v>45</v>
      </c>
      <c r="D5191" t="s">
        <v>2159</v>
      </c>
      <c r="E5191" t="s">
        <v>4094</v>
      </c>
      <c r="F5191" t="s">
        <v>4079</v>
      </c>
    </row>
    <row r="5192" spans="1:6" x14ac:dyDescent="0.25">
      <c r="A5192">
        <v>4369</v>
      </c>
      <c r="B5192" t="s">
        <v>4072</v>
      </c>
      <c r="C5192">
        <v>3</v>
      </c>
      <c r="D5192" t="s">
        <v>4085</v>
      </c>
      <c r="E5192" t="s">
        <v>4086</v>
      </c>
      <c r="F5192" t="s">
        <v>4075</v>
      </c>
    </row>
    <row r="5193" spans="1:6" x14ac:dyDescent="0.25">
      <c r="A5193">
        <v>4369</v>
      </c>
      <c r="B5193" t="s">
        <v>4072</v>
      </c>
      <c r="C5193">
        <v>15</v>
      </c>
      <c r="D5193" t="s">
        <v>4080</v>
      </c>
      <c r="E5193" t="s">
        <v>4081</v>
      </c>
      <c r="F5193" t="s">
        <v>4076</v>
      </c>
    </row>
    <row r="5194" spans="1:6" x14ac:dyDescent="0.25">
      <c r="A5194">
        <v>4370</v>
      </c>
      <c r="B5194" t="s">
        <v>4072</v>
      </c>
      <c r="C5194">
        <v>3</v>
      </c>
      <c r="D5194" t="s">
        <v>4085</v>
      </c>
      <c r="E5194" t="s">
        <v>4086</v>
      </c>
      <c r="F5194" t="s">
        <v>4075</v>
      </c>
    </row>
    <row r="5195" spans="1:6" x14ac:dyDescent="0.25">
      <c r="A5195">
        <v>4370</v>
      </c>
      <c r="B5195" t="s">
        <v>4072</v>
      </c>
      <c r="C5195">
        <v>15</v>
      </c>
      <c r="D5195" t="s">
        <v>4080</v>
      </c>
      <c r="E5195" t="s">
        <v>4081</v>
      </c>
      <c r="F5195" t="s">
        <v>4076</v>
      </c>
    </row>
    <row r="5196" spans="1:6" x14ac:dyDescent="0.25">
      <c r="A5196">
        <v>4371</v>
      </c>
      <c r="B5196" t="s">
        <v>4072</v>
      </c>
      <c r="C5196">
        <v>10</v>
      </c>
      <c r="D5196" t="s">
        <v>4095</v>
      </c>
      <c r="E5196" t="s">
        <v>4096</v>
      </c>
      <c r="F5196" t="s">
        <v>4075</v>
      </c>
    </row>
    <row r="5197" spans="1:6" x14ac:dyDescent="0.25">
      <c r="A5197">
        <v>4371</v>
      </c>
      <c r="B5197" t="s">
        <v>4072</v>
      </c>
      <c r="C5197">
        <v>13</v>
      </c>
      <c r="D5197" t="s">
        <v>4097</v>
      </c>
      <c r="E5197" t="s">
        <v>4098</v>
      </c>
      <c r="F5197" t="s">
        <v>4076</v>
      </c>
    </row>
    <row r="5198" spans="1:6" x14ac:dyDescent="0.25">
      <c r="A5198">
        <v>4373</v>
      </c>
      <c r="B5198" t="s">
        <v>4072</v>
      </c>
      <c r="C5198">
        <v>19</v>
      </c>
      <c r="D5198" t="s">
        <v>4073</v>
      </c>
      <c r="E5198" t="s">
        <v>4074</v>
      </c>
      <c r="F5198" t="s">
        <v>4076</v>
      </c>
    </row>
    <row r="5199" spans="1:6" x14ac:dyDescent="0.25">
      <c r="A5199">
        <v>4374</v>
      </c>
      <c r="B5199" t="s">
        <v>4072</v>
      </c>
      <c r="C5199">
        <v>5</v>
      </c>
      <c r="D5199" t="s">
        <v>4087</v>
      </c>
      <c r="E5199" t="s">
        <v>4088</v>
      </c>
      <c r="F5199" t="s">
        <v>4075</v>
      </c>
    </row>
    <row r="5200" spans="1:6" x14ac:dyDescent="0.25">
      <c r="A5200">
        <v>4374</v>
      </c>
      <c r="B5200" t="s">
        <v>4072</v>
      </c>
      <c r="C5200">
        <v>15</v>
      </c>
      <c r="D5200" t="s">
        <v>4080</v>
      </c>
      <c r="E5200" t="s">
        <v>4081</v>
      </c>
      <c r="F5200" t="s">
        <v>4076</v>
      </c>
    </row>
    <row r="5201" spans="1:6" x14ac:dyDescent="0.25">
      <c r="A5201">
        <v>4374</v>
      </c>
      <c r="B5201" t="s">
        <v>4072</v>
      </c>
      <c r="C5201">
        <v>40</v>
      </c>
      <c r="D5201" t="s">
        <v>4080</v>
      </c>
      <c r="E5201" t="s">
        <v>4081</v>
      </c>
      <c r="F5201" t="s">
        <v>4079</v>
      </c>
    </row>
    <row r="5202" spans="1:6" x14ac:dyDescent="0.25">
      <c r="A5202">
        <v>4375</v>
      </c>
      <c r="B5202" t="s">
        <v>4072</v>
      </c>
      <c r="C5202">
        <v>6</v>
      </c>
      <c r="D5202" t="s">
        <v>4073</v>
      </c>
      <c r="E5202" t="s">
        <v>4074</v>
      </c>
      <c r="F5202" t="s">
        <v>4075</v>
      </c>
    </row>
    <row r="5203" spans="1:6" x14ac:dyDescent="0.25">
      <c r="A5203">
        <v>4375</v>
      </c>
      <c r="B5203" t="s">
        <v>4072</v>
      </c>
      <c r="C5203">
        <v>19</v>
      </c>
      <c r="D5203" t="s">
        <v>4073</v>
      </c>
      <c r="E5203" t="s">
        <v>4074</v>
      </c>
      <c r="F5203" t="s">
        <v>4076</v>
      </c>
    </row>
    <row r="5204" spans="1:6" x14ac:dyDescent="0.25">
      <c r="A5204">
        <v>4377</v>
      </c>
      <c r="B5204" t="s">
        <v>4092</v>
      </c>
      <c r="C5204">
        <v>23</v>
      </c>
      <c r="D5204" t="s">
        <v>2757</v>
      </c>
      <c r="E5204" t="s">
        <v>4093</v>
      </c>
      <c r="F5204" t="s">
        <v>4075</v>
      </c>
    </row>
    <row r="5205" spans="1:6" x14ac:dyDescent="0.25">
      <c r="A5205">
        <v>4377</v>
      </c>
      <c r="B5205" t="s">
        <v>4092</v>
      </c>
      <c r="C5205">
        <v>28</v>
      </c>
      <c r="D5205" t="s">
        <v>2757</v>
      </c>
      <c r="E5205" t="s">
        <v>4093</v>
      </c>
      <c r="F5205" t="s">
        <v>4076</v>
      </c>
    </row>
    <row r="5206" spans="1:6" x14ac:dyDescent="0.25">
      <c r="A5206">
        <v>4378</v>
      </c>
      <c r="B5206" t="s">
        <v>4072</v>
      </c>
      <c r="C5206">
        <v>6</v>
      </c>
      <c r="D5206" t="s">
        <v>4073</v>
      </c>
      <c r="E5206" t="s">
        <v>4074</v>
      </c>
      <c r="F5206" t="s">
        <v>4075</v>
      </c>
    </row>
    <row r="5207" spans="1:6" x14ac:dyDescent="0.25">
      <c r="A5207">
        <v>4378</v>
      </c>
      <c r="B5207" t="s">
        <v>4072</v>
      </c>
      <c r="C5207">
        <v>19</v>
      </c>
      <c r="D5207" t="s">
        <v>4073</v>
      </c>
      <c r="E5207" t="s">
        <v>4074</v>
      </c>
      <c r="F5207" t="s">
        <v>4076</v>
      </c>
    </row>
    <row r="5208" spans="1:6" x14ac:dyDescent="0.25">
      <c r="A5208">
        <v>4379</v>
      </c>
      <c r="B5208" t="s">
        <v>4072</v>
      </c>
      <c r="C5208">
        <v>6</v>
      </c>
      <c r="D5208" t="s">
        <v>4073</v>
      </c>
      <c r="E5208" t="s">
        <v>4074</v>
      </c>
      <c r="F5208" t="s">
        <v>4075</v>
      </c>
    </row>
    <row r="5209" spans="1:6" x14ac:dyDescent="0.25">
      <c r="A5209">
        <v>4379</v>
      </c>
      <c r="B5209" t="s">
        <v>4072</v>
      </c>
      <c r="C5209">
        <v>19</v>
      </c>
      <c r="D5209" t="s">
        <v>4073</v>
      </c>
      <c r="E5209" t="s">
        <v>4074</v>
      </c>
      <c r="F5209" t="s">
        <v>4076</v>
      </c>
    </row>
    <row r="5210" spans="1:6" x14ac:dyDescent="0.25">
      <c r="A5210">
        <v>4380</v>
      </c>
      <c r="B5210" t="s">
        <v>4072</v>
      </c>
      <c r="C5210">
        <v>10</v>
      </c>
      <c r="D5210" t="s">
        <v>4095</v>
      </c>
      <c r="E5210" t="s">
        <v>4096</v>
      </c>
      <c r="F5210" t="s">
        <v>4075</v>
      </c>
    </row>
    <row r="5211" spans="1:6" x14ac:dyDescent="0.25">
      <c r="A5211">
        <v>4380</v>
      </c>
      <c r="B5211" t="s">
        <v>4072</v>
      </c>
      <c r="C5211">
        <v>13</v>
      </c>
      <c r="D5211" t="s">
        <v>4097</v>
      </c>
      <c r="E5211" t="s">
        <v>4098</v>
      </c>
      <c r="F5211" t="s">
        <v>4076</v>
      </c>
    </row>
    <row r="5212" spans="1:6" x14ac:dyDescent="0.25">
      <c r="A5212">
        <v>4381</v>
      </c>
      <c r="B5212" t="s">
        <v>4072</v>
      </c>
      <c r="C5212">
        <v>6</v>
      </c>
      <c r="D5212" t="s">
        <v>4073</v>
      </c>
      <c r="E5212" t="s">
        <v>4074</v>
      </c>
      <c r="F5212" t="s">
        <v>4075</v>
      </c>
    </row>
    <row r="5213" spans="1:6" x14ac:dyDescent="0.25">
      <c r="A5213">
        <v>4381</v>
      </c>
      <c r="B5213" t="s">
        <v>4072</v>
      </c>
      <c r="C5213">
        <v>19</v>
      </c>
      <c r="D5213" t="s">
        <v>4073</v>
      </c>
      <c r="E5213" t="s">
        <v>4074</v>
      </c>
      <c r="F5213" t="s">
        <v>4076</v>
      </c>
    </row>
    <row r="5214" spans="1:6" x14ac:dyDescent="0.25">
      <c r="A5214">
        <v>4382</v>
      </c>
      <c r="B5214" t="s">
        <v>4072</v>
      </c>
      <c r="C5214">
        <v>5</v>
      </c>
      <c r="D5214" t="s">
        <v>4087</v>
      </c>
      <c r="E5214" t="s">
        <v>4088</v>
      </c>
      <c r="F5214" t="s">
        <v>4075</v>
      </c>
    </row>
    <row r="5215" spans="1:6" x14ac:dyDescent="0.25">
      <c r="A5215">
        <v>4382</v>
      </c>
      <c r="B5215" t="s">
        <v>4072</v>
      </c>
      <c r="C5215">
        <v>15</v>
      </c>
      <c r="D5215" t="s">
        <v>4080</v>
      </c>
      <c r="E5215" t="s">
        <v>4081</v>
      </c>
      <c r="F5215" t="s">
        <v>4076</v>
      </c>
    </row>
    <row r="5216" spans="1:6" x14ac:dyDescent="0.25">
      <c r="A5216">
        <v>4382</v>
      </c>
      <c r="B5216" t="s">
        <v>4072</v>
      </c>
      <c r="C5216">
        <v>40</v>
      </c>
      <c r="D5216" t="s">
        <v>4080</v>
      </c>
      <c r="E5216" t="s">
        <v>4081</v>
      </c>
      <c r="F5216" t="s">
        <v>4079</v>
      </c>
    </row>
    <row r="5217" spans="1:6" x14ac:dyDescent="0.25">
      <c r="A5217">
        <v>4383</v>
      </c>
      <c r="B5217" t="s">
        <v>4072</v>
      </c>
      <c r="C5217">
        <v>5</v>
      </c>
      <c r="D5217" t="s">
        <v>4087</v>
      </c>
      <c r="E5217" t="s">
        <v>4088</v>
      </c>
      <c r="F5217" t="s">
        <v>4075</v>
      </c>
    </row>
    <row r="5218" spans="1:6" x14ac:dyDescent="0.25">
      <c r="A5218">
        <v>4383</v>
      </c>
      <c r="B5218" t="s">
        <v>4072</v>
      </c>
      <c r="C5218">
        <v>15</v>
      </c>
      <c r="D5218" t="s">
        <v>4080</v>
      </c>
      <c r="E5218" t="s">
        <v>4081</v>
      </c>
      <c r="F5218" t="s">
        <v>4076</v>
      </c>
    </row>
    <row r="5219" spans="1:6" x14ac:dyDescent="0.25">
      <c r="A5219">
        <v>4383</v>
      </c>
      <c r="B5219" t="s">
        <v>4072</v>
      </c>
      <c r="C5219">
        <v>40</v>
      </c>
      <c r="D5219" t="s">
        <v>4080</v>
      </c>
      <c r="E5219" t="s">
        <v>4081</v>
      </c>
      <c r="F5219" t="s">
        <v>4079</v>
      </c>
    </row>
    <row r="5220" spans="1:6" x14ac:dyDescent="0.25">
      <c r="A5220">
        <v>4384</v>
      </c>
      <c r="B5220" t="s">
        <v>4072</v>
      </c>
      <c r="C5220">
        <v>3</v>
      </c>
      <c r="D5220" t="s">
        <v>4085</v>
      </c>
      <c r="E5220" t="s">
        <v>4086</v>
      </c>
      <c r="F5220" t="s">
        <v>4075</v>
      </c>
    </row>
    <row r="5221" spans="1:6" x14ac:dyDescent="0.25">
      <c r="A5221">
        <v>4384</v>
      </c>
      <c r="B5221" t="s">
        <v>4072</v>
      </c>
      <c r="C5221">
        <v>15</v>
      </c>
      <c r="D5221" t="s">
        <v>4080</v>
      </c>
      <c r="E5221" t="s">
        <v>4081</v>
      </c>
      <c r="F5221" t="s">
        <v>4076</v>
      </c>
    </row>
    <row r="5222" spans="1:6" x14ac:dyDescent="0.25">
      <c r="A5222">
        <v>4384</v>
      </c>
      <c r="B5222" t="s">
        <v>4072</v>
      </c>
      <c r="C5222">
        <v>40</v>
      </c>
      <c r="D5222" t="s">
        <v>4080</v>
      </c>
      <c r="E5222" t="s">
        <v>4081</v>
      </c>
      <c r="F5222" t="s">
        <v>4079</v>
      </c>
    </row>
    <row r="5223" spans="1:6" x14ac:dyDescent="0.25">
      <c r="A5223">
        <v>4385</v>
      </c>
      <c r="B5223" t="s">
        <v>4072</v>
      </c>
      <c r="C5223">
        <v>4</v>
      </c>
      <c r="D5223" t="s">
        <v>4077</v>
      </c>
      <c r="E5223" t="s">
        <v>4078</v>
      </c>
      <c r="F5223" t="s">
        <v>4075</v>
      </c>
    </row>
    <row r="5224" spans="1:6" x14ac:dyDescent="0.25">
      <c r="A5224">
        <v>4385</v>
      </c>
      <c r="B5224" t="s">
        <v>4072</v>
      </c>
      <c r="C5224">
        <v>16</v>
      </c>
      <c r="D5224" t="s">
        <v>4077</v>
      </c>
      <c r="E5224" t="s">
        <v>4078</v>
      </c>
      <c r="F5224" t="s">
        <v>4076</v>
      </c>
    </row>
    <row r="5225" spans="1:6" x14ac:dyDescent="0.25">
      <c r="A5225">
        <v>4385</v>
      </c>
      <c r="B5225" t="s">
        <v>4072</v>
      </c>
      <c r="C5225">
        <v>44</v>
      </c>
      <c r="D5225" t="s">
        <v>4077</v>
      </c>
      <c r="E5225" t="s">
        <v>4078</v>
      </c>
      <c r="F5225" t="s">
        <v>4079</v>
      </c>
    </row>
    <row r="5226" spans="1:6" x14ac:dyDescent="0.25">
      <c r="A5226">
        <v>4386</v>
      </c>
      <c r="B5226" t="s">
        <v>4092</v>
      </c>
      <c r="C5226">
        <v>24</v>
      </c>
      <c r="D5226" t="s">
        <v>2760</v>
      </c>
      <c r="E5226" t="s">
        <v>4108</v>
      </c>
      <c r="F5226" t="s">
        <v>4075</v>
      </c>
    </row>
    <row r="5227" spans="1:6" x14ac:dyDescent="0.25">
      <c r="A5227">
        <v>4386</v>
      </c>
      <c r="B5227" t="s">
        <v>4092</v>
      </c>
      <c r="C5227">
        <v>29</v>
      </c>
      <c r="D5227" t="s">
        <v>2760</v>
      </c>
      <c r="E5227" t="s">
        <v>4108</v>
      </c>
      <c r="F5227" t="s">
        <v>4076</v>
      </c>
    </row>
    <row r="5228" spans="1:6" x14ac:dyDescent="0.25">
      <c r="A5228">
        <v>4387</v>
      </c>
      <c r="B5228" t="s">
        <v>4092</v>
      </c>
      <c r="C5228">
        <v>23</v>
      </c>
      <c r="D5228" t="s">
        <v>2757</v>
      </c>
      <c r="E5228" t="s">
        <v>4093</v>
      </c>
      <c r="F5228" t="s">
        <v>4075</v>
      </c>
    </row>
    <row r="5229" spans="1:6" x14ac:dyDescent="0.25">
      <c r="A5229">
        <v>4387</v>
      </c>
      <c r="B5229" t="s">
        <v>4092</v>
      </c>
      <c r="C5229">
        <v>28</v>
      </c>
      <c r="D5229" t="s">
        <v>2757</v>
      </c>
      <c r="E5229" t="s">
        <v>4093</v>
      </c>
      <c r="F5229" t="s">
        <v>4076</v>
      </c>
    </row>
    <row r="5230" spans="1:6" x14ac:dyDescent="0.25">
      <c r="A5230">
        <v>4388</v>
      </c>
      <c r="B5230" t="s">
        <v>4092</v>
      </c>
      <c r="C5230">
        <v>23</v>
      </c>
      <c r="D5230" t="s">
        <v>2757</v>
      </c>
      <c r="E5230" t="s">
        <v>4093</v>
      </c>
      <c r="F5230" t="s">
        <v>4075</v>
      </c>
    </row>
    <row r="5231" spans="1:6" x14ac:dyDescent="0.25">
      <c r="A5231">
        <v>4388</v>
      </c>
      <c r="B5231" t="s">
        <v>4092</v>
      </c>
      <c r="C5231">
        <v>28</v>
      </c>
      <c r="D5231" t="s">
        <v>2757</v>
      </c>
      <c r="E5231" t="s">
        <v>4093</v>
      </c>
      <c r="F5231" t="s">
        <v>4076</v>
      </c>
    </row>
    <row r="5232" spans="1:6" x14ac:dyDescent="0.25">
      <c r="A5232">
        <v>4388</v>
      </c>
      <c r="B5232" t="s">
        <v>4092</v>
      </c>
      <c r="C5232">
        <v>48</v>
      </c>
      <c r="D5232" t="s">
        <v>2757</v>
      </c>
      <c r="E5232" t="s">
        <v>4093</v>
      </c>
      <c r="F5232" t="s">
        <v>4079</v>
      </c>
    </row>
    <row r="5233" spans="1:6" x14ac:dyDescent="0.25">
      <c r="A5233">
        <v>4389</v>
      </c>
      <c r="B5233" t="s">
        <v>4092</v>
      </c>
      <c r="C5233">
        <v>24</v>
      </c>
      <c r="D5233" t="s">
        <v>2760</v>
      </c>
      <c r="E5233" t="s">
        <v>4108</v>
      </c>
      <c r="F5233" t="s">
        <v>4075</v>
      </c>
    </row>
    <row r="5234" spans="1:6" x14ac:dyDescent="0.25">
      <c r="A5234">
        <v>4389</v>
      </c>
      <c r="B5234" t="s">
        <v>4092</v>
      </c>
      <c r="C5234">
        <v>29</v>
      </c>
      <c r="D5234" t="s">
        <v>2760</v>
      </c>
      <c r="E5234" t="s">
        <v>4108</v>
      </c>
      <c r="F5234" t="s">
        <v>4076</v>
      </c>
    </row>
    <row r="5235" spans="1:6" x14ac:dyDescent="0.25">
      <c r="A5235">
        <v>4389</v>
      </c>
      <c r="B5235" t="s">
        <v>4092</v>
      </c>
      <c r="C5235">
        <v>49</v>
      </c>
      <c r="D5235" t="s">
        <v>2760</v>
      </c>
      <c r="E5235" t="s">
        <v>4108</v>
      </c>
      <c r="F5235" t="s">
        <v>4079</v>
      </c>
    </row>
    <row r="5236" spans="1:6" x14ac:dyDescent="0.25">
      <c r="A5236">
        <v>4390</v>
      </c>
      <c r="B5236" t="s">
        <v>4092</v>
      </c>
      <c r="C5236">
        <v>33</v>
      </c>
      <c r="D5236" t="s">
        <v>4109</v>
      </c>
      <c r="E5236" t="s">
        <v>4110</v>
      </c>
      <c r="F5236" t="s">
        <v>4075</v>
      </c>
    </row>
    <row r="5237" spans="1:6" x14ac:dyDescent="0.25">
      <c r="A5237">
        <v>4390</v>
      </c>
      <c r="B5237" t="s">
        <v>4092</v>
      </c>
      <c r="C5237">
        <v>34</v>
      </c>
      <c r="D5237" t="s">
        <v>4109</v>
      </c>
      <c r="E5237" t="s">
        <v>4110</v>
      </c>
      <c r="F5237" t="s">
        <v>4076</v>
      </c>
    </row>
    <row r="5238" spans="1:6" x14ac:dyDescent="0.25">
      <c r="A5238">
        <v>4390</v>
      </c>
      <c r="B5238" t="s">
        <v>4092</v>
      </c>
      <c r="C5238">
        <v>51</v>
      </c>
      <c r="D5238" t="s">
        <v>4109</v>
      </c>
      <c r="E5238" t="s">
        <v>4111</v>
      </c>
      <c r="F5238" t="s">
        <v>4079</v>
      </c>
    </row>
    <row r="5239" spans="1:6" x14ac:dyDescent="0.25">
      <c r="A5239">
        <v>4391</v>
      </c>
      <c r="B5239" t="s">
        <v>4072</v>
      </c>
      <c r="C5239">
        <v>3</v>
      </c>
      <c r="D5239" t="s">
        <v>4085</v>
      </c>
      <c r="E5239" t="s">
        <v>4086</v>
      </c>
      <c r="F5239" t="s">
        <v>4075</v>
      </c>
    </row>
    <row r="5240" spans="1:6" x14ac:dyDescent="0.25">
      <c r="A5240">
        <v>4391</v>
      </c>
      <c r="B5240" t="s">
        <v>4072</v>
      </c>
      <c r="C5240">
        <v>15</v>
      </c>
      <c r="D5240" t="s">
        <v>4080</v>
      </c>
      <c r="E5240" t="s">
        <v>4081</v>
      </c>
      <c r="F5240" t="s">
        <v>4076</v>
      </c>
    </row>
    <row r="5241" spans="1:6" x14ac:dyDescent="0.25">
      <c r="A5241">
        <v>4391</v>
      </c>
      <c r="B5241" t="s">
        <v>4072</v>
      </c>
      <c r="C5241">
        <v>40</v>
      </c>
      <c r="D5241" t="s">
        <v>4080</v>
      </c>
      <c r="E5241" t="s">
        <v>4081</v>
      </c>
      <c r="F5241" t="s">
        <v>4079</v>
      </c>
    </row>
    <row r="5242" spans="1:6" x14ac:dyDescent="0.25">
      <c r="A5242">
        <v>4392</v>
      </c>
      <c r="B5242" t="s">
        <v>4072</v>
      </c>
      <c r="C5242">
        <v>4</v>
      </c>
      <c r="D5242" t="s">
        <v>4077</v>
      </c>
      <c r="E5242" t="s">
        <v>4078</v>
      </c>
      <c r="F5242" t="s">
        <v>4075</v>
      </c>
    </row>
    <row r="5243" spans="1:6" x14ac:dyDescent="0.25">
      <c r="A5243">
        <v>4392</v>
      </c>
      <c r="B5243" t="s">
        <v>4072</v>
      </c>
      <c r="C5243">
        <v>16</v>
      </c>
      <c r="D5243" t="s">
        <v>4077</v>
      </c>
      <c r="E5243" t="s">
        <v>4078</v>
      </c>
      <c r="F5243" t="s">
        <v>4076</v>
      </c>
    </row>
    <row r="5244" spans="1:6" x14ac:dyDescent="0.25">
      <c r="A5244">
        <v>4392</v>
      </c>
      <c r="B5244" t="s">
        <v>4072</v>
      </c>
      <c r="C5244">
        <v>44</v>
      </c>
      <c r="D5244" t="s">
        <v>4077</v>
      </c>
      <c r="E5244" t="s">
        <v>4078</v>
      </c>
      <c r="F5244" t="s">
        <v>4079</v>
      </c>
    </row>
    <row r="5245" spans="1:6" x14ac:dyDescent="0.25">
      <c r="A5245">
        <v>4393</v>
      </c>
      <c r="B5245" t="s">
        <v>4072</v>
      </c>
      <c r="C5245">
        <v>5</v>
      </c>
      <c r="D5245" t="s">
        <v>4087</v>
      </c>
      <c r="E5245" t="s">
        <v>4088</v>
      </c>
      <c r="F5245" t="s">
        <v>4075</v>
      </c>
    </row>
    <row r="5246" spans="1:6" x14ac:dyDescent="0.25">
      <c r="A5246">
        <v>4393</v>
      </c>
      <c r="B5246" t="s">
        <v>4072</v>
      </c>
      <c r="C5246">
        <v>15</v>
      </c>
      <c r="D5246" t="s">
        <v>4080</v>
      </c>
      <c r="E5246" t="s">
        <v>4081</v>
      </c>
      <c r="F5246" t="s">
        <v>4076</v>
      </c>
    </row>
    <row r="5247" spans="1:6" x14ac:dyDescent="0.25">
      <c r="A5247">
        <v>4393</v>
      </c>
      <c r="B5247" t="s">
        <v>4072</v>
      </c>
      <c r="C5247">
        <v>40</v>
      </c>
      <c r="D5247" t="s">
        <v>4080</v>
      </c>
      <c r="E5247" t="s">
        <v>4081</v>
      </c>
      <c r="F5247" t="s">
        <v>4079</v>
      </c>
    </row>
    <row r="5248" spans="1:6" x14ac:dyDescent="0.25">
      <c r="A5248">
        <v>4394</v>
      </c>
      <c r="B5248" t="s">
        <v>4072</v>
      </c>
      <c r="C5248">
        <v>5</v>
      </c>
      <c r="D5248" t="s">
        <v>4087</v>
      </c>
      <c r="E5248" t="s">
        <v>4088</v>
      </c>
      <c r="F5248" t="s">
        <v>4075</v>
      </c>
    </row>
    <row r="5249" spans="1:6" x14ac:dyDescent="0.25">
      <c r="A5249">
        <v>4394</v>
      </c>
      <c r="B5249" t="s">
        <v>4072</v>
      </c>
      <c r="C5249">
        <v>15</v>
      </c>
      <c r="D5249" t="s">
        <v>4080</v>
      </c>
      <c r="E5249" t="s">
        <v>4081</v>
      </c>
      <c r="F5249" t="s">
        <v>4076</v>
      </c>
    </row>
    <row r="5250" spans="1:6" x14ac:dyDescent="0.25">
      <c r="A5250">
        <v>4394</v>
      </c>
      <c r="B5250" t="s">
        <v>4072</v>
      </c>
      <c r="C5250">
        <v>40</v>
      </c>
      <c r="D5250" t="s">
        <v>4080</v>
      </c>
      <c r="E5250" t="s">
        <v>4081</v>
      </c>
      <c r="F5250" t="s">
        <v>4079</v>
      </c>
    </row>
    <row r="5251" spans="1:6" x14ac:dyDescent="0.25">
      <c r="A5251">
        <v>4395</v>
      </c>
      <c r="B5251" t="s">
        <v>4072</v>
      </c>
      <c r="C5251">
        <v>1</v>
      </c>
      <c r="D5251" t="s">
        <v>2761</v>
      </c>
      <c r="E5251" t="s">
        <v>4089</v>
      </c>
      <c r="F5251" t="s">
        <v>4075</v>
      </c>
    </row>
    <row r="5252" spans="1:6" x14ac:dyDescent="0.25">
      <c r="A5252">
        <v>4395</v>
      </c>
      <c r="B5252" t="s">
        <v>4072</v>
      </c>
      <c r="C5252">
        <v>2</v>
      </c>
      <c r="D5252" t="s">
        <v>4082</v>
      </c>
      <c r="E5252" t="s">
        <v>4083</v>
      </c>
      <c r="F5252" t="s">
        <v>4075</v>
      </c>
    </row>
    <row r="5253" spans="1:6" x14ac:dyDescent="0.25">
      <c r="A5253">
        <v>4395</v>
      </c>
      <c r="B5253" t="s">
        <v>4072</v>
      </c>
      <c r="C5253">
        <v>17</v>
      </c>
      <c r="D5253" t="s">
        <v>4082</v>
      </c>
      <c r="E5253" t="s">
        <v>4084</v>
      </c>
      <c r="F5253" t="s">
        <v>4076</v>
      </c>
    </row>
    <row r="5254" spans="1:6" x14ac:dyDescent="0.25">
      <c r="A5254">
        <v>4395</v>
      </c>
      <c r="B5254" t="s">
        <v>4072</v>
      </c>
      <c r="C5254">
        <v>42</v>
      </c>
      <c r="D5254" t="s">
        <v>4082</v>
      </c>
      <c r="E5254" t="s">
        <v>4083</v>
      </c>
      <c r="F5254" t="s">
        <v>4079</v>
      </c>
    </row>
    <row r="5255" spans="1:6" x14ac:dyDescent="0.25">
      <c r="A5255">
        <v>4396</v>
      </c>
      <c r="B5255" t="s">
        <v>4092</v>
      </c>
      <c r="C5255">
        <v>23</v>
      </c>
      <c r="D5255" t="s">
        <v>2757</v>
      </c>
      <c r="E5255" t="s">
        <v>4093</v>
      </c>
      <c r="F5255" t="s">
        <v>4075</v>
      </c>
    </row>
    <row r="5256" spans="1:6" x14ac:dyDescent="0.25">
      <c r="A5256">
        <v>4396</v>
      </c>
      <c r="B5256" t="s">
        <v>4092</v>
      </c>
      <c r="C5256">
        <v>28</v>
      </c>
      <c r="D5256" t="s">
        <v>2757</v>
      </c>
      <c r="E5256" t="s">
        <v>4093</v>
      </c>
      <c r="F5256" t="s">
        <v>4076</v>
      </c>
    </row>
    <row r="5257" spans="1:6" x14ac:dyDescent="0.25">
      <c r="A5257">
        <v>4396</v>
      </c>
      <c r="B5257" t="s">
        <v>4092</v>
      </c>
      <c r="C5257">
        <v>48</v>
      </c>
      <c r="D5257" t="s">
        <v>2757</v>
      </c>
      <c r="E5257" t="s">
        <v>4093</v>
      </c>
      <c r="F5257" t="s">
        <v>4079</v>
      </c>
    </row>
    <row r="5258" spans="1:6" x14ac:dyDescent="0.25">
      <c r="A5258">
        <v>4397</v>
      </c>
      <c r="B5258" t="s">
        <v>4072</v>
      </c>
      <c r="C5258">
        <v>2</v>
      </c>
      <c r="D5258" t="s">
        <v>4082</v>
      </c>
      <c r="E5258" t="s">
        <v>4083</v>
      </c>
      <c r="F5258" t="s">
        <v>4075</v>
      </c>
    </row>
    <row r="5259" spans="1:6" x14ac:dyDescent="0.25">
      <c r="A5259">
        <v>4397</v>
      </c>
      <c r="B5259" t="s">
        <v>4072</v>
      </c>
      <c r="C5259">
        <v>17</v>
      </c>
      <c r="D5259" t="s">
        <v>4082</v>
      </c>
      <c r="E5259" t="s">
        <v>4084</v>
      </c>
      <c r="F5259" t="s">
        <v>4076</v>
      </c>
    </row>
    <row r="5260" spans="1:6" x14ac:dyDescent="0.25">
      <c r="A5260">
        <v>4397</v>
      </c>
      <c r="B5260" t="s">
        <v>4072</v>
      </c>
      <c r="C5260">
        <v>42</v>
      </c>
      <c r="D5260" t="s">
        <v>4082</v>
      </c>
      <c r="E5260" t="s">
        <v>4083</v>
      </c>
      <c r="F5260" t="s">
        <v>4079</v>
      </c>
    </row>
    <row r="5261" spans="1:6" x14ac:dyDescent="0.25">
      <c r="A5261">
        <v>4398</v>
      </c>
      <c r="B5261" t="s">
        <v>4072</v>
      </c>
      <c r="C5261">
        <v>6</v>
      </c>
      <c r="D5261" t="s">
        <v>4073</v>
      </c>
      <c r="E5261" t="s">
        <v>4074</v>
      </c>
      <c r="F5261" t="s">
        <v>4075</v>
      </c>
    </row>
    <row r="5262" spans="1:6" x14ac:dyDescent="0.25">
      <c r="A5262">
        <v>4398</v>
      </c>
      <c r="B5262" t="s">
        <v>4072</v>
      </c>
      <c r="C5262">
        <v>19</v>
      </c>
      <c r="D5262" t="s">
        <v>4073</v>
      </c>
      <c r="E5262" t="s">
        <v>4074</v>
      </c>
      <c r="F5262" t="s">
        <v>4076</v>
      </c>
    </row>
    <row r="5263" spans="1:6" x14ac:dyDescent="0.25">
      <c r="A5263">
        <v>4398</v>
      </c>
      <c r="B5263" t="s">
        <v>4072</v>
      </c>
      <c r="C5263">
        <v>39</v>
      </c>
      <c r="D5263" t="s">
        <v>4073</v>
      </c>
      <c r="E5263" t="s">
        <v>4074</v>
      </c>
      <c r="F5263" t="s">
        <v>4079</v>
      </c>
    </row>
    <row r="5264" spans="1:6" x14ac:dyDescent="0.25">
      <c r="A5264">
        <v>4399</v>
      </c>
      <c r="B5264" t="s">
        <v>4092</v>
      </c>
      <c r="C5264">
        <v>23</v>
      </c>
      <c r="D5264" t="s">
        <v>2757</v>
      </c>
      <c r="E5264" t="s">
        <v>4093</v>
      </c>
      <c r="F5264" t="s">
        <v>4075</v>
      </c>
    </row>
    <row r="5265" spans="1:6" x14ac:dyDescent="0.25">
      <c r="A5265">
        <v>4399</v>
      </c>
      <c r="B5265" t="s">
        <v>4092</v>
      </c>
      <c r="C5265">
        <v>28</v>
      </c>
      <c r="D5265" t="s">
        <v>2757</v>
      </c>
      <c r="E5265" t="s">
        <v>4093</v>
      </c>
      <c r="F5265" t="s">
        <v>4076</v>
      </c>
    </row>
    <row r="5266" spans="1:6" x14ac:dyDescent="0.25">
      <c r="A5266">
        <v>4400</v>
      </c>
      <c r="B5266" t="s">
        <v>4072</v>
      </c>
      <c r="C5266">
        <v>3</v>
      </c>
      <c r="D5266" t="s">
        <v>4085</v>
      </c>
      <c r="E5266" t="s">
        <v>4086</v>
      </c>
      <c r="F5266" t="s">
        <v>4075</v>
      </c>
    </row>
    <row r="5267" spans="1:6" x14ac:dyDescent="0.25">
      <c r="A5267">
        <v>4400</v>
      </c>
      <c r="B5267" t="s">
        <v>4072</v>
      </c>
      <c r="C5267">
        <v>15</v>
      </c>
      <c r="D5267" t="s">
        <v>4080</v>
      </c>
      <c r="E5267" t="s">
        <v>4081</v>
      </c>
      <c r="F5267" t="s">
        <v>4076</v>
      </c>
    </row>
    <row r="5268" spans="1:6" x14ac:dyDescent="0.25">
      <c r="A5268">
        <v>4400</v>
      </c>
      <c r="B5268" t="s">
        <v>4072</v>
      </c>
      <c r="C5268">
        <v>40</v>
      </c>
      <c r="D5268" t="s">
        <v>4080</v>
      </c>
      <c r="E5268" t="s">
        <v>4081</v>
      </c>
      <c r="F5268" t="s">
        <v>4079</v>
      </c>
    </row>
    <row r="5269" spans="1:6" x14ac:dyDescent="0.25">
      <c r="A5269">
        <v>4401</v>
      </c>
      <c r="B5269" t="s">
        <v>4072</v>
      </c>
      <c r="C5269">
        <v>4</v>
      </c>
      <c r="D5269" t="s">
        <v>4077</v>
      </c>
      <c r="E5269" t="s">
        <v>4078</v>
      </c>
      <c r="F5269" t="s">
        <v>4075</v>
      </c>
    </row>
    <row r="5270" spans="1:6" x14ac:dyDescent="0.25">
      <c r="A5270">
        <v>4401</v>
      </c>
      <c r="B5270" t="s">
        <v>4072</v>
      </c>
      <c r="C5270">
        <v>16</v>
      </c>
      <c r="D5270" t="s">
        <v>4077</v>
      </c>
      <c r="E5270" t="s">
        <v>4078</v>
      </c>
      <c r="F5270" t="s">
        <v>4076</v>
      </c>
    </row>
    <row r="5271" spans="1:6" x14ac:dyDescent="0.25">
      <c r="A5271">
        <v>4401</v>
      </c>
      <c r="B5271" t="s">
        <v>4072</v>
      </c>
      <c r="C5271">
        <v>44</v>
      </c>
      <c r="D5271" t="s">
        <v>4077</v>
      </c>
      <c r="E5271" t="s">
        <v>4078</v>
      </c>
      <c r="F5271" t="s">
        <v>4079</v>
      </c>
    </row>
    <row r="5272" spans="1:6" x14ac:dyDescent="0.25">
      <c r="A5272">
        <v>4402</v>
      </c>
      <c r="B5272" t="s">
        <v>4072</v>
      </c>
      <c r="C5272">
        <v>5</v>
      </c>
      <c r="D5272" t="s">
        <v>4087</v>
      </c>
      <c r="E5272" t="s">
        <v>4088</v>
      </c>
      <c r="F5272" t="s">
        <v>4075</v>
      </c>
    </row>
    <row r="5273" spans="1:6" x14ac:dyDescent="0.25">
      <c r="A5273">
        <v>4402</v>
      </c>
      <c r="B5273" t="s">
        <v>4072</v>
      </c>
      <c r="C5273">
        <v>15</v>
      </c>
      <c r="D5273" t="s">
        <v>4080</v>
      </c>
      <c r="E5273" t="s">
        <v>4081</v>
      </c>
      <c r="F5273" t="s">
        <v>4076</v>
      </c>
    </row>
    <row r="5274" spans="1:6" x14ac:dyDescent="0.25">
      <c r="A5274">
        <v>4402</v>
      </c>
      <c r="B5274" t="s">
        <v>4072</v>
      </c>
      <c r="C5274">
        <v>40</v>
      </c>
      <c r="D5274" t="s">
        <v>4080</v>
      </c>
      <c r="E5274" t="s">
        <v>4081</v>
      </c>
      <c r="F5274" t="s">
        <v>4079</v>
      </c>
    </row>
    <row r="5275" spans="1:6" x14ac:dyDescent="0.25">
      <c r="A5275">
        <v>4403</v>
      </c>
      <c r="B5275" t="s">
        <v>4072</v>
      </c>
      <c r="C5275">
        <v>5</v>
      </c>
      <c r="D5275" t="s">
        <v>4087</v>
      </c>
      <c r="E5275" t="s">
        <v>4088</v>
      </c>
      <c r="F5275" t="s">
        <v>4075</v>
      </c>
    </row>
    <row r="5276" spans="1:6" x14ac:dyDescent="0.25">
      <c r="A5276">
        <v>4403</v>
      </c>
      <c r="B5276" t="s">
        <v>4072</v>
      </c>
      <c r="C5276">
        <v>15</v>
      </c>
      <c r="D5276" t="s">
        <v>4080</v>
      </c>
      <c r="E5276" t="s">
        <v>4081</v>
      </c>
      <c r="F5276" t="s">
        <v>4076</v>
      </c>
    </row>
    <row r="5277" spans="1:6" x14ac:dyDescent="0.25">
      <c r="A5277">
        <v>4403</v>
      </c>
      <c r="B5277" t="s">
        <v>4072</v>
      </c>
      <c r="C5277">
        <v>40</v>
      </c>
      <c r="D5277" t="s">
        <v>4080</v>
      </c>
      <c r="E5277" t="s">
        <v>4081</v>
      </c>
      <c r="F5277" t="s">
        <v>4079</v>
      </c>
    </row>
    <row r="5278" spans="1:6" x14ac:dyDescent="0.25">
      <c r="A5278">
        <v>4404</v>
      </c>
      <c r="B5278" t="s">
        <v>4072</v>
      </c>
      <c r="C5278">
        <v>4</v>
      </c>
      <c r="D5278" t="s">
        <v>4077</v>
      </c>
      <c r="E5278" t="s">
        <v>4078</v>
      </c>
      <c r="F5278" t="s">
        <v>4075</v>
      </c>
    </row>
    <row r="5279" spans="1:6" x14ac:dyDescent="0.25">
      <c r="A5279">
        <v>4404</v>
      </c>
      <c r="B5279" t="s">
        <v>4072</v>
      </c>
      <c r="C5279">
        <v>16</v>
      </c>
      <c r="D5279" t="s">
        <v>4077</v>
      </c>
      <c r="E5279" t="s">
        <v>4078</v>
      </c>
      <c r="F5279" t="s">
        <v>4076</v>
      </c>
    </row>
    <row r="5280" spans="1:6" x14ac:dyDescent="0.25">
      <c r="A5280">
        <v>4404</v>
      </c>
      <c r="B5280" t="s">
        <v>4072</v>
      </c>
      <c r="C5280">
        <v>44</v>
      </c>
      <c r="D5280" t="s">
        <v>4077</v>
      </c>
      <c r="E5280" t="s">
        <v>4078</v>
      </c>
      <c r="F5280" t="s">
        <v>4079</v>
      </c>
    </row>
    <row r="5281" spans="1:6" x14ac:dyDescent="0.25">
      <c r="A5281">
        <v>4405</v>
      </c>
      <c r="B5281" t="s">
        <v>4072</v>
      </c>
      <c r="C5281">
        <v>2</v>
      </c>
      <c r="D5281" t="s">
        <v>4082</v>
      </c>
      <c r="E5281" t="s">
        <v>4083</v>
      </c>
      <c r="F5281" t="s">
        <v>4075</v>
      </c>
    </row>
    <row r="5282" spans="1:6" x14ac:dyDescent="0.25">
      <c r="A5282">
        <v>4405</v>
      </c>
      <c r="B5282" t="s">
        <v>4072</v>
      </c>
      <c r="C5282">
        <v>17</v>
      </c>
      <c r="D5282" t="s">
        <v>4082</v>
      </c>
      <c r="E5282" t="s">
        <v>4084</v>
      </c>
      <c r="F5282" t="s">
        <v>4076</v>
      </c>
    </row>
    <row r="5283" spans="1:6" x14ac:dyDescent="0.25">
      <c r="A5283">
        <v>4405</v>
      </c>
      <c r="B5283" t="s">
        <v>4072</v>
      </c>
      <c r="C5283">
        <v>42</v>
      </c>
      <c r="D5283" t="s">
        <v>4082</v>
      </c>
      <c r="E5283" t="s">
        <v>4083</v>
      </c>
      <c r="F5283" t="s">
        <v>4079</v>
      </c>
    </row>
    <row r="5284" spans="1:6" x14ac:dyDescent="0.25">
      <c r="A5284">
        <v>4406</v>
      </c>
      <c r="B5284" t="s">
        <v>4072</v>
      </c>
      <c r="C5284">
        <v>2</v>
      </c>
      <c r="D5284" t="s">
        <v>4082</v>
      </c>
      <c r="E5284" t="s">
        <v>4083</v>
      </c>
      <c r="F5284" t="s">
        <v>4075</v>
      </c>
    </row>
    <row r="5285" spans="1:6" x14ac:dyDescent="0.25">
      <c r="A5285">
        <v>4406</v>
      </c>
      <c r="B5285" t="s">
        <v>4072</v>
      </c>
      <c r="C5285">
        <v>17</v>
      </c>
      <c r="D5285" t="s">
        <v>4082</v>
      </c>
      <c r="E5285" t="s">
        <v>4084</v>
      </c>
      <c r="F5285" t="s">
        <v>4076</v>
      </c>
    </row>
    <row r="5286" spans="1:6" x14ac:dyDescent="0.25">
      <c r="A5286">
        <v>4406</v>
      </c>
      <c r="B5286" t="s">
        <v>4072</v>
      </c>
      <c r="C5286">
        <v>42</v>
      </c>
      <c r="D5286" t="s">
        <v>4082</v>
      </c>
      <c r="E5286" t="s">
        <v>4083</v>
      </c>
      <c r="F5286" t="s">
        <v>4079</v>
      </c>
    </row>
    <row r="5287" spans="1:6" x14ac:dyDescent="0.25">
      <c r="A5287">
        <v>4407</v>
      </c>
      <c r="B5287" t="s">
        <v>4092</v>
      </c>
      <c r="C5287">
        <v>23</v>
      </c>
      <c r="D5287" t="s">
        <v>2757</v>
      </c>
      <c r="E5287" t="s">
        <v>4093</v>
      </c>
      <c r="F5287" t="s">
        <v>4075</v>
      </c>
    </row>
    <row r="5288" spans="1:6" x14ac:dyDescent="0.25">
      <c r="A5288">
        <v>4407</v>
      </c>
      <c r="B5288" t="s">
        <v>4092</v>
      </c>
      <c r="C5288">
        <v>28</v>
      </c>
      <c r="D5288" t="s">
        <v>2757</v>
      </c>
      <c r="E5288" t="s">
        <v>4093</v>
      </c>
      <c r="F5288" t="s">
        <v>4076</v>
      </c>
    </row>
    <row r="5289" spans="1:6" x14ac:dyDescent="0.25">
      <c r="A5289">
        <v>4407</v>
      </c>
      <c r="B5289" t="s">
        <v>4092</v>
      </c>
      <c r="C5289">
        <v>48</v>
      </c>
      <c r="D5289" t="s">
        <v>2757</v>
      </c>
      <c r="E5289" t="s">
        <v>4093</v>
      </c>
      <c r="F5289" t="s">
        <v>4079</v>
      </c>
    </row>
    <row r="5290" spans="1:6" x14ac:dyDescent="0.25">
      <c r="A5290">
        <v>4408</v>
      </c>
      <c r="B5290" t="s">
        <v>4092</v>
      </c>
      <c r="C5290">
        <v>23</v>
      </c>
      <c r="D5290" t="s">
        <v>2757</v>
      </c>
      <c r="E5290" t="s">
        <v>4093</v>
      </c>
      <c r="F5290" t="s">
        <v>4075</v>
      </c>
    </row>
    <row r="5291" spans="1:6" x14ac:dyDescent="0.25">
      <c r="A5291">
        <v>4408</v>
      </c>
      <c r="B5291" t="s">
        <v>4092</v>
      </c>
      <c r="C5291">
        <v>28</v>
      </c>
      <c r="D5291" t="s">
        <v>2757</v>
      </c>
      <c r="E5291" t="s">
        <v>4093</v>
      </c>
      <c r="F5291" t="s">
        <v>4076</v>
      </c>
    </row>
    <row r="5292" spans="1:6" x14ac:dyDescent="0.25">
      <c r="A5292">
        <v>4408</v>
      </c>
      <c r="B5292" t="s">
        <v>4092</v>
      </c>
      <c r="C5292">
        <v>48</v>
      </c>
      <c r="D5292" t="s">
        <v>2757</v>
      </c>
      <c r="E5292" t="s">
        <v>4093</v>
      </c>
      <c r="F5292" t="s">
        <v>4079</v>
      </c>
    </row>
    <row r="5293" spans="1:6" x14ac:dyDescent="0.25">
      <c r="A5293">
        <v>4409</v>
      </c>
      <c r="B5293" t="s">
        <v>4092</v>
      </c>
      <c r="C5293">
        <v>24</v>
      </c>
      <c r="D5293" t="s">
        <v>2760</v>
      </c>
      <c r="E5293" t="s">
        <v>4108</v>
      </c>
      <c r="F5293" t="s">
        <v>4075</v>
      </c>
    </row>
    <row r="5294" spans="1:6" x14ac:dyDescent="0.25">
      <c r="A5294">
        <v>4409</v>
      </c>
      <c r="B5294" t="s">
        <v>4092</v>
      </c>
      <c r="C5294">
        <v>29</v>
      </c>
      <c r="D5294" t="s">
        <v>2760</v>
      </c>
      <c r="E5294" t="s">
        <v>4108</v>
      </c>
      <c r="F5294" t="s">
        <v>4076</v>
      </c>
    </row>
    <row r="5295" spans="1:6" x14ac:dyDescent="0.25">
      <c r="A5295">
        <v>4409</v>
      </c>
      <c r="B5295" t="s">
        <v>4092</v>
      </c>
      <c r="C5295">
        <v>49</v>
      </c>
      <c r="D5295" t="s">
        <v>2760</v>
      </c>
      <c r="E5295" t="s">
        <v>4108</v>
      </c>
      <c r="F5295" t="s">
        <v>4079</v>
      </c>
    </row>
    <row r="5296" spans="1:6" x14ac:dyDescent="0.25">
      <c r="A5296">
        <v>4411</v>
      </c>
      <c r="B5296" t="s">
        <v>4072</v>
      </c>
      <c r="C5296">
        <v>5</v>
      </c>
      <c r="D5296" t="s">
        <v>4087</v>
      </c>
      <c r="E5296" t="s">
        <v>4088</v>
      </c>
      <c r="F5296" t="s">
        <v>4075</v>
      </c>
    </row>
    <row r="5297" spans="1:6" x14ac:dyDescent="0.25">
      <c r="A5297">
        <v>4411</v>
      </c>
      <c r="B5297" t="s">
        <v>4072</v>
      </c>
      <c r="C5297">
        <v>15</v>
      </c>
      <c r="D5297" t="s">
        <v>4080</v>
      </c>
      <c r="E5297" t="s">
        <v>4081</v>
      </c>
      <c r="F5297" t="s">
        <v>4076</v>
      </c>
    </row>
    <row r="5298" spans="1:6" x14ac:dyDescent="0.25">
      <c r="A5298">
        <v>4412</v>
      </c>
      <c r="B5298" t="s">
        <v>4072</v>
      </c>
      <c r="C5298">
        <v>3</v>
      </c>
      <c r="D5298" t="s">
        <v>4085</v>
      </c>
      <c r="E5298" t="s">
        <v>4086</v>
      </c>
      <c r="F5298" t="s">
        <v>4075</v>
      </c>
    </row>
    <row r="5299" spans="1:6" x14ac:dyDescent="0.25">
      <c r="A5299">
        <v>4412</v>
      </c>
      <c r="B5299" t="s">
        <v>4072</v>
      </c>
      <c r="C5299">
        <v>15</v>
      </c>
      <c r="D5299" t="s">
        <v>4080</v>
      </c>
      <c r="E5299" t="s">
        <v>4081</v>
      </c>
      <c r="F5299" t="s">
        <v>4076</v>
      </c>
    </row>
    <row r="5300" spans="1:6" x14ac:dyDescent="0.25">
      <c r="A5300">
        <v>4413</v>
      </c>
      <c r="B5300" t="s">
        <v>4072</v>
      </c>
      <c r="C5300">
        <v>2</v>
      </c>
      <c r="D5300" t="s">
        <v>4082</v>
      </c>
      <c r="E5300" t="s">
        <v>4083</v>
      </c>
      <c r="F5300" t="s">
        <v>4075</v>
      </c>
    </row>
    <row r="5301" spans="1:6" x14ac:dyDescent="0.25">
      <c r="A5301">
        <v>4413</v>
      </c>
      <c r="B5301" t="s">
        <v>4072</v>
      </c>
      <c r="C5301">
        <v>17</v>
      </c>
      <c r="D5301" t="s">
        <v>4082</v>
      </c>
      <c r="E5301" t="s">
        <v>4084</v>
      </c>
      <c r="F5301" t="s">
        <v>4076</v>
      </c>
    </row>
    <row r="5302" spans="1:6" x14ac:dyDescent="0.25">
      <c r="A5302">
        <v>4415</v>
      </c>
      <c r="B5302" t="s">
        <v>4072</v>
      </c>
      <c r="C5302">
        <v>2</v>
      </c>
      <c r="D5302" t="s">
        <v>4082</v>
      </c>
      <c r="E5302" t="s">
        <v>4083</v>
      </c>
      <c r="F5302" t="s">
        <v>4075</v>
      </c>
    </row>
    <row r="5303" spans="1:6" x14ac:dyDescent="0.25">
      <c r="A5303">
        <v>4415</v>
      </c>
      <c r="B5303" t="s">
        <v>4072</v>
      </c>
      <c r="C5303">
        <v>17</v>
      </c>
      <c r="D5303" t="s">
        <v>4082</v>
      </c>
      <c r="E5303" t="s">
        <v>4084</v>
      </c>
      <c r="F5303" t="s">
        <v>4076</v>
      </c>
    </row>
    <row r="5304" spans="1:6" x14ac:dyDescent="0.25">
      <c r="A5304">
        <v>4416</v>
      </c>
      <c r="B5304" t="s">
        <v>4072</v>
      </c>
      <c r="C5304">
        <v>1</v>
      </c>
      <c r="D5304" t="s">
        <v>2761</v>
      </c>
      <c r="E5304" t="s">
        <v>4089</v>
      </c>
      <c r="F5304" t="s">
        <v>4075</v>
      </c>
    </row>
    <row r="5305" spans="1:6" x14ac:dyDescent="0.25">
      <c r="A5305">
        <v>4416</v>
      </c>
      <c r="B5305" t="s">
        <v>4072</v>
      </c>
      <c r="C5305">
        <v>38</v>
      </c>
      <c r="D5305" t="s">
        <v>2761</v>
      </c>
      <c r="E5305" t="s">
        <v>4089</v>
      </c>
      <c r="F5305" t="s">
        <v>4076</v>
      </c>
    </row>
    <row r="5306" spans="1:6" x14ac:dyDescent="0.25">
      <c r="A5306">
        <v>4417</v>
      </c>
      <c r="B5306" t="s">
        <v>4072</v>
      </c>
      <c r="C5306">
        <v>5</v>
      </c>
      <c r="D5306" t="s">
        <v>4087</v>
      </c>
      <c r="E5306" t="s">
        <v>4088</v>
      </c>
      <c r="F5306" t="s">
        <v>4075</v>
      </c>
    </row>
    <row r="5307" spans="1:6" x14ac:dyDescent="0.25">
      <c r="A5307">
        <v>4417</v>
      </c>
      <c r="B5307" t="s">
        <v>4072</v>
      </c>
      <c r="C5307">
        <v>15</v>
      </c>
      <c r="D5307" t="s">
        <v>4080</v>
      </c>
      <c r="E5307" t="s">
        <v>4081</v>
      </c>
      <c r="F5307" t="s">
        <v>4076</v>
      </c>
    </row>
    <row r="5308" spans="1:6" x14ac:dyDescent="0.25">
      <c r="A5308">
        <v>4418</v>
      </c>
      <c r="B5308" t="s">
        <v>4072</v>
      </c>
      <c r="C5308">
        <v>14</v>
      </c>
      <c r="D5308" t="s">
        <v>4090</v>
      </c>
      <c r="E5308" t="s">
        <v>4091</v>
      </c>
      <c r="F5308" t="s">
        <v>4076</v>
      </c>
    </row>
    <row r="5309" spans="1:6" x14ac:dyDescent="0.25">
      <c r="A5309">
        <v>4418</v>
      </c>
      <c r="B5309" t="s">
        <v>4072</v>
      </c>
      <c r="C5309">
        <v>37</v>
      </c>
      <c r="D5309" t="s">
        <v>2398</v>
      </c>
      <c r="E5309" t="s">
        <v>4101</v>
      </c>
      <c r="F5309" t="s">
        <v>4075</v>
      </c>
    </row>
    <row r="5310" spans="1:6" x14ac:dyDescent="0.25">
      <c r="A5310">
        <v>4419</v>
      </c>
      <c r="B5310" t="s">
        <v>4072</v>
      </c>
      <c r="C5310">
        <v>13</v>
      </c>
      <c r="D5310" t="s">
        <v>4097</v>
      </c>
      <c r="E5310" t="s">
        <v>4098</v>
      </c>
      <c r="F5310" t="s">
        <v>4076</v>
      </c>
    </row>
    <row r="5311" spans="1:6" x14ac:dyDescent="0.25">
      <c r="A5311">
        <v>4420</v>
      </c>
      <c r="B5311" t="s">
        <v>4072</v>
      </c>
      <c r="C5311">
        <v>5</v>
      </c>
      <c r="D5311" t="s">
        <v>4087</v>
      </c>
      <c r="E5311" t="s">
        <v>4088</v>
      </c>
      <c r="F5311" t="s">
        <v>4075</v>
      </c>
    </row>
    <row r="5312" spans="1:6" x14ac:dyDescent="0.25">
      <c r="A5312">
        <v>4420</v>
      </c>
      <c r="B5312" t="s">
        <v>4072</v>
      </c>
      <c r="C5312">
        <v>15</v>
      </c>
      <c r="D5312" t="s">
        <v>4080</v>
      </c>
      <c r="E5312" t="s">
        <v>4081</v>
      </c>
      <c r="F5312" t="s">
        <v>4076</v>
      </c>
    </row>
    <row r="5313" spans="1:6" x14ac:dyDescent="0.25">
      <c r="A5313">
        <v>4421</v>
      </c>
      <c r="B5313" t="s">
        <v>4072</v>
      </c>
      <c r="C5313">
        <v>4</v>
      </c>
      <c r="D5313" t="s">
        <v>4077</v>
      </c>
      <c r="E5313" t="s">
        <v>4078</v>
      </c>
      <c r="F5313" t="s">
        <v>4075</v>
      </c>
    </row>
    <row r="5314" spans="1:6" x14ac:dyDescent="0.25">
      <c r="A5314">
        <v>4421</v>
      </c>
      <c r="B5314" t="s">
        <v>4072</v>
      </c>
      <c r="C5314">
        <v>16</v>
      </c>
      <c r="D5314" t="s">
        <v>4077</v>
      </c>
      <c r="E5314" t="s">
        <v>4078</v>
      </c>
      <c r="F5314" t="s">
        <v>4076</v>
      </c>
    </row>
    <row r="5315" spans="1:6" x14ac:dyDescent="0.25">
      <c r="A5315">
        <v>4422</v>
      </c>
      <c r="B5315" t="s">
        <v>4072</v>
      </c>
      <c r="C5315">
        <v>5</v>
      </c>
      <c r="D5315" t="s">
        <v>4087</v>
      </c>
      <c r="E5315" t="s">
        <v>4088</v>
      </c>
      <c r="F5315" t="s">
        <v>4075</v>
      </c>
    </row>
    <row r="5316" spans="1:6" x14ac:dyDescent="0.25">
      <c r="A5316">
        <v>4422</v>
      </c>
      <c r="B5316" t="s">
        <v>4072</v>
      </c>
      <c r="C5316">
        <v>15</v>
      </c>
      <c r="D5316" t="s">
        <v>4080</v>
      </c>
      <c r="E5316" t="s">
        <v>4081</v>
      </c>
      <c r="F5316" t="s">
        <v>4076</v>
      </c>
    </row>
    <row r="5317" spans="1:6" x14ac:dyDescent="0.25">
      <c r="A5317">
        <v>4422</v>
      </c>
      <c r="B5317" t="s">
        <v>4072</v>
      </c>
      <c r="C5317">
        <v>40</v>
      </c>
      <c r="D5317" t="s">
        <v>4080</v>
      </c>
      <c r="E5317" t="s">
        <v>4081</v>
      </c>
      <c r="F5317" t="s">
        <v>4079</v>
      </c>
    </row>
    <row r="5318" spans="1:6" x14ac:dyDescent="0.25">
      <c r="A5318">
        <v>4423</v>
      </c>
      <c r="B5318" t="s">
        <v>4072</v>
      </c>
      <c r="C5318">
        <v>6</v>
      </c>
      <c r="D5318" t="s">
        <v>4073</v>
      </c>
      <c r="E5318" t="s">
        <v>4074</v>
      </c>
      <c r="F5318" t="s">
        <v>4075</v>
      </c>
    </row>
    <row r="5319" spans="1:6" x14ac:dyDescent="0.25">
      <c r="A5319">
        <v>4423</v>
      </c>
      <c r="B5319" t="s">
        <v>4072</v>
      </c>
      <c r="C5319">
        <v>19</v>
      </c>
      <c r="D5319" t="s">
        <v>4073</v>
      </c>
      <c r="E5319" t="s">
        <v>4074</v>
      </c>
      <c r="F5319" t="s">
        <v>4076</v>
      </c>
    </row>
    <row r="5320" spans="1:6" x14ac:dyDescent="0.25">
      <c r="A5320">
        <v>4423</v>
      </c>
      <c r="B5320" t="s">
        <v>4072</v>
      </c>
      <c r="C5320">
        <v>39</v>
      </c>
      <c r="D5320" t="s">
        <v>4073</v>
      </c>
      <c r="E5320" t="s">
        <v>4074</v>
      </c>
      <c r="F5320" t="s">
        <v>4079</v>
      </c>
    </row>
    <row r="5321" spans="1:6" x14ac:dyDescent="0.25">
      <c r="A5321">
        <v>4424</v>
      </c>
      <c r="B5321" t="s">
        <v>4072</v>
      </c>
      <c r="C5321">
        <v>4</v>
      </c>
      <c r="D5321" t="s">
        <v>4077</v>
      </c>
      <c r="E5321" t="s">
        <v>4078</v>
      </c>
      <c r="F5321" t="s">
        <v>4075</v>
      </c>
    </row>
    <row r="5322" spans="1:6" x14ac:dyDescent="0.25">
      <c r="A5322">
        <v>4424</v>
      </c>
      <c r="B5322" t="s">
        <v>4072</v>
      </c>
      <c r="C5322">
        <v>16</v>
      </c>
      <c r="D5322" t="s">
        <v>4077</v>
      </c>
      <c r="E5322" t="s">
        <v>4078</v>
      </c>
      <c r="F5322" t="s">
        <v>4076</v>
      </c>
    </row>
    <row r="5323" spans="1:6" x14ac:dyDescent="0.25">
      <c r="A5323">
        <v>4424</v>
      </c>
      <c r="B5323" t="s">
        <v>4072</v>
      </c>
      <c r="C5323">
        <v>44</v>
      </c>
      <c r="D5323" t="s">
        <v>4077</v>
      </c>
      <c r="E5323" t="s">
        <v>4078</v>
      </c>
      <c r="F5323" t="s">
        <v>4079</v>
      </c>
    </row>
    <row r="5324" spans="1:6" x14ac:dyDescent="0.25">
      <c r="A5324">
        <v>4425</v>
      </c>
      <c r="B5324" t="s">
        <v>4072</v>
      </c>
      <c r="C5324">
        <v>3</v>
      </c>
      <c r="D5324" t="s">
        <v>4085</v>
      </c>
      <c r="E5324" t="s">
        <v>4086</v>
      </c>
      <c r="F5324" t="s">
        <v>4075</v>
      </c>
    </row>
    <row r="5325" spans="1:6" x14ac:dyDescent="0.25">
      <c r="A5325">
        <v>4425</v>
      </c>
      <c r="B5325" t="s">
        <v>4072</v>
      </c>
      <c r="C5325">
        <v>15</v>
      </c>
      <c r="D5325" t="s">
        <v>4080</v>
      </c>
      <c r="E5325" t="s">
        <v>4081</v>
      </c>
      <c r="F5325" t="s">
        <v>4076</v>
      </c>
    </row>
    <row r="5326" spans="1:6" x14ac:dyDescent="0.25">
      <c r="A5326">
        <v>4425</v>
      </c>
      <c r="B5326" t="s">
        <v>4072</v>
      </c>
      <c r="C5326">
        <v>40</v>
      </c>
      <c r="D5326" t="s">
        <v>4080</v>
      </c>
      <c r="E5326" t="s">
        <v>4081</v>
      </c>
      <c r="F5326" t="s">
        <v>4079</v>
      </c>
    </row>
    <row r="5327" spans="1:6" x14ac:dyDescent="0.25">
      <c r="A5327">
        <v>4426</v>
      </c>
      <c r="B5327" t="s">
        <v>4072</v>
      </c>
      <c r="C5327">
        <v>4</v>
      </c>
      <c r="D5327" t="s">
        <v>4077</v>
      </c>
      <c r="E5327" t="s">
        <v>4078</v>
      </c>
      <c r="F5327" t="s">
        <v>4075</v>
      </c>
    </row>
    <row r="5328" spans="1:6" x14ac:dyDescent="0.25">
      <c r="A5328">
        <v>4426</v>
      </c>
      <c r="B5328" t="s">
        <v>4072</v>
      </c>
      <c r="C5328">
        <v>16</v>
      </c>
      <c r="D5328" t="s">
        <v>4077</v>
      </c>
      <c r="E5328" t="s">
        <v>4078</v>
      </c>
      <c r="F5328" t="s">
        <v>4076</v>
      </c>
    </row>
    <row r="5329" spans="1:6" x14ac:dyDescent="0.25">
      <c r="A5329">
        <v>4426</v>
      </c>
      <c r="B5329" t="s">
        <v>4072</v>
      </c>
      <c r="C5329">
        <v>44</v>
      </c>
      <c r="D5329" t="s">
        <v>4077</v>
      </c>
      <c r="E5329" t="s">
        <v>4078</v>
      </c>
      <c r="F5329" t="s">
        <v>4079</v>
      </c>
    </row>
    <row r="5330" spans="1:6" x14ac:dyDescent="0.25">
      <c r="A5330">
        <v>4427</v>
      </c>
      <c r="B5330" t="s">
        <v>4072</v>
      </c>
      <c r="C5330">
        <v>5</v>
      </c>
      <c r="D5330" t="s">
        <v>4087</v>
      </c>
      <c r="E5330" t="s">
        <v>4088</v>
      </c>
      <c r="F5330" t="s">
        <v>4075</v>
      </c>
    </row>
    <row r="5331" spans="1:6" x14ac:dyDescent="0.25">
      <c r="A5331">
        <v>4427</v>
      </c>
      <c r="B5331" t="s">
        <v>4072</v>
      </c>
      <c r="C5331">
        <v>15</v>
      </c>
      <c r="D5331" t="s">
        <v>4080</v>
      </c>
      <c r="E5331" t="s">
        <v>4081</v>
      </c>
      <c r="F5331" t="s">
        <v>4076</v>
      </c>
    </row>
    <row r="5332" spans="1:6" x14ac:dyDescent="0.25">
      <c r="A5332">
        <v>4427</v>
      </c>
      <c r="B5332" t="s">
        <v>4072</v>
      </c>
      <c r="C5332">
        <v>40</v>
      </c>
      <c r="D5332" t="s">
        <v>4080</v>
      </c>
      <c r="E5332" t="s">
        <v>4081</v>
      </c>
      <c r="F5332" t="s">
        <v>4079</v>
      </c>
    </row>
    <row r="5333" spans="1:6" x14ac:dyDescent="0.25">
      <c r="A5333">
        <v>4428</v>
      </c>
      <c r="B5333" t="s">
        <v>4072</v>
      </c>
      <c r="C5333">
        <v>5</v>
      </c>
      <c r="D5333" t="s">
        <v>4087</v>
      </c>
      <c r="E5333" t="s">
        <v>4088</v>
      </c>
      <c r="F5333" t="s">
        <v>4075</v>
      </c>
    </row>
    <row r="5334" spans="1:6" x14ac:dyDescent="0.25">
      <c r="A5334">
        <v>4428</v>
      </c>
      <c r="B5334" t="s">
        <v>4072</v>
      </c>
      <c r="C5334">
        <v>15</v>
      </c>
      <c r="D5334" t="s">
        <v>4080</v>
      </c>
      <c r="E5334" t="s">
        <v>4081</v>
      </c>
      <c r="F5334" t="s">
        <v>4076</v>
      </c>
    </row>
    <row r="5335" spans="1:6" x14ac:dyDescent="0.25">
      <c r="A5335">
        <v>4428</v>
      </c>
      <c r="B5335" t="s">
        <v>4072</v>
      </c>
      <c r="C5335">
        <v>40</v>
      </c>
      <c r="D5335" t="s">
        <v>4080</v>
      </c>
      <c r="E5335" t="s">
        <v>4081</v>
      </c>
      <c r="F5335" t="s">
        <v>4079</v>
      </c>
    </row>
    <row r="5336" spans="1:6" x14ac:dyDescent="0.25">
      <c r="A5336">
        <v>4429</v>
      </c>
      <c r="B5336" t="s">
        <v>4072</v>
      </c>
      <c r="C5336">
        <v>2</v>
      </c>
      <c r="D5336" t="s">
        <v>4082</v>
      </c>
      <c r="E5336" t="s">
        <v>4083</v>
      </c>
      <c r="F5336" t="s">
        <v>4075</v>
      </c>
    </row>
    <row r="5337" spans="1:6" x14ac:dyDescent="0.25">
      <c r="A5337">
        <v>4429</v>
      </c>
      <c r="B5337" t="s">
        <v>4072</v>
      </c>
      <c r="C5337">
        <v>17</v>
      </c>
      <c r="D5337" t="s">
        <v>4082</v>
      </c>
      <c r="E5337" t="s">
        <v>4084</v>
      </c>
      <c r="F5337" t="s">
        <v>4076</v>
      </c>
    </row>
    <row r="5338" spans="1:6" x14ac:dyDescent="0.25">
      <c r="A5338">
        <v>4429</v>
      </c>
      <c r="B5338" t="s">
        <v>4072</v>
      </c>
      <c r="C5338">
        <v>42</v>
      </c>
      <c r="D5338" t="s">
        <v>4082</v>
      </c>
      <c r="E5338" t="s">
        <v>4083</v>
      </c>
      <c r="F5338" t="s">
        <v>4079</v>
      </c>
    </row>
    <row r="5339" spans="1:6" x14ac:dyDescent="0.25">
      <c r="A5339">
        <v>4430</v>
      </c>
      <c r="B5339" t="s">
        <v>4072</v>
      </c>
      <c r="C5339">
        <v>2</v>
      </c>
      <c r="D5339" t="s">
        <v>4082</v>
      </c>
      <c r="E5339" t="s">
        <v>4083</v>
      </c>
      <c r="F5339" t="s">
        <v>4075</v>
      </c>
    </row>
    <row r="5340" spans="1:6" x14ac:dyDescent="0.25">
      <c r="A5340">
        <v>4430</v>
      </c>
      <c r="B5340" t="s">
        <v>4072</v>
      </c>
      <c r="C5340">
        <v>17</v>
      </c>
      <c r="D5340" t="s">
        <v>4082</v>
      </c>
      <c r="E5340" t="s">
        <v>4084</v>
      </c>
      <c r="F5340" t="s">
        <v>4076</v>
      </c>
    </row>
    <row r="5341" spans="1:6" x14ac:dyDescent="0.25">
      <c r="A5341">
        <v>4436</v>
      </c>
      <c r="B5341" t="s">
        <v>4072</v>
      </c>
      <c r="C5341">
        <v>6</v>
      </c>
      <c r="D5341" t="s">
        <v>4073</v>
      </c>
      <c r="E5341" t="s">
        <v>4074</v>
      </c>
      <c r="F5341" t="s">
        <v>4075</v>
      </c>
    </row>
    <row r="5342" spans="1:6" x14ac:dyDescent="0.25">
      <c r="A5342">
        <v>4436</v>
      </c>
      <c r="B5342" t="s">
        <v>4072</v>
      </c>
      <c r="C5342">
        <v>19</v>
      </c>
      <c r="D5342" t="s">
        <v>4073</v>
      </c>
      <c r="E5342" t="s">
        <v>4074</v>
      </c>
      <c r="F5342" t="s">
        <v>4076</v>
      </c>
    </row>
    <row r="5343" spans="1:6" x14ac:dyDescent="0.25">
      <c r="A5343">
        <v>4437</v>
      </c>
      <c r="B5343" t="s">
        <v>4072</v>
      </c>
      <c r="C5343">
        <v>5</v>
      </c>
      <c r="D5343" t="s">
        <v>4087</v>
      </c>
      <c r="E5343" t="s">
        <v>4088</v>
      </c>
      <c r="F5343" t="s">
        <v>4075</v>
      </c>
    </row>
    <row r="5344" spans="1:6" x14ac:dyDescent="0.25">
      <c r="A5344">
        <v>4437</v>
      </c>
      <c r="B5344" t="s">
        <v>4072</v>
      </c>
      <c r="C5344">
        <v>15</v>
      </c>
      <c r="D5344" t="s">
        <v>4080</v>
      </c>
      <c r="E5344" t="s">
        <v>4081</v>
      </c>
      <c r="F5344" t="s">
        <v>4076</v>
      </c>
    </row>
    <row r="5345" spans="1:6" x14ac:dyDescent="0.25">
      <c r="A5345">
        <v>4438</v>
      </c>
      <c r="B5345" t="s">
        <v>4072</v>
      </c>
      <c r="C5345">
        <v>5</v>
      </c>
      <c r="D5345" t="s">
        <v>4087</v>
      </c>
      <c r="E5345" t="s">
        <v>4088</v>
      </c>
      <c r="F5345" t="s">
        <v>4075</v>
      </c>
    </row>
    <row r="5346" spans="1:6" x14ac:dyDescent="0.25">
      <c r="A5346">
        <v>4438</v>
      </c>
      <c r="B5346" t="s">
        <v>4072</v>
      </c>
      <c r="C5346">
        <v>15</v>
      </c>
      <c r="D5346" t="s">
        <v>4080</v>
      </c>
      <c r="E5346" t="s">
        <v>4081</v>
      </c>
      <c r="F5346" t="s">
        <v>4076</v>
      </c>
    </row>
    <row r="5347" spans="1:6" x14ac:dyDescent="0.25">
      <c r="A5347">
        <v>4439</v>
      </c>
      <c r="B5347" t="s">
        <v>4072</v>
      </c>
      <c r="C5347">
        <v>4</v>
      </c>
      <c r="D5347" t="s">
        <v>4077</v>
      </c>
      <c r="E5347" t="s">
        <v>4078</v>
      </c>
      <c r="F5347" t="s">
        <v>4075</v>
      </c>
    </row>
    <row r="5348" spans="1:6" x14ac:dyDescent="0.25">
      <c r="A5348">
        <v>4439</v>
      </c>
      <c r="B5348" t="s">
        <v>4072</v>
      </c>
      <c r="C5348">
        <v>16</v>
      </c>
      <c r="D5348" t="s">
        <v>4077</v>
      </c>
      <c r="E5348" t="s">
        <v>4078</v>
      </c>
      <c r="F5348" t="s">
        <v>4076</v>
      </c>
    </row>
    <row r="5349" spans="1:6" x14ac:dyDescent="0.25">
      <c r="A5349">
        <v>4440</v>
      </c>
      <c r="B5349" t="s">
        <v>4072</v>
      </c>
      <c r="C5349">
        <v>4</v>
      </c>
      <c r="D5349" t="s">
        <v>4077</v>
      </c>
      <c r="E5349" t="s">
        <v>4078</v>
      </c>
      <c r="F5349" t="s">
        <v>4075</v>
      </c>
    </row>
    <row r="5350" spans="1:6" x14ac:dyDescent="0.25">
      <c r="A5350">
        <v>4440</v>
      </c>
      <c r="B5350" t="s">
        <v>4072</v>
      </c>
      <c r="C5350">
        <v>16</v>
      </c>
      <c r="D5350" t="s">
        <v>4077</v>
      </c>
      <c r="E5350" t="s">
        <v>4078</v>
      </c>
      <c r="F5350" t="s">
        <v>4076</v>
      </c>
    </row>
    <row r="5351" spans="1:6" x14ac:dyDescent="0.25">
      <c r="A5351">
        <v>4441</v>
      </c>
      <c r="B5351" t="s">
        <v>4092</v>
      </c>
      <c r="C5351">
        <v>24</v>
      </c>
      <c r="D5351" t="s">
        <v>2760</v>
      </c>
      <c r="E5351" t="s">
        <v>4108</v>
      </c>
      <c r="F5351" t="s">
        <v>4075</v>
      </c>
    </row>
    <row r="5352" spans="1:6" x14ac:dyDescent="0.25">
      <c r="A5352">
        <v>4441</v>
      </c>
      <c r="B5352" t="s">
        <v>4092</v>
      </c>
      <c r="C5352">
        <v>29</v>
      </c>
      <c r="D5352" t="s">
        <v>2760</v>
      </c>
      <c r="E5352" t="s">
        <v>4108</v>
      </c>
      <c r="F5352" t="s">
        <v>4076</v>
      </c>
    </row>
    <row r="5353" spans="1:6" x14ac:dyDescent="0.25">
      <c r="A5353">
        <v>4444</v>
      </c>
      <c r="B5353" t="s">
        <v>4072</v>
      </c>
      <c r="C5353">
        <v>5</v>
      </c>
      <c r="D5353" t="s">
        <v>4087</v>
      </c>
      <c r="E5353" t="s">
        <v>4088</v>
      </c>
      <c r="F5353" t="s">
        <v>4075</v>
      </c>
    </row>
    <row r="5354" spans="1:6" x14ac:dyDescent="0.25">
      <c r="A5354">
        <v>4444</v>
      </c>
      <c r="B5354" t="s">
        <v>4072</v>
      </c>
      <c r="C5354">
        <v>15</v>
      </c>
      <c r="D5354" t="s">
        <v>4080</v>
      </c>
      <c r="E5354" t="s">
        <v>4081</v>
      </c>
      <c r="F5354" t="s">
        <v>4076</v>
      </c>
    </row>
    <row r="5355" spans="1:6" x14ac:dyDescent="0.25">
      <c r="A5355">
        <v>4446</v>
      </c>
      <c r="B5355" t="s">
        <v>4072</v>
      </c>
      <c r="C5355">
        <v>5</v>
      </c>
      <c r="D5355" t="s">
        <v>4087</v>
      </c>
      <c r="E5355" t="s">
        <v>4088</v>
      </c>
      <c r="F5355" t="s">
        <v>4075</v>
      </c>
    </row>
    <row r="5356" spans="1:6" x14ac:dyDescent="0.25">
      <c r="A5356">
        <v>4446</v>
      </c>
      <c r="B5356" t="s">
        <v>4072</v>
      </c>
      <c r="C5356">
        <v>15</v>
      </c>
      <c r="D5356" t="s">
        <v>4080</v>
      </c>
      <c r="E5356" t="s">
        <v>4081</v>
      </c>
      <c r="F5356" t="s">
        <v>4076</v>
      </c>
    </row>
    <row r="5357" spans="1:6" x14ac:dyDescent="0.25">
      <c r="A5357">
        <v>4447</v>
      </c>
      <c r="B5357" t="s">
        <v>4072</v>
      </c>
      <c r="C5357">
        <v>4</v>
      </c>
      <c r="D5357" t="s">
        <v>4077</v>
      </c>
      <c r="E5357" t="s">
        <v>4078</v>
      </c>
      <c r="F5357" t="s">
        <v>4075</v>
      </c>
    </row>
    <row r="5358" spans="1:6" x14ac:dyDescent="0.25">
      <c r="A5358">
        <v>4447</v>
      </c>
      <c r="B5358" t="s">
        <v>4072</v>
      </c>
      <c r="C5358">
        <v>16</v>
      </c>
      <c r="D5358" t="s">
        <v>4077</v>
      </c>
      <c r="E5358" t="s">
        <v>4078</v>
      </c>
      <c r="F5358" t="s">
        <v>4076</v>
      </c>
    </row>
    <row r="5359" spans="1:6" x14ac:dyDescent="0.25">
      <c r="A5359">
        <v>4448</v>
      </c>
      <c r="B5359" t="s">
        <v>4072</v>
      </c>
      <c r="C5359">
        <v>5</v>
      </c>
      <c r="D5359" t="s">
        <v>4087</v>
      </c>
      <c r="E5359" t="s">
        <v>4088</v>
      </c>
      <c r="F5359" t="s">
        <v>4075</v>
      </c>
    </row>
    <row r="5360" spans="1:6" x14ac:dyDescent="0.25">
      <c r="A5360">
        <v>4448</v>
      </c>
      <c r="B5360" t="s">
        <v>4072</v>
      </c>
      <c r="C5360">
        <v>15</v>
      </c>
      <c r="D5360" t="s">
        <v>4080</v>
      </c>
      <c r="E5360" t="s">
        <v>4081</v>
      </c>
      <c r="F5360" t="s">
        <v>4076</v>
      </c>
    </row>
    <row r="5361" spans="1:6" x14ac:dyDescent="0.25">
      <c r="A5361">
        <v>4451</v>
      </c>
      <c r="B5361" t="s">
        <v>4072</v>
      </c>
      <c r="C5361">
        <v>2</v>
      </c>
      <c r="D5361" t="s">
        <v>4082</v>
      </c>
      <c r="E5361" t="s">
        <v>4083</v>
      </c>
      <c r="F5361" t="s">
        <v>4075</v>
      </c>
    </row>
    <row r="5362" spans="1:6" x14ac:dyDescent="0.25">
      <c r="A5362">
        <v>4451</v>
      </c>
      <c r="B5362" t="s">
        <v>4072</v>
      </c>
      <c r="C5362">
        <v>17</v>
      </c>
      <c r="D5362" t="s">
        <v>4082</v>
      </c>
      <c r="E5362" t="s">
        <v>4084</v>
      </c>
      <c r="F5362" t="s">
        <v>4076</v>
      </c>
    </row>
    <row r="5363" spans="1:6" x14ac:dyDescent="0.25">
      <c r="A5363">
        <v>4452</v>
      </c>
      <c r="B5363" t="s">
        <v>4072</v>
      </c>
      <c r="C5363">
        <v>2</v>
      </c>
      <c r="D5363" t="s">
        <v>4082</v>
      </c>
      <c r="E5363" t="s">
        <v>4083</v>
      </c>
      <c r="F5363" t="s">
        <v>4075</v>
      </c>
    </row>
    <row r="5364" spans="1:6" x14ac:dyDescent="0.25">
      <c r="A5364">
        <v>4452</v>
      </c>
      <c r="B5364" t="s">
        <v>4072</v>
      </c>
      <c r="C5364">
        <v>17</v>
      </c>
      <c r="D5364" t="s">
        <v>4082</v>
      </c>
      <c r="E5364" t="s">
        <v>4084</v>
      </c>
      <c r="F5364" t="s">
        <v>4076</v>
      </c>
    </row>
    <row r="5365" spans="1:6" x14ac:dyDescent="0.25">
      <c r="A5365">
        <v>4453</v>
      </c>
      <c r="B5365" t="s">
        <v>4072</v>
      </c>
      <c r="C5365">
        <v>6</v>
      </c>
      <c r="D5365" t="s">
        <v>4073</v>
      </c>
      <c r="E5365" t="s">
        <v>4074</v>
      </c>
      <c r="F5365" t="s">
        <v>4075</v>
      </c>
    </row>
    <row r="5366" spans="1:6" x14ac:dyDescent="0.25">
      <c r="A5366">
        <v>4453</v>
      </c>
      <c r="B5366" t="s">
        <v>4072</v>
      </c>
      <c r="C5366">
        <v>19</v>
      </c>
      <c r="D5366" t="s">
        <v>4073</v>
      </c>
      <c r="E5366" t="s">
        <v>4074</v>
      </c>
      <c r="F5366" t="s">
        <v>4076</v>
      </c>
    </row>
    <row r="5367" spans="1:6" x14ac:dyDescent="0.25">
      <c r="A5367">
        <v>4454</v>
      </c>
      <c r="B5367" t="s">
        <v>4072</v>
      </c>
      <c r="C5367">
        <v>10</v>
      </c>
      <c r="D5367" t="s">
        <v>4095</v>
      </c>
      <c r="E5367" t="s">
        <v>4096</v>
      </c>
      <c r="F5367" t="s">
        <v>4075</v>
      </c>
    </row>
    <row r="5368" spans="1:6" x14ac:dyDescent="0.25">
      <c r="A5368">
        <v>4455</v>
      </c>
      <c r="B5368" t="s">
        <v>4072</v>
      </c>
      <c r="C5368">
        <v>6</v>
      </c>
      <c r="D5368" t="s">
        <v>4073</v>
      </c>
      <c r="E5368" t="s">
        <v>4074</v>
      </c>
      <c r="F5368" t="s">
        <v>4075</v>
      </c>
    </row>
    <row r="5369" spans="1:6" x14ac:dyDescent="0.25">
      <c r="A5369">
        <v>4455</v>
      </c>
      <c r="B5369" t="s">
        <v>4072</v>
      </c>
      <c r="C5369">
        <v>19</v>
      </c>
      <c r="D5369" t="s">
        <v>4073</v>
      </c>
      <c r="E5369" t="s">
        <v>4074</v>
      </c>
      <c r="F5369" t="s">
        <v>4076</v>
      </c>
    </row>
    <row r="5370" spans="1:6" x14ac:dyDescent="0.25">
      <c r="A5370">
        <v>4458</v>
      </c>
      <c r="B5370" t="s">
        <v>4092</v>
      </c>
      <c r="C5370">
        <v>24</v>
      </c>
      <c r="D5370" t="s">
        <v>2760</v>
      </c>
      <c r="E5370" t="s">
        <v>4108</v>
      </c>
      <c r="F5370" t="s">
        <v>4075</v>
      </c>
    </row>
    <row r="5371" spans="1:6" x14ac:dyDescent="0.25">
      <c r="A5371">
        <v>4459</v>
      </c>
      <c r="B5371" t="s">
        <v>4092</v>
      </c>
      <c r="C5371">
        <v>24</v>
      </c>
      <c r="D5371" t="s">
        <v>2760</v>
      </c>
      <c r="E5371" t="s">
        <v>4108</v>
      </c>
      <c r="F5371" t="s">
        <v>4075</v>
      </c>
    </row>
    <row r="5372" spans="1:6" x14ac:dyDescent="0.25">
      <c r="A5372">
        <v>4460</v>
      </c>
      <c r="B5372" t="s">
        <v>4092</v>
      </c>
      <c r="C5372">
        <v>29</v>
      </c>
      <c r="D5372" t="s">
        <v>2760</v>
      </c>
      <c r="E5372" t="s">
        <v>4108</v>
      </c>
      <c r="F5372" t="s">
        <v>4076</v>
      </c>
    </row>
    <row r="5373" spans="1:6" x14ac:dyDescent="0.25">
      <c r="A5373">
        <v>4460</v>
      </c>
      <c r="B5373" t="s">
        <v>4092</v>
      </c>
      <c r="C5373">
        <v>49</v>
      </c>
      <c r="D5373" t="s">
        <v>2760</v>
      </c>
      <c r="E5373" t="s">
        <v>4108</v>
      </c>
      <c r="F5373" t="s">
        <v>4079</v>
      </c>
    </row>
    <row r="5374" spans="1:6" x14ac:dyDescent="0.25">
      <c r="A5374">
        <v>4461</v>
      </c>
      <c r="B5374" t="s">
        <v>4092</v>
      </c>
      <c r="C5374">
        <v>29</v>
      </c>
      <c r="D5374" t="s">
        <v>2760</v>
      </c>
      <c r="E5374" t="s">
        <v>4108</v>
      </c>
      <c r="F5374" t="s">
        <v>4076</v>
      </c>
    </row>
    <row r="5375" spans="1:6" x14ac:dyDescent="0.25">
      <c r="A5375">
        <v>4461</v>
      </c>
      <c r="B5375" t="s">
        <v>4092</v>
      </c>
      <c r="C5375">
        <v>49</v>
      </c>
      <c r="D5375" t="s">
        <v>2760</v>
      </c>
      <c r="E5375" t="s">
        <v>4108</v>
      </c>
      <c r="F5375" t="s">
        <v>4079</v>
      </c>
    </row>
    <row r="5376" spans="1:6" x14ac:dyDescent="0.25">
      <c r="A5376">
        <v>4462</v>
      </c>
      <c r="B5376" t="s">
        <v>4092</v>
      </c>
      <c r="C5376">
        <v>29</v>
      </c>
      <c r="D5376" t="s">
        <v>2760</v>
      </c>
      <c r="E5376" t="s">
        <v>4108</v>
      </c>
      <c r="F5376" t="s">
        <v>4076</v>
      </c>
    </row>
    <row r="5377" spans="1:6" x14ac:dyDescent="0.25">
      <c r="A5377">
        <v>4462</v>
      </c>
      <c r="B5377" t="s">
        <v>4092</v>
      </c>
      <c r="C5377">
        <v>49</v>
      </c>
      <c r="D5377" t="s">
        <v>2760</v>
      </c>
      <c r="E5377" t="s">
        <v>4108</v>
      </c>
      <c r="F5377" t="s">
        <v>4079</v>
      </c>
    </row>
    <row r="5378" spans="1:6" x14ac:dyDescent="0.25">
      <c r="A5378">
        <v>4463</v>
      </c>
      <c r="B5378" t="s">
        <v>4092</v>
      </c>
      <c r="C5378">
        <v>29</v>
      </c>
      <c r="D5378" t="s">
        <v>2760</v>
      </c>
      <c r="E5378" t="s">
        <v>4108</v>
      </c>
      <c r="F5378" t="s">
        <v>4076</v>
      </c>
    </row>
    <row r="5379" spans="1:6" x14ac:dyDescent="0.25">
      <c r="A5379">
        <v>4463</v>
      </c>
      <c r="B5379" t="s">
        <v>4092</v>
      </c>
      <c r="C5379">
        <v>49</v>
      </c>
      <c r="D5379" t="s">
        <v>2760</v>
      </c>
      <c r="E5379" t="s">
        <v>4108</v>
      </c>
      <c r="F5379" t="s">
        <v>4079</v>
      </c>
    </row>
    <row r="5380" spans="1:6" x14ac:dyDescent="0.25">
      <c r="A5380">
        <v>4464</v>
      </c>
      <c r="B5380" t="s">
        <v>4072</v>
      </c>
      <c r="C5380">
        <v>4</v>
      </c>
      <c r="D5380" t="s">
        <v>4077</v>
      </c>
      <c r="E5380" t="s">
        <v>4078</v>
      </c>
      <c r="F5380" t="s">
        <v>4075</v>
      </c>
    </row>
    <row r="5381" spans="1:6" x14ac:dyDescent="0.25">
      <c r="A5381">
        <v>4464</v>
      </c>
      <c r="B5381" t="s">
        <v>4072</v>
      </c>
      <c r="C5381">
        <v>16</v>
      </c>
      <c r="D5381" t="s">
        <v>4077</v>
      </c>
      <c r="E5381" t="s">
        <v>4078</v>
      </c>
      <c r="F5381" t="s">
        <v>4076</v>
      </c>
    </row>
    <row r="5382" spans="1:6" x14ac:dyDescent="0.25">
      <c r="A5382">
        <v>4465</v>
      </c>
      <c r="B5382" t="s">
        <v>4072</v>
      </c>
      <c r="C5382">
        <v>5</v>
      </c>
      <c r="D5382" t="s">
        <v>4087</v>
      </c>
      <c r="E5382" t="s">
        <v>4088</v>
      </c>
      <c r="F5382" t="s">
        <v>4075</v>
      </c>
    </row>
    <row r="5383" spans="1:6" x14ac:dyDescent="0.25">
      <c r="A5383">
        <v>4465</v>
      </c>
      <c r="B5383" t="s">
        <v>4072</v>
      </c>
      <c r="C5383">
        <v>15</v>
      </c>
      <c r="D5383" t="s">
        <v>4080</v>
      </c>
      <c r="E5383" t="s">
        <v>4081</v>
      </c>
      <c r="F5383" t="s">
        <v>4076</v>
      </c>
    </row>
    <row r="5384" spans="1:6" x14ac:dyDescent="0.25">
      <c r="A5384">
        <v>4466</v>
      </c>
      <c r="B5384" t="s">
        <v>4072</v>
      </c>
      <c r="C5384">
        <v>4</v>
      </c>
      <c r="D5384" t="s">
        <v>4077</v>
      </c>
      <c r="E5384" t="s">
        <v>4078</v>
      </c>
      <c r="F5384" t="s">
        <v>4075</v>
      </c>
    </row>
    <row r="5385" spans="1:6" x14ac:dyDescent="0.25">
      <c r="A5385">
        <v>4466</v>
      </c>
      <c r="B5385" t="s">
        <v>4072</v>
      </c>
      <c r="C5385">
        <v>16</v>
      </c>
      <c r="D5385" t="s">
        <v>4077</v>
      </c>
      <c r="E5385" t="s">
        <v>4078</v>
      </c>
      <c r="F5385" t="s">
        <v>4076</v>
      </c>
    </row>
    <row r="5386" spans="1:6" x14ac:dyDescent="0.25">
      <c r="A5386">
        <v>4467</v>
      </c>
      <c r="B5386" t="s">
        <v>4072</v>
      </c>
      <c r="C5386">
        <v>5</v>
      </c>
      <c r="D5386" t="s">
        <v>4087</v>
      </c>
      <c r="E5386" t="s">
        <v>4088</v>
      </c>
      <c r="F5386" t="s">
        <v>4075</v>
      </c>
    </row>
    <row r="5387" spans="1:6" x14ac:dyDescent="0.25">
      <c r="A5387">
        <v>4467</v>
      </c>
      <c r="B5387" t="s">
        <v>4072</v>
      </c>
      <c r="C5387">
        <v>15</v>
      </c>
      <c r="D5387" t="s">
        <v>4080</v>
      </c>
      <c r="E5387" t="s">
        <v>4081</v>
      </c>
      <c r="F5387" t="s">
        <v>4076</v>
      </c>
    </row>
    <row r="5388" spans="1:6" x14ac:dyDescent="0.25">
      <c r="A5388">
        <v>4468</v>
      </c>
      <c r="B5388" t="s">
        <v>4072</v>
      </c>
      <c r="C5388">
        <v>5</v>
      </c>
      <c r="D5388" t="s">
        <v>4087</v>
      </c>
      <c r="E5388" t="s">
        <v>4088</v>
      </c>
      <c r="F5388" t="s">
        <v>4075</v>
      </c>
    </row>
    <row r="5389" spans="1:6" x14ac:dyDescent="0.25">
      <c r="A5389">
        <v>4468</v>
      </c>
      <c r="B5389" t="s">
        <v>4072</v>
      </c>
      <c r="C5389">
        <v>15</v>
      </c>
      <c r="D5389" t="s">
        <v>4080</v>
      </c>
      <c r="E5389" t="s">
        <v>4081</v>
      </c>
      <c r="F5389" t="s">
        <v>4076</v>
      </c>
    </row>
    <row r="5390" spans="1:6" x14ac:dyDescent="0.25">
      <c r="A5390">
        <v>4470</v>
      </c>
      <c r="B5390" t="s">
        <v>4072</v>
      </c>
      <c r="C5390">
        <v>6</v>
      </c>
      <c r="D5390" t="s">
        <v>4073</v>
      </c>
      <c r="E5390" t="s">
        <v>4074</v>
      </c>
      <c r="F5390" t="s">
        <v>4075</v>
      </c>
    </row>
    <row r="5391" spans="1:6" x14ac:dyDescent="0.25">
      <c r="A5391">
        <v>4470</v>
      </c>
      <c r="B5391" t="s">
        <v>4072</v>
      </c>
      <c r="C5391">
        <v>19</v>
      </c>
      <c r="D5391" t="s">
        <v>4073</v>
      </c>
      <c r="E5391" t="s">
        <v>4074</v>
      </c>
      <c r="F5391" t="s">
        <v>4076</v>
      </c>
    </row>
    <row r="5392" spans="1:6" x14ac:dyDescent="0.25">
      <c r="A5392">
        <v>4471</v>
      </c>
      <c r="B5392" t="s">
        <v>4072</v>
      </c>
      <c r="C5392">
        <v>5</v>
      </c>
      <c r="D5392" t="s">
        <v>4087</v>
      </c>
      <c r="E5392" t="s">
        <v>4088</v>
      </c>
      <c r="F5392" t="s">
        <v>4075</v>
      </c>
    </row>
    <row r="5393" spans="1:6" x14ac:dyDescent="0.25">
      <c r="A5393">
        <v>4471</v>
      </c>
      <c r="B5393" t="s">
        <v>4072</v>
      </c>
      <c r="C5393">
        <v>15</v>
      </c>
      <c r="D5393" t="s">
        <v>4080</v>
      </c>
      <c r="E5393" t="s">
        <v>4081</v>
      </c>
      <c r="F5393" t="s">
        <v>4076</v>
      </c>
    </row>
    <row r="5394" spans="1:6" x14ac:dyDescent="0.25">
      <c r="A5394">
        <v>4472</v>
      </c>
      <c r="B5394" t="s">
        <v>4072</v>
      </c>
      <c r="C5394">
        <v>6</v>
      </c>
      <c r="D5394" t="s">
        <v>4073</v>
      </c>
      <c r="E5394" t="s">
        <v>4074</v>
      </c>
      <c r="F5394" t="s">
        <v>4075</v>
      </c>
    </row>
    <row r="5395" spans="1:6" x14ac:dyDescent="0.25">
      <c r="A5395">
        <v>4472</v>
      </c>
      <c r="B5395" t="s">
        <v>4072</v>
      </c>
      <c r="C5395">
        <v>19</v>
      </c>
      <c r="D5395" t="s">
        <v>4073</v>
      </c>
      <c r="E5395" t="s">
        <v>4074</v>
      </c>
      <c r="F5395" t="s">
        <v>4076</v>
      </c>
    </row>
    <row r="5396" spans="1:6" x14ac:dyDescent="0.25">
      <c r="A5396">
        <v>4473</v>
      </c>
      <c r="B5396" t="s">
        <v>4072</v>
      </c>
      <c r="C5396">
        <v>3</v>
      </c>
      <c r="D5396" t="s">
        <v>4085</v>
      </c>
      <c r="E5396" t="s">
        <v>4086</v>
      </c>
      <c r="F5396" t="s">
        <v>4075</v>
      </c>
    </row>
    <row r="5397" spans="1:6" x14ac:dyDescent="0.25">
      <c r="A5397">
        <v>4473</v>
      </c>
      <c r="B5397" t="s">
        <v>4072</v>
      </c>
      <c r="C5397">
        <v>15</v>
      </c>
      <c r="D5397" t="s">
        <v>4080</v>
      </c>
      <c r="E5397" t="s">
        <v>4081</v>
      </c>
      <c r="F5397" t="s">
        <v>4076</v>
      </c>
    </row>
    <row r="5398" spans="1:6" x14ac:dyDescent="0.25">
      <c r="A5398">
        <v>4474</v>
      </c>
      <c r="B5398" t="s">
        <v>4072</v>
      </c>
      <c r="C5398">
        <v>5</v>
      </c>
      <c r="D5398" t="s">
        <v>4087</v>
      </c>
      <c r="E5398" t="s">
        <v>4088</v>
      </c>
      <c r="F5398" t="s">
        <v>4075</v>
      </c>
    </row>
    <row r="5399" spans="1:6" x14ac:dyDescent="0.25">
      <c r="A5399">
        <v>4474</v>
      </c>
      <c r="B5399" t="s">
        <v>4072</v>
      </c>
      <c r="C5399">
        <v>15</v>
      </c>
      <c r="D5399" t="s">
        <v>4080</v>
      </c>
      <c r="E5399" t="s">
        <v>4081</v>
      </c>
      <c r="F5399" t="s">
        <v>4076</v>
      </c>
    </row>
    <row r="5400" spans="1:6" x14ac:dyDescent="0.25">
      <c r="A5400">
        <v>4475</v>
      </c>
      <c r="B5400" t="s">
        <v>4072</v>
      </c>
      <c r="C5400">
        <v>5</v>
      </c>
      <c r="D5400" t="s">
        <v>4087</v>
      </c>
      <c r="E5400" t="s">
        <v>4088</v>
      </c>
      <c r="F5400" t="s">
        <v>4075</v>
      </c>
    </row>
    <row r="5401" spans="1:6" x14ac:dyDescent="0.25">
      <c r="A5401">
        <v>4475</v>
      </c>
      <c r="B5401" t="s">
        <v>4072</v>
      </c>
      <c r="C5401">
        <v>15</v>
      </c>
      <c r="D5401" t="s">
        <v>4080</v>
      </c>
      <c r="E5401" t="s">
        <v>4081</v>
      </c>
      <c r="F5401" t="s">
        <v>4076</v>
      </c>
    </row>
    <row r="5402" spans="1:6" x14ac:dyDescent="0.25">
      <c r="A5402">
        <v>4476</v>
      </c>
      <c r="B5402" t="s">
        <v>4092</v>
      </c>
      <c r="C5402">
        <v>24</v>
      </c>
      <c r="D5402" t="s">
        <v>2760</v>
      </c>
      <c r="E5402" t="s">
        <v>4108</v>
      </c>
      <c r="F5402" t="s">
        <v>4075</v>
      </c>
    </row>
    <row r="5403" spans="1:6" x14ac:dyDescent="0.25">
      <c r="A5403">
        <v>4476</v>
      </c>
      <c r="B5403" t="s">
        <v>4092</v>
      </c>
      <c r="C5403">
        <v>29</v>
      </c>
      <c r="D5403" t="s">
        <v>2760</v>
      </c>
      <c r="E5403" t="s">
        <v>4108</v>
      </c>
      <c r="F5403" t="s">
        <v>4076</v>
      </c>
    </row>
    <row r="5404" spans="1:6" x14ac:dyDescent="0.25">
      <c r="A5404">
        <v>4485</v>
      </c>
      <c r="B5404" t="s">
        <v>4072</v>
      </c>
      <c r="C5404">
        <v>4</v>
      </c>
      <c r="D5404" t="s">
        <v>4077</v>
      </c>
      <c r="E5404" t="s">
        <v>4078</v>
      </c>
      <c r="F5404" t="s">
        <v>4075</v>
      </c>
    </row>
    <row r="5405" spans="1:6" x14ac:dyDescent="0.25">
      <c r="A5405">
        <v>4485</v>
      </c>
      <c r="B5405" t="s">
        <v>4072</v>
      </c>
      <c r="C5405">
        <v>16</v>
      </c>
      <c r="D5405" t="s">
        <v>4077</v>
      </c>
      <c r="E5405" t="s">
        <v>4078</v>
      </c>
      <c r="F5405" t="s">
        <v>4076</v>
      </c>
    </row>
    <row r="5406" spans="1:6" x14ac:dyDescent="0.25">
      <c r="A5406">
        <v>4485</v>
      </c>
      <c r="B5406" t="s">
        <v>4072</v>
      </c>
      <c r="C5406">
        <v>44</v>
      </c>
      <c r="D5406" t="s">
        <v>4077</v>
      </c>
      <c r="E5406" t="s">
        <v>4078</v>
      </c>
      <c r="F5406" t="s">
        <v>4079</v>
      </c>
    </row>
    <row r="5407" spans="1:6" x14ac:dyDescent="0.25">
      <c r="A5407">
        <v>4486</v>
      </c>
      <c r="B5407" t="s">
        <v>4072</v>
      </c>
      <c r="C5407">
        <v>4</v>
      </c>
      <c r="D5407" t="s">
        <v>4077</v>
      </c>
      <c r="E5407" t="s">
        <v>4078</v>
      </c>
      <c r="F5407" t="s">
        <v>4075</v>
      </c>
    </row>
    <row r="5408" spans="1:6" x14ac:dyDescent="0.25">
      <c r="A5408">
        <v>4486</v>
      </c>
      <c r="B5408" t="s">
        <v>4072</v>
      </c>
      <c r="C5408">
        <v>16</v>
      </c>
      <c r="D5408" t="s">
        <v>4077</v>
      </c>
      <c r="E5408" t="s">
        <v>4078</v>
      </c>
      <c r="F5408" t="s">
        <v>4076</v>
      </c>
    </row>
    <row r="5409" spans="1:6" x14ac:dyDescent="0.25">
      <c r="A5409">
        <v>4487</v>
      </c>
      <c r="B5409" t="s">
        <v>4072</v>
      </c>
      <c r="C5409">
        <v>4</v>
      </c>
      <c r="D5409" t="s">
        <v>4077</v>
      </c>
      <c r="E5409" t="s">
        <v>4078</v>
      </c>
      <c r="F5409" t="s">
        <v>4075</v>
      </c>
    </row>
    <row r="5410" spans="1:6" x14ac:dyDescent="0.25">
      <c r="A5410">
        <v>4487</v>
      </c>
      <c r="B5410" t="s">
        <v>4072</v>
      </c>
      <c r="C5410">
        <v>16</v>
      </c>
      <c r="D5410" t="s">
        <v>4077</v>
      </c>
      <c r="E5410" t="s">
        <v>4078</v>
      </c>
      <c r="F5410" t="s">
        <v>4076</v>
      </c>
    </row>
    <row r="5411" spans="1:6" x14ac:dyDescent="0.25">
      <c r="A5411">
        <v>4487</v>
      </c>
      <c r="B5411" t="s">
        <v>4072</v>
      </c>
      <c r="C5411">
        <v>44</v>
      </c>
      <c r="D5411" t="s">
        <v>4077</v>
      </c>
      <c r="E5411" t="s">
        <v>4078</v>
      </c>
      <c r="F5411" t="s">
        <v>4079</v>
      </c>
    </row>
    <row r="5412" spans="1:6" x14ac:dyDescent="0.25">
      <c r="A5412">
        <v>4488</v>
      </c>
      <c r="B5412" t="s">
        <v>4072</v>
      </c>
      <c r="C5412">
        <v>3</v>
      </c>
      <c r="D5412" t="s">
        <v>4085</v>
      </c>
      <c r="E5412" t="s">
        <v>4086</v>
      </c>
      <c r="F5412" t="s">
        <v>4075</v>
      </c>
    </row>
    <row r="5413" spans="1:6" x14ac:dyDescent="0.25">
      <c r="A5413">
        <v>4488</v>
      </c>
      <c r="B5413" t="s">
        <v>4072</v>
      </c>
      <c r="C5413">
        <v>15</v>
      </c>
      <c r="D5413" t="s">
        <v>4080</v>
      </c>
      <c r="E5413" t="s">
        <v>4081</v>
      </c>
      <c r="F5413" t="s">
        <v>4076</v>
      </c>
    </row>
    <row r="5414" spans="1:6" x14ac:dyDescent="0.25">
      <c r="A5414">
        <v>4489</v>
      </c>
      <c r="B5414" t="s">
        <v>4092</v>
      </c>
      <c r="C5414">
        <v>24</v>
      </c>
      <c r="D5414" t="s">
        <v>2760</v>
      </c>
      <c r="E5414" t="s">
        <v>4108</v>
      </c>
      <c r="F5414" t="s">
        <v>4075</v>
      </c>
    </row>
    <row r="5415" spans="1:6" x14ac:dyDescent="0.25">
      <c r="A5415">
        <v>4489</v>
      </c>
      <c r="B5415" t="s">
        <v>4092</v>
      </c>
      <c r="C5415">
        <v>29</v>
      </c>
      <c r="D5415" t="s">
        <v>2760</v>
      </c>
      <c r="E5415" t="s">
        <v>4108</v>
      </c>
      <c r="F5415" t="s">
        <v>4076</v>
      </c>
    </row>
    <row r="5416" spans="1:6" x14ac:dyDescent="0.25">
      <c r="A5416">
        <v>4490</v>
      </c>
      <c r="B5416" t="s">
        <v>4072</v>
      </c>
      <c r="C5416">
        <v>4</v>
      </c>
      <c r="D5416" t="s">
        <v>4077</v>
      </c>
      <c r="E5416" t="s">
        <v>4078</v>
      </c>
      <c r="F5416" t="s">
        <v>4075</v>
      </c>
    </row>
    <row r="5417" spans="1:6" x14ac:dyDescent="0.25">
      <c r="A5417">
        <v>4490</v>
      </c>
      <c r="B5417" t="s">
        <v>4072</v>
      </c>
      <c r="C5417">
        <v>16</v>
      </c>
      <c r="D5417" t="s">
        <v>4077</v>
      </c>
      <c r="E5417" t="s">
        <v>4078</v>
      </c>
      <c r="F5417" t="s">
        <v>4076</v>
      </c>
    </row>
    <row r="5418" spans="1:6" x14ac:dyDescent="0.25">
      <c r="A5418">
        <v>4491</v>
      </c>
      <c r="B5418" t="s">
        <v>4072</v>
      </c>
      <c r="C5418">
        <v>4</v>
      </c>
      <c r="D5418" t="s">
        <v>4077</v>
      </c>
      <c r="E5418" t="s">
        <v>4078</v>
      </c>
      <c r="F5418" t="s">
        <v>4075</v>
      </c>
    </row>
    <row r="5419" spans="1:6" x14ac:dyDescent="0.25">
      <c r="A5419">
        <v>4491</v>
      </c>
      <c r="B5419" t="s">
        <v>4072</v>
      </c>
      <c r="C5419">
        <v>16</v>
      </c>
      <c r="D5419" t="s">
        <v>4077</v>
      </c>
      <c r="E5419" t="s">
        <v>4078</v>
      </c>
      <c r="F5419" t="s">
        <v>4076</v>
      </c>
    </row>
    <row r="5420" spans="1:6" x14ac:dyDescent="0.25">
      <c r="A5420">
        <v>4492</v>
      </c>
      <c r="B5420" t="s">
        <v>4072</v>
      </c>
      <c r="C5420">
        <v>6</v>
      </c>
      <c r="D5420" t="s">
        <v>4073</v>
      </c>
      <c r="E5420" t="s">
        <v>4074</v>
      </c>
      <c r="F5420" t="s">
        <v>4075</v>
      </c>
    </row>
    <row r="5421" spans="1:6" x14ac:dyDescent="0.25">
      <c r="A5421">
        <v>4492</v>
      </c>
      <c r="B5421" t="s">
        <v>4072</v>
      </c>
      <c r="C5421">
        <v>19</v>
      </c>
      <c r="D5421" t="s">
        <v>4073</v>
      </c>
      <c r="E5421" t="s">
        <v>4074</v>
      </c>
      <c r="F5421" t="s">
        <v>4076</v>
      </c>
    </row>
    <row r="5422" spans="1:6" x14ac:dyDescent="0.25">
      <c r="A5422">
        <v>4493</v>
      </c>
      <c r="B5422" t="s">
        <v>4072</v>
      </c>
      <c r="C5422">
        <v>6</v>
      </c>
      <c r="D5422" t="s">
        <v>4073</v>
      </c>
      <c r="E5422" t="s">
        <v>4074</v>
      </c>
      <c r="F5422" t="s">
        <v>4075</v>
      </c>
    </row>
    <row r="5423" spans="1:6" x14ac:dyDescent="0.25">
      <c r="A5423">
        <v>4493</v>
      </c>
      <c r="B5423" t="s">
        <v>4072</v>
      </c>
      <c r="C5423">
        <v>19</v>
      </c>
      <c r="D5423" t="s">
        <v>4073</v>
      </c>
      <c r="E5423" t="s">
        <v>4074</v>
      </c>
      <c r="F5423" t="s">
        <v>4076</v>
      </c>
    </row>
    <row r="5424" spans="1:6" x14ac:dyDescent="0.25">
      <c r="A5424">
        <v>4495</v>
      </c>
      <c r="B5424" t="s">
        <v>4072</v>
      </c>
      <c r="C5424">
        <v>5</v>
      </c>
      <c r="D5424" t="s">
        <v>4087</v>
      </c>
      <c r="E5424" t="s">
        <v>4088</v>
      </c>
      <c r="F5424" t="s">
        <v>4075</v>
      </c>
    </row>
    <row r="5425" spans="1:6" x14ac:dyDescent="0.25">
      <c r="A5425">
        <v>4495</v>
      </c>
      <c r="B5425" t="s">
        <v>4072</v>
      </c>
      <c r="C5425">
        <v>15</v>
      </c>
      <c r="D5425" t="s">
        <v>4080</v>
      </c>
      <c r="E5425" t="s">
        <v>4081</v>
      </c>
      <c r="F5425" t="s">
        <v>4076</v>
      </c>
    </row>
    <row r="5426" spans="1:6" x14ac:dyDescent="0.25">
      <c r="A5426">
        <v>4496</v>
      </c>
      <c r="B5426" t="s">
        <v>4072</v>
      </c>
      <c r="C5426">
        <v>19</v>
      </c>
      <c r="D5426" t="s">
        <v>4073</v>
      </c>
      <c r="E5426" t="s">
        <v>4074</v>
      </c>
      <c r="F5426" t="s">
        <v>4076</v>
      </c>
    </row>
    <row r="5427" spans="1:6" x14ac:dyDescent="0.25">
      <c r="A5427">
        <v>4496</v>
      </c>
      <c r="B5427" t="s">
        <v>4072</v>
      </c>
      <c r="C5427">
        <v>39</v>
      </c>
      <c r="D5427" t="s">
        <v>4073</v>
      </c>
      <c r="E5427" t="s">
        <v>4074</v>
      </c>
      <c r="F5427" t="s">
        <v>4079</v>
      </c>
    </row>
    <row r="5428" spans="1:6" x14ac:dyDescent="0.25">
      <c r="A5428">
        <v>4499</v>
      </c>
      <c r="B5428" t="s">
        <v>4112</v>
      </c>
      <c r="C5428">
        <v>53</v>
      </c>
      <c r="D5428" t="s">
        <v>2759</v>
      </c>
      <c r="E5428" t="s">
        <v>4117</v>
      </c>
      <c r="F5428" t="s">
        <v>4079</v>
      </c>
    </row>
    <row r="5429" spans="1:6" x14ac:dyDescent="0.25">
      <c r="A5429">
        <v>4500</v>
      </c>
      <c r="B5429" t="s">
        <v>4112</v>
      </c>
      <c r="C5429">
        <v>57</v>
      </c>
      <c r="D5429" t="s">
        <v>4118</v>
      </c>
      <c r="E5429" t="s">
        <v>4119</v>
      </c>
      <c r="F5429" t="s">
        <v>4079</v>
      </c>
    </row>
    <row r="5430" spans="1:6" x14ac:dyDescent="0.25">
      <c r="A5430">
        <v>4501</v>
      </c>
      <c r="B5430" t="s">
        <v>4112</v>
      </c>
      <c r="C5430">
        <v>55</v>
      </c>
      <c r="D5430" t="s">
        <v>4113</v>
      </c>
      <c r="E5430" t="s">
        <v>4114</v>
      </c>
      <c r="F5430" t="s">
        <v>4079</v>
      </c>
    </row>
    <row r="5431" spans="1:6" x14ac:dyDescent="0.25">
      <c r="A5431">
        <v>4503</v>
      </c>
      <c r="B5431" t="s">
        <v>4112</v>
      </c>
      <c r="C5431">
        <v>53</v>
      </c>
      <c r="D5431" t="s">
        <v>2759</v>
      </c>
      <c r="E5431" t="s">
        <v>4117</v>
      </c>
      <c r="F5431" t="s">
        <v>4079</v>
      </c>
    </row>
    <row r="5432" spans="1:6" x14ac:dyDescent="0.25">
      <c r="A5432">
        <v>4504</v>
      </c>
      <c r="B5432" t="s">
        <v>4072</v>
      </c>
      <c r="C5432">
        <v>39</v>
      </c>
      <c r="D5432" t="s">
        <v>4073</v>
      </c>
      <c r="E5432" t="s">
        <v>4074</v>
      </c>
      <c r="F5432" t="s">
        <v>4079</v>
      </c>
    </row>
    <row r="5433" spans="1:6" x14ac:dyDescent="0.25">
      <c r="A5433">
        <v>4505</v>
      </c>
      <c r="B5433" t="s">
        <v>4072</v>
      </c>
      <c r="C5433">
        <v>39</v>
      </c>
      <c r="D5433" t="s">
        <v>4073</v>
      </c>
      <c r="E5433" t="s">
        <v>4074</v>
      </c>
      <c r="F5433" t="s">
        <v>4079</v>
      </c>
    </row>
    <row r="5434" spans="1:6" x14ac:dyDescent="0.25">
      <c r="A5434">
        <v>4506</v>
      </c>
      <c r="B5434" t="s">
        <v>4112</v>
      </c>
      <c r="C5434">
        <v>53</v>
      </c>
      <c r="D5434" t="s">
        <v>2759</v>
      </c>
      <c r="E5434" t="s">
        <v>4117</v>
      </c>
      <c r="F5434" t="s">
        <v>4079</v>
      </c>
    </row>
    <row r="5435" spans="1:6" x14ac:dyDescent="0.25">
      <c r="A5435">
        <v>4507</v>
      </c>
      <c r="B5435" t="s">
        <v>4112</v>
      </c>
      <c r="C5435">
        <v>57</v>
      </c>
      <c r="D5435" t="s">
        <v>4118</v>
      </c>
      <c r="E5435" t="s">
        <v>4119</v>
      </c>
      <c r="F5435" t="s">
        <v>4079</v>
      </c>
    </row>
    <row r="5436" spans="1:6" x14ac:dyDescent="0.25">
      <c r="A5436">
        <v>4508</v>
      </c>
      <c r="B5436" t="s">
        <v>4112</v>
      </c>
      <c r="C5436">
        <v>57</v>
      </c>
      <c r="D5436" t="s">
        <v>4118</v>
      </c>
      <c r="E5436" t="s">
        <v>4119</v>
      </c>
      <c r="F5436" t="s">
        <v>4079</v>
      </c>
    </row>
    <row r="5437" spans="1:6" x14ac:dyDescent="0.25">
      <c r="A5437">
        <v>4509</v>
      </c>
      <c r="B5437" t="s">
        <v>4112</v>
      </c>
      <c r="C5437">
        <v>57</v>
      </c>
      <c r="D5437" t="s">
        <v>4118</v>
      </c>
      <c r="E5437" t="s">
        <v>4119</v>
      </c>
      <c r="F5437" t="s">
        <v>4079</v>
      </c>
    </row>
    <row r="5438" spans="1:6" x14ac:dyDescent="0.25">
      <c r="A5438">
        <v>4510</v>
      </c>
      <c r="B5438" t="s">
        <v>4112</v>
      </c>
      <c r="C5438">
        <v>58</v>
      </c>
      <c r="D5438" t="s">
        <v>4120</v>
      </c>
      <c r="E5438" t="s">
        <v>4121</v>
      </c>
      <c r="F5438" t="s">
        <v>4079</v>
      </c>
    </row>
    <row r="5439" spans="1:6" x14ac:dyDescent="0.25">
      <c r="A5439">
        <v>4511</v>
      </c>
      <c r="B5439" t="s">
        <v>4112</v>
      </c>
      <c r="C5439">
        <v>53</v>
      </c>
      <c r="D5439" t="s">
        <v>2759</v>
      </c>
      <c r="E5439" t="s">
        <v>4117</v>
      </c>
      <c r="F5439" t="s">
        <v>4079</v>
      </c>
    </row>
    <row r="5440" spans="1:6" x14ac:dyDescent="0.25">
      <c r="A5440">
        <v>4512</v>
      </c>
      <c r="B5440" t="s">
        <v>4112</v>
      </c>
      <c r="C5440">
        <v>53</v>
      </c>
      <c r="D5440" t="s">
        <v>2759</v>
      </c>
      <c r="E5440" t="s">
        <v>4117</v>
      </c>
      <c r="F5440" t="s">
        <v>4079</v>
      </c>
    </row>
    <row r="5441" spans="1:6" x14ac:dyDescent="0.25">
      <c r="A5441">
        <v>4514</v>
      </c>
      <c r="B5441" t="s">
        <v>4112</v>
      </c>
      <c r="C5441">
        <v>54</v>
      </c>
      <c r="D5441" t="s">
        <v>4122</v>
      </c>
      <c r="E5441" t="s">
        <v>4123</v>
      </c>
      <c r="F5441" t="s">
        <v>4079</v>
      </c>
    </row>
    <row r="5442" spans="1:6" x14ac:dyDescent="0.25">
      <c r="A5442">
        <v>4515</v>
      </c>
      <c r="B5442" t="s">
        <v>4112</v>
      </c>
      <c r="C5442">
        <v>54</v>
      </c>
      <c r="D5442" t="s">
        <v>4122</v>
      </c>
      <c r="E5442" t="s">
        <v>4123</v>
      </c>
      <c r="F5442" t="s">
        <v>4079</v>
      </c>
    </row>
    <row r="5443" spans="1:6" x14ac:dyDescent="0.25">
      <c r="A5443">
        <v>4516</v>
      </c>
      <c r="B5443" t="s">
        <v>4112</v>
      </c>
      <c r="C5443">
        <v>53</v>
      </c>
      <c r="D5443" t="s">
        <v>2759</v>
      </c>
      <c r="E5443" t="s">
        <v>4117</v>
      </c>
      <c r="F5443" t="s">
        <v>4079</v>
      </c>
    </row>
    <row r="5444" spans="1:6" x14ac:dyDescent="0.25">
      <c r="A5444">
        <v>4517</v>
      </c>
      <c r="B5444" t="s">
        <v>4112</v>
      </c>
      <c r="C5444">
        <v>53</v>
      </c>
      <c r="D5444" t="s">
        <v>2759</v>
      </c>
      <c r="E5444" t="s">
        <v>4117</v>
      </c>
      <c r="F5444" t="s">
        <v>4079</v>
      </c>
    </row>
    <row r="5445" spans="1:6" x14ac:dyDescent="0.25">
      <c r="A5445">
        <v>4518</v>
      </c>
      <c r="B5445" t="s">
        <v>4112</v>
      </c>
      <c r="C5445">
        <v>54</v>
      </c>
      <c r="D5445" t="s">
        <v>4122</v>
      </c>
      <c r="E5445" t="s">
        <v>4123</v>
      </c>
      <c r="F5445" t="s">
        <v>4079</v>
      </c>
    </row>
    <row r="5446" spans="1:6" x14ac:dyDescent="0.25">
      <c r="A5446">
        <v>4519</v>
      </c>
      <c r="B5446" t="s">
        <v>4112</v>
      </c>
      <c r="C5446">
        <v>53</v>
      </c>
      <c r="D5446" t="s">
        <v>2759</v>
      </c>
      <c r="E5446" t="s">
        <v>4117</v>
      </c>
      <c r="F5446" t="s">
        <v>4079</v>
      </c>
    </row>
    <row r="5447" spans="1:6" x14ac:dyDescent="0.25">
      <c r="A5447">
        <v>4521</v>
      </c>
      <c r="B5447" t="s">
        <v>4112</v>
      </c>
      <c r="C5447">
        <v>57</v>
      </c>
      <c r="D5447" t="s">
        <v>4118</v>
      </c>
      <c r="E5447" t="s">
        <v>4119</v>
      </c>
      <c r="F5447" t="s">
        <v>4079</v>
      </c>
    </row>
    <row r="5448" spans="1:6" x14ac:dyDescent="0.25">
      <c r="A5448">
        <v>4527</v>
      </c>
      <c r="B5448" t="s">
        <v>4092</v>
      </c>
      <c r="C5448">
        <v>52</v>
      </c>
      <c r="D5448" t="s">
        <v>4106</v>
      </c>
      <c r="E5448" t="s">
        <v>4107</v>
      </c>
      <c r="F5448" t="s">
        <v>4079</v>
      </c>
    </row>
    <row r="5449" spans="1:6" x14ac:dyDescent="0.25">
      <c r="A5449">
        <v>4528</v>
      </c>
      <c r="B5449" t="s">
        <v>4112</v>
      </c>
      <c r="C5449">
        <v>53</v>
      </c>
      <c r="D5449" t="s">
        <v>2759</v>
      </c>
      <c r="E5449" t="s">
        <v>4117</v>
      </c>
      <c r="F5449" t="s">
        <v>4079</v>
      </c>
    </row>
    <row r="5450" spans="1:6" x14ac:dyDescent="0.25">
      <c r="A5450">
        <v>4530</v>
      </c>
      <c r="B5450" t="s">
        <v>4072</v>
      </c>
      <c r="C5450">
        <v>39</v>
      </c>
      <c r="D5450" t="s">
        <v>4073</v>
      </c>
      <c r="E5450" t="s">
        <v>4074</v>
      </c>
      <c r="F5450" t="s">
        <v>4079</v>
      </c>
    </row>
    <row r="5451" spans="1:6" x14ac:dyDescent="0.25">
      <c r="A5451">
        <v>4531</v>
      </c>
      <c r="B5451" t="s">
        <v>4112</v>
      </c>
      <c r="C5451">
        <v>53</v>
      </c>
      <c r="D5451" t="s">
        <v>2759</v>
      </c>
      <c r="E5451" t="s">
        <v>4117</v>
      </c>
      <c r="F5451" t="s">
        <v>4079</v>
      </c>
    </row>
    <row r="5452" spans="1:6" x14ac:dyDescent="0.25">
      <c r="A5452">
        <v>4532</v>
      </c>
      <c r="B5452" t="s">
        <v>4112</v>
      </c>
      <c r="C5452">
        <v>53</v>
      </c>
      <c r="D5452" t="s">
        <v>2759</v>
      </c>
      <c r="E5452" t="s">
        <v>4117</v>
      </c>
      <c r="F5452" t="s">
        <v>4079</v>
      </c>
    </row>
    <row r="5453" spans="1:6" x14ac:dyDescent="0.25">
      <c r="A5453">
        <v>4533</v>
      </c>
      <c r="B5453" t="s">
        <v>4072</v>
      </c>
      <c r="C5453">
        <v>10</v>
      </c>
      <c r="D5453" t="s">
        <v>4095</v>
      </c>
      <c r="E5453" t="s">
        <v>4096</v>
      </c>
      <c r="F5453" t="s">
        <v>4075</v>
      </c>
    </row>
    <row r="5454" spans="1:6" x14ac:dyDescent="0.25">
      <c r="A5454">
        <v>4533</v>
      </c>
      <c r="B5454" t="s">
        <v>4072</v>
      </c>
      <c r="C5454">
        <v>12</v>
      </c>
      <c r="D5454" t="s">
        <v>2159</v>
      </c>
      <c r="E5454" t="s">
        <v>4094</v>
      </c>
      <c r="F5454" t="s">
        <v>4076</v>
      </c>
    </row>
    <row r="5455" spans="1:6" x14ac:dyDescent="0.25">
      <c r="A5455">
        <v>4533</v>
      </c>
      <c r="B5455" t="s">
        <v>4072</v>
      </c>
      <c r="C5455">
        <v>45</v>
      </c>
      <c r="D5455" t="s">
        <v>2159</v>
      </c>
      <c r="E5455" t="s">
        <v>4094</v>
      </c>
      <c r="F5455" t="s">
        <v>4079</v>
      </c>
    </row>
    <row r="5456" spans="1:6" x14ac:dyDescent="0.25">
      <c r="A5456">
        <v>4535</v>
      </c>
      <c r="B5456" t="s">
        <v>4092</v>
      </c>
      <c r="C5456">
        <v>33</v>
      </c>
      <c r="D5456" t="s">
        <v>4109</v>
      </c>
      <c r="E5456" t="s">
        <v>4110</v>
      </c>
      <c r="F5456" t="s">
        <v>4075</v>
      </c>
    </row>
    <row r="5457" spans="1:6" x14ac:dyDescent="0.25">
      <c r="A5457">
        <v>4536</v>
      </c>
      <c r="B5457" t="s">
        <v>4092</v>
      </c>
      <c r="C5457">
        <v>47</v>
      </c>
      <c r="D5457" t="s">
        <v>4104</v>
      </c>
      <c r="E5457" t="s">
        <v>4105</v>
      </c>
      <c r="F5457" t="s">
        <v>4079</v>
      </c>
    </row>
    <row r="5458" spans="1:6" x14ac:dyDescent="0.25">
      <c r="A5458">
        <v>4537</v>
      </c>
      <c r="B5458" t="s">
        <v>4092</v>
      </c>
      <c r="C5458">
        <v>27</v>
      </c>
      <c r="D5458" t="s">
        <v>4104</v>
      </c>
      <c r="E5458" t="s">
        <v>4105</v>
      </c>
      <c r="F5458" t="s">
        <v>4076</v>
      </c>
    </row>
    <row r="5459" spans="1:6" x14ac:dyDescent="0.25">
      <c r="A5459">
        <v>4538</v>
      </c>
      <c r="B5459" t="s">
        <v>4072</v>
      </c>
      <c r="C5459">
        <v>4</v>
      </c>
      <c r="D5459" t="s">
        <v>4077</v>
      </c>
      <c r="E5459" t="s">
        <v>4078</v>
      </c>
      <c r="F5459" t="s">
        <v>4075</v>
      </c>
    </row>
    <row r="5460" spans="1:6" x14ac:dyDescent="0.25">
      <c r="A5460">
        <v>4538</v>
      </c>
      <c r="B5460" t="s">
        <v>4072</v>
      </c>
      <c r="C5460">
        <v>16</v>
      </c>
      <c r="D5460" t="s">
        <v>4077</v>
      </c>
      <c r="E5460" t="s">
        <v>4078</v>
      </c>
      <c r="F5460" t="s">
        <v>4076</v>
      </c>
    </row>
    <row r="5461" spans="1:6" x14ac:dyDescent="0.25">
      <c r="A5461">
        <v>4539</v>
      </c>
      <c r="B5461" t="s">
        <v>4072</v>
      </c>
      <c r="C5461">
        <v>15</v>
      </c>
      <c r="D5461" t="s">
        <v>4080</v>
      </c>
      <c r="E5461" t="s">
        <v>4081</v>
      </c>
      <c r="F5461" t="s">
        <v>4076</v>
      </c>
    </row>
    <row r="5462" spans="1:6" x14ac:dyDescent="0.25">
      <c r="A5462">
        <v>4539</v>
      </c>
      <c r="B5462" t="s">
        <v>4072</v>
      </c>
      <c r="C5462">
        <v>40</v>
      </c>
      <c r="D5462" t="s">
        <v>4080</v>
      </c>
      <c r="E5462" t="s">
        <v>4081</v>
      </c>
      <c r="F5462" t="s">
        <v>4079</v>
      </c>
    </row>
    <row r="5463" spans="1:6" x14ac:dyDescent="0.25">
      <c r="A5463">
        <v>4540</v>
      </c>
      <c r="B5463" t="s">
        <v>4072</v>
      </c>
      <c r="C5463">
        <v>6</v>
      </c>
      <c r="D5463" t="s">
        <v>4073</v>
      </c>
      <c r="E5463" t="s">
        <v>4074</v>
      </c>
      <c r="F5463" t="s">
        <v>4075</v>
      </c>
    </row>
    <row r="5464" spans="1:6" x14ac:dyDescent="0.25">
      <c r="A5464">
        <v>4540</v>
      </c>
      <c r="B5464" t="s">
        <v>4072</v>
      </c>
      <c r="C5464">
        <v>19</v>
      </c>
      <c r="D5464" t="s">
        <v>4073</v>
      </c>
      <c r="E5464" t="s">
        <v>4074</v>
      </c>
      <c r="F5464" t="s">
        <v>4076</v>
      </c>
    </row>
    <row r="5465" spans="1:6" x14ac:dyDescent="0.25">
      <c r="A5465">
        <v>4541</v>
      </c>
      <c r="B5465" t="s">
        <v>4072</v>
      </c>
      <c r="C5465">
        <v>19</v>
      </c>
      <c r="D5465" t="s">
        <v>4073</v>
      </c>
      <c r="E5465" t="s">
        <v>4074</v>
      </c>
      <c r="F5465" t="s">
        <v>4076</v>
      </c>
    </row>
    <row r="5466" spans="1:6" x14ac:dyDescent="0.25">
      <c r="A5466">
        <v>4542</v>
      </c>
      <c r="B5466" t="s">
        <v>4072</v>
      </c>
      <c r="C5466">
        <v>2</v>
      </c>
      <c r="D5466" t="s">
        <v>4082</v>
      </c>
      <c r="E5466" t="s">
        <v>4083</v>
      </c>
      <c r="F5466" t="s">
        <v>4075</v>
      </c>
    </row>
    <row r="5467" spans="1:6" x14ac:dyDescent="0.25">
      <c r="A5467">
        <v>4542</v>
      </c>
      <c r="B5467" t="s">
        <v>4072</v>
      </c>
      <c r="C5467">
        <v>17</v>
      </c>
      <c r="D5467" t="s">
        <v>4082</v>
      </c>
      <c r="E5467" t="s">
        <v>4084</v>
      </c>
      <c r="F5467" t="s">
        <v>4076</v>
      </c>
    </row>
    <row r="5468" spans="1:6" x14ac:dyDescent="0.25">
      <c r="A5468">
        <v>4543</v>
      </c>
      <c r="B5468" t="s">
        <v>4072</v>
      </c>
      <c r="C5468">
        <v>3</v>
      </c>
      <c r="D5468" t="s">
        <v>4085</v>
      </c>
      <c r="E5468" t="s">
        <v>4086</v>
      </c>
      <c r="F5468" t="s">
        <v>4075</v>
      </c>
    </row>
    <row r="5469" spans="1:6" x14ac:dyDescent="0.25">
      <c r="A5469">
        <v>4543</v>
      </c>
      <c r="B5469" t="s">
        <v>4072</v>
      </c>
      <c r="C5469">
        <v>15</v>
      </c>
      <c r="D5469" t="s">
        <v>4080</v>
      </c>
      <c r="E5469" t="s">
        <v>4081</v>
      </c>
      <c r="F5469" t="s">
        <v>4076</v>
      </c>
    </row>
    <row r="5470" spans="1:6" x14ac:dyDescent="0.25">
      <c r="A5470">
        <v>4544</v>
      </c>
      <c r="B5470" t="s">
        <v>4072</v>
      </c>
      <c r="C5470">
        <v>5</v>
      </c>
      <c r="D5470" t="s">
        <v>4087</v>
      </c>
      <c r="E5470" t="s">
        <v>4088</v>
      </c>
      <c r="F5470" t="s">
        <v>4075</v>
      </c>
    </row>
    <row r="5471" spans="1:6" x14ac:dyDescent="0.25">
      <c r="A5471">
        <v>4544</v>
      </c>
      <c r="B5471" t="s">
        <v>4072</v>
      </c>
      <c r="C5471">
        <v>15</v>
      </c>
      <c r="D5471" t="s">
        <v>4080</v>
      </c>
      <c r="E5471" t="s">
        <v>4081</v>
      </c>
      <c r="F5471" t="s">
        <v>4076</v>
      </c>
    </row>
    <row r="5472" spans="1:6" x14ac:dyDescent="0.25">
      <c r="A5472">
        <v>4545</v>
      </c>
      <c r="B5472" t="s">
        <v>4072</v>
      </c>
      <c r="C5472">
        <v>6</v>
      </c>
      <c r="D5472" t="s">
        <v>4073</v>
      </c>
      <c r="E5472" t="s">
        <v>4074</v>
      </c>
      <c r="F5472" t="s">
        <v>4075</v>
      </c>
    </row>
    <row r="5473" spans="1:6" x14ac:dyDescent="0.25">
      <c r="A5473">
        <v>4545</v>
      </c>
      <c r="B5473" t="s">
        <v>4072</v>
      </c>
      <c r="C5473">
        <v>19</v>
      </c>
      <c r="D5473" t="s">
        <v>4073</v>
      </c>
      <c r="E5473" t="s">
        <v>4074</v>
      </c>
      <c r="F5473" t="s">
        <v>4076</v>
      </c>
    </row>
    <row r="5474" spans="1:6" x14ac:dyDescent="0.25">
      <c r="A5474">
        <v>4545</v>
      </c>
      <c r="B5474" t="s">
        <v>4112</v>
      </c>
      <c r="C5474">
        <v>55</v>
      </c>
      <c r="D5474" t="s">
        <v>4113</v>
      </c>
      <c r="E5474" t="s">
        <v>4114</v>
      </c>
      <c r="F5474" t="s">
        <v>4079</v>
      </c>
    </row>
    <row r="5475" spans="1:6" x14ac:dyDescent="0.25">
      <c r="A5475">
        <v>4546</v>
      </c>
      <c r="B5475" t="s">
        <v>4072</v>
      </c>
      <c r="C5475">
        <v>4</v>
      </c>
      <c r="D5475" t="s">
        <v>4077</v>
      </c>
      <c r="E5475" t="s">
        <v>4078</v>
      </c>
      <c r="F5475" t="s">
        <v>4075</v>
      </c>
    </row>
    <row r="5476" spans="1:6" x14ac:dyDescent="0.25">
      <c r="A5476">
        <v>4546</v>
      </c>
      <c r="B5476" t="s">
        <v>4072</v>
      </c>
      <c r="C5476">
        <v>16</v>
      </c>
      <c r="D5476" t="s">
        <v>4077</v>
      </c>
      <c r="E5476" t="s">
        <v>4078</v>
      </c>
      <c r="F5476" t="s">
        <v>4076</v>
      </c>
    </row>
    <row r="5477" spans="1:6" x14ac:dyDescent="0.25">
      <c r="A5477">
        <v>4547</v>
      </c>
      <c r="B5477" t="s">
        <v>4072</v>
      </c>
      <c r="C5477">
        <v>4</v>
      </c>
      <c r="D5477" t="s">
        <v>4077</v>
      </c>
      <c r="E5477" t="s">
        <v>4078</v>
      </c>
      <c r="F5477" t="s">
        <v>4075</v>
      </c>
    </row>
    <row r="5478" spans="1:6" x14ac:dyDescent="0.25">
      <c r="A5478">
        <v>4547</v>
      </c>
      <c r="B5478" t="s">
        <v>4072</v>
      </c>
      <c r="C5478">
        <v>16</v>
      </c>
      <c r="D5478" t="s">
        <v>4077</v>
      </c>
      <c r="E5478" t="s">
        <v>4078</v>
      </c>
      <c r="F5478" t="s">
        <v>4076</v>
      </c>
    </row>
    <row r="5479" spans="1:6" x14ac:dyDescent="0.25">
      <c r="A5479">
        <v>4548</v>
      </c>
      <c r="B5479" t="s">
        <v>4092</v>
      </c>
      <c r="C5479">
        <v>24</v>
      </c>
      <c r="D5479" t="s">
        <v>2760</v>
      </c>
      <c r="E5479" t="s">
        <v>4108</v>
      </c>
      <c r="F5479" t="s">
        <v>4075</v>
      </c>
    </row>
    <row r="5480" spans="1:6" x14ac:dyDescent="0.25">
      <c r="A5480">
        <v>4548</v>
      </c>
      <c r="B5480" t="s">
        <v>4092</v>
      </c>
      <c r="C5480">
        <v>29</v>
      </c>
      <c r="D5480" t="s">
        <v>2760</v>
      </c>
      <c r="E5480" t="s">
        <v>4108</v>
      </c>
      <c r="F5480" t="s">
        <v>4076</v>
      </c>
    </row>
    <row r="5481" spans="1:6" x14ac:dyDescent="0.25">
      <c r="A5481">
        <v>4551</v>
      </c>
      <c r="B5481" t="s">
        <v>4072</v>
      </c>
      <c r="C5481">
        <v>4</v>
      </c>
      <c r="D5481" t="s">
        <v>4077</v>
      </c>
      <c r="E5481" t="s">
        <v>4078</v>
      </c>
      <c r="F5481" t="s">
        <v>4075</v>
      </c>
    </row>
    <row r="5482" spans="1:6" x14ac:dyDescent="0.25">
      <c r="A5482">
        <v>4551</v>
      </c>
      <c r="B5482" t="s">
        <v>4072</v>
      </c>
      <c r="C5482">
        <v>16</v>
      </c>
      <c r="D5482" t="s">
        <v>4077</v>
      </c>
      <c r="E5482" t="s">
        <v>4078</v>
      </c>
      <c r="F5482" t="s">
        <v>4076</v>
      </c>
    </row>
    <row r="5483" spans="1:6" x14ac:dyDescent="0.25">
      <c r="A5483">
        <v>4552</v>
      </c>
      <c r="B5483" t="s">
        <v>4072</v>
      </c>
      <c r="C5483">
        <v>3</v>
      </c>
      <c r="D5483" t="s">
        <v>4085</v>
      </c>
      <c r="E5483" t="s">
        <v>4086</v>
      </c>
      <c r="F5483" t="s">
        <v>4075</v>
      </c>
    </row>
    <row r="5484" spans="1:6" x14ac:dyDescent="0.25">
      <c r="A5484">
        <v>4552</v>
      </c>
      <c r="B5484" t="s">
        <v>4072</v>
      </c>
      <c r="C5484">
        <v>15</v>
      </c>
      <c r="D5484" t="s">
        <v>4080</v>
      </c>
      <c r="E5484" t="s">
        <v>4081</v>
      </c>
      <c r="F5484" t="s">
        <v>4076</v>
      </c>
    </row>
    <row r="5485" spans="1:6" x14ac:dyDescent="0.25">
      <c r="A5485">
        <v>4553</v>
      </c>
      <c r="B5485" t="s">
        <v>4072</v>
      </c>
      <c r="C5485">
        <v>4</v>
      </c>
      <c r="D5485" t="s">
        <v>4077</v>
      </c>
      <c r="E5485" t="s">
        <v>4078</v>
      </c>
      <c r="F5485" t="s">
        <v>4075</v>
      </c>
    </row>
    <row r="5486" spans="1:6" x14ac:dyDescent="0.25">
      <c r="A5486">
        <v>4553</v>
      </c>
      <c r="B5486" t="s">
        <v>4072</v>
      </c>
      <c r="C5486">
        <v>16</v>
      </c>
      <c r="D5486" t="s">
        <v>4077</v>
      </c>
      <c r="E5486" t="s">
        <v>4078</v>
      </c>
      <c r="F5486" t="s">
        <v>4076</v>
      </c>
    </row>
    <row r="5487" spans="1:6" x14ac:dyDescent="0.25">
      <c r="A5487">
        <v>4554</v>
      </c>
      <c r="B5487" t="s">
        <v>4072</v>
      </c>
      <c r="C5487">
        <v>5</v>
      </c>
      <c r="D5487" t="s">
        <v>4087</v>
      </c>
      <c r="E5487" t="s">
        <v>4088</v>
      </c>
      <c r="F5487" t="s">
        <v>4075</v>
      </c>
    </row>
    <row r="5488" spans="1:6" x14ac:dyDescent="0.25">
      <c r="A5488">
        <v>4554</v>
      </c>
      <c r="B5488" t="s">
        <v>4072</v>
      </c>
      <c r="C5488">
        <v>15</v>
      </c>
      <c r="D5488" t="s">
        <v>4080</v>
      </c>
      <c r="E5488" t="s">
        <v>4081</v>
      </c>
      <c r="F5488" t="s">
        <v>4076</v>
      </c>
    </row>
    <row r="5489" spans="1:6" x14ac:dyDescent="0.25">
      <c r="A5489">
        <v>4554</v>
      </c>
      <c r="B5489" t="s">
        <v>4072</v>
      </c>
      <c r="C5489">
        <v>40</v>
      </c>
      <c r="D5489" t="s">
        <v>4080</v>
      </c>
      <c r="E5489" t="s">
        <v>4081</v>
      </c>
      <c r="F5489" t="s">
        <v>4079</v>
      </c>
    </row>
    <row r="5490" spans="1:6" x14ac:dyDescent="0.25">
      <c r="A5490">
        <v>4555</v>
      </c>
      <c r="B5490" t="s">
        <v>4072</v>
      </c>
      <c r="C5490">
        <v>3</v>
      </c>
      <c r="D5490" t="s">
        <v>4085</v>
      </c>
      <c r="E5490" t="s">
        <v>4086</v>
      </c>
      <c r="F5490" t="s">
        <v>4075</v>
      </c>
    </row>
    <row r="5491" spans="1:6" x14ac:dyDescent="0.25">
      <c r="A5491">
        <v>4555</v>
      </c>
      <c r="B5491" t="s">
        <v>4072</v>
      </c>
      <c r="C5491">
        <v>15</v>
      </c>
      <c r="D5491" t="s">
        <v>4080</v>
      </c>
      <c r="E5491" t="s">
        <v>4081</v>
      </c>
      <c r="F5491" t="s">
        <v>4076</v>
      </c>
    </row>
    <row r="5492" spans="1:6" x14ac:dyDescent="0.25">
      <c r="A5492">
        <v>4556</v>
      </c>
      <c r="B5492" t="s">
        <v>4072</v>
      </c>
      <c r="C5492">
        <v>2</v>
      </c>
      <c r="D5492" t="s">
        <v>4082</v>
      </c>
      <c r="E5492" t="s">
        <v>4083</v>
      </c>
      <c r="F5492" t="s">
        <v>4075</v>
      </c>
    </row>
    <row r="5493" spans="1:6" x14ac:dyDescent="0.25">
      <c r="A5493">
        <v>4556</v>
      </c>
      <c r="B5493" t="s">
        <v>4072</v>
      </c>
      <c r="C5493">
        <v>17</v>
      </c>
      <c r="D5493" t="s">
        <v>4082</v>
      </c>
      <c r="E5493" t="s">
        <v>4084</v>
      </c>
      <c r="F5493" t="s">
        <v>4076</v>
      </c>
    </row>
    <row r="5494" spans="1:6" x14ac:dyDescent="0.25">
      <c r="A5494">
        <v>4556</v>
      </c>
      <c r="B5494" t="s">
        <v>4072</v>
      </c>
      <c r="C5494">
        <v>42</v>
      </c>
      <c r="D5494" t="s">
        <v>4082</v>
      </c>
      <c r="E5494" t="s">
        <v>4083</v>
      </c>
      <c r="F5494" t="s">
        <v>4079</v>
      </c>
    </row>
    <row r="5495" spans="1:6" x14ac:dyDescent="0.25">
      <c r="A5495">
        <v>4557</v>
      </c>
      <c r="B5495" t="s">
        <v>4072</v>
      </c>
      <c r="C5495">
        <v>4</v>
      </c>
      <c r="D5495" t="s">
        <v>4077</v>
      </c>
      <c r="E5495" t="s">
        <v>4078</v>
      </c>
      <c r="F5495" t="s">
        <v>4075</v>
      </c>
    </row>
    <row r="5496" spans="1:6" x14ac:dyDescent="0.25">
      <c r="A5496">
        <v>4557</v>
      </c>
      <c r="B5496" t="s">
        <v>4072</v>
      </c>
      <c r="C5496">
        <v>44</v>
      </c>
      <c r="D5496" t="s">
        <v>4077</v>
      </c>
      <c r="E5496" t="s">
        <v>4078</v>
      </c>
      <c r="F5496" t="s">
        <v>4079</v>
      </c>
    </row>
    <row r="5497" spans="1:6" x14ac:dyDescent="0.25">
      <c r="A5497">
        <v>4558</v>
      </c>
      <c r="B5497" t="s">
        <v>4072</v>
      </c>
      <c r="C5497">
        <v>5</v>
      </c>
      <c r="D5497" t="s">
        <v>4087</v>
      </c>
      <c r="E5497" t="s">
        <v>4088</v>
      </c>
      <c r="F5497" t="s">
        <v>4075</v>
      </c>
    </row>
    <row r="5498" spans="1:6" x14ac:dyDescent="0.25">
      <c r="A5498">
        <v>4558</v>
      </c>
      <c r="B5498" t="s">
        <v>4072</v>
      </c>
      <c r="C5498">
        <v>15</v>
      </c>
      <c r="D5498" t="s">
        <v>4080</v>
      </c>
      <c r="E5498" t="s">
        <v>4081</v>
      </c>
      <c r="F5498" t="s">
        <v>4076</v>
      </c>
    </row>
    <row r="5499" spans="1:6" x14ac:dyDescent="0.25">
      <c r="A5499">
        <v>4560</v>
      </c>
      <c r="B5499" t="s">
        <v>4072</v>
      </c>
      <c r="C5499">
        <v>6</v>
      </c>
      <c r="D5499" t="s">
        <v>4073</v>
      </c>
      <c r="E5499" t="s">
        <v>4074</v>
      </c>
      <c r="F5499" t="s">
        <v>4075</v>
      </c>
    </row>
    <row r="5500" spans="1:6" x14ac:dyDescent="0.25">
      <c r="A5500">
        <v>4560</v>
      </c>
      <c r="B5500" t="s">
        <v>4072</v>
      </c>
      <c r="C5500">
        <v>19</v>
      </c>
      <c r="D5500" t="s">
        <v>4073</v>
      </c>
      <c r="E5500" t="s">
        <v>4074</v>
      </c>
      <c r="F5500" t="s">
        <v>4076</v>
      </c>
    </row>
    <row r="5501" spans="1:6" x14ac:dyDescent="0.25">
      <c r="A5501">
        <v>4561</v>
      </c>
      <c r="B5501" t="s">
        <v>4072</v>
      </c>
      <c r="C5501">
        <v>2</v>
      </c>
      <c r="D5501" t="s">
        <v>4082</v>
      </c>
      <c r="E5501" t="s">
        <v>4083</v>
      </c>
      <c r="F5501" t="s">
        <v>4075</v>
      </c>
    </row>
    <row r="5502" spans="1:6" x14ac:dyDescent="0.25">
      <c r="A5502">
        <v>4561</v>
      </c>
      <c r="B5502" t="s">
        <v>4072</v>
      </c>
      <c r="C5502">
        <v>17</v>
      </c>
      <c r="D5502" t="s">
        <v>4082</v>
      </c>
      <c r="E5502" t="s">
        <v>4084</v>
      </c>
      <c r="F5502" t="s">
        <v>4076</v>
      </c>
    </row>
    <row r="5503" spans="1:6" x14ac:dyDescent="0.25">
      <c r="A5503">
        <v>4562</v>
      </c>
      <c r="B5503" t="s">
        <v>4072</v>
      </c>
      <c r="C5503">
        <v>10</v>
      </c>
      <c r="D5503" t="s">
        <v>4095</v>
      </c>
      <c r="E5503" t="s">
        <v>4096</v>
      </c>
      <c r="F5503" t="s">
        <v>4075</v>
      </c>
    </row>
    <row r="5504" spans="1:6" x14ac:dyDescent="0.25">
      <c r="A5504">
        <v>4563</v>
      </c>
      <c r="B5504" t="s">
        <v>4072</v>
      </c>
      <c r="C5504">
        <v>3</v>
      </c>
      <c r="D5504" t="s">
        <v>4085</v>
      </c>
      <c r="E5504" t="s">
        <v>4086</v>
      </c>
      <c r="F5504" t="s">
        <v>4075</v>
      </c>
    </row>
    <row r="5505" spans="1:6" x14ac:dyDescent="0.25">
      <c r="A5505">
        <v>4563</v>
      </c>
      <c r="B5505" t="s">
        <v>4072</v>
      </c>
      <c r="C5505">
        <v>15</v>
      </c>
      <c r="D5505" t="s">
        <v>4080</v>
      </c>
      <c r="E5505" t="s">
        <v>4081</v>
      </c>
      <c r="F5505" t="s">
        <v>4076</v>
      </c>
    </row>
    <row r="5506" spans="1:6" x14ac:dyDescent="0.25">
      <c r="A5506">
        <v>4564</v>
      </c>
      <c r="B5506" t="s">
        <v>4072</v>
      </c>
      <c r="C5506">
        <v>4</v>
      </c>
      <c r="D5506" t="s">
        <v>4077</v>
      </c>
      <c r="E5506" t="s">
        <v>4078</v>
      </c>
      <c r="F5506" t="s">
        <v>4075</v>
      </c>
    </row>
    <row r="5507" spans="1:6" x14ac:dyDescent="0.25">
      <c r="A5507">
        <v>4564</v>
      </c>
      <c r="B5507" t="s">
        <v>4072</v>
      </c>
      <c r="C5507">
        <v>16</v>
      </c>
      <c r="D5507" t="s">
        <v>4077</v>
      </c>
      <c r="E5507" t="s">
        <v>4078</v>
      </c>
      <c r="F5507" t="s">
        <v>4076</v>
      </c>
    </row>
    <row r="5508" spans="1:6" x14ac:dyDescent="0.25">
      <c r="A5508">
        <v>4565</v>
      </c>
      <c r="B5508" t="s">
        <v>4072</v>
      </c>
      <c r="C5508">
        <v>5</v>
      </c>
      <c r="D5508" t="s">
        <v>4087</v>
      </c>
      <c r="E5508" t="s">
        <v>4088</v>
      </c>
      <c r="F5508" t="s">
        <v>4075</v>
      </c>
    </row>
    <row r="5509" spans="1:6" x14ac:dyDescent="0.25">
      <c r="A5509">
        <v>4565</v>
      </c>
      <c r="B5509" t="s">
        <v>4072</v>
      </c>
      <c r="C5509">
        <v>15</v>
      </c>
      <c r="D5509" t="s">
        <v>4080</v>
      </c>
      <c r="E5509" t="s">
        <v>4081</v>
      </c>
      <c r="F5509" t="s">
        <v>4076</v>
      </c>
    </row>
    <row r="5510" spans="1:6" x14ac:dyDescent="0.25">
      <c r="A5510">
        <v>4566</v>
      </c>
      <c r="B5510" t="s">
        <v>4072</v>
      </c>
      <c r="C5510">
        <v>5</v>
      </c>
      <c r="D5510" t="s">
        <v>4087</v>
      </c>
      <c r="E5510" t="s">
        <v>4088</v>
      </c>
      <c r="F5510" t="s">
        <v>4075</v>
      </c>
    </row>
    <row r="5511" spans="1:6" x14ac:dyDescent="0.25">
      <c r="A5511">
        <v>4566</v>
      </c>
      <c r="B5511" t="s">
        <v>4072</v>
      </c>
      <c r="C5511">
        <v>15</v>
      </c>
      <c r="D5511" t="s">
        <v>4080</v>
      </c>
      <c r="E5511" t="s">
        <v>4081</v>
      </c>
      <c r="F5511" t="s">
        <v>4076</v>
      </c>
    </row>
    <row r="5512" spans="1:6" x14ac:dyDescent="0.25">
      <c r="A5512">
        <v>4566</v>
      </c>
      <c r="B5512" t="s">
        <v>4072</v>
      </c>
      <c r="C5512">
        <v>40</v>
      </c>
      <c r="D5512" t="s">
        <v>4080</v>
      </c>
      <c r="E5512" t="s">
        <v>4081</v>
      </c>
      <c r="F5512" t="s">
        <v>4079</v>
      </c>
    </row>
    <row r="5513" spans="1:6" x14ac:dyDescent="0.25">
      <c r="A5513">
        <v>4567</v>
      </c>
      <c r="B5513" t="s">
        <v>4072</v>
      </c>
      <c r="C5513">
        <v>3</v>
      </c>
      <c r="D5513" t="s">
        <v>4085</v>
      </c>
      <c r="E5513" t="s">
        <v>4086</v>
      </c>
      <c r="F5513" t="s">
        <v>4075</v>
      </c>
    </row>
    <row r="5514" spans="1:6" x14ac:dyDescent="0.25">
      <c r="A5514">
        <v>4567</v>
      </c>
      <c r="B5514" t="s">
        <v>4072</v>
      </c>
      <c r="C5514">
        <v>15</v>
      </c>
      <c r="D5514" t="s">
        <v>4080</v>
      </c>
      <c r="E5514" t="s">
        <v>4081</v>
      </c>
      <c r="F5514" t="s">
        <v>4076</v>
      </c>
    </row>
    <row r="5515" spans="1:6" x14ac:dyDescent="0.25">
      <c r="A5515">
        <v>4568</v>
      </c>
      <c r="B5515" t="s">
        <v>4072</v>
      </c>
      <c r="C5515">
        <v>5</v>
      </c>
      <c r="D5515" t="s">
        <v>4087</v>
      </c>
      <c r="E5515" t="s">
        <v>4088</v>
      </c>
      <c r="F5515" t="s">
        <v>4075</v>
      </c>
    </row>
    <row r="5516" spans="1:6" x14ac:dyDescent="0.25">
      <c r="A5516">
        <v>4568</v>
      </c>
      <c r="B5516" t="s">
        <v>4072</v>
      </c>
      <c r="C5516">
        <v>15</v>
      </c>
      <c r="D5516" t="s">
        <v>4080</v>
      </c>
      <c r="E5516" t="s">
        <v>4081</v>
      </c>
      <c r="F5516" t="s">
        <v>4076</v>
      </c>
    </row>
    <row r="5517" spans="1:6" x14ac:dyDescent="0.25">
      <c r="A5517">
        <v>4569</v>
      </c>
      <c r="B5517" t="s">
        <v>4072</v>
      </c>
      <c r="C5517">
        <v>5</v>
      </c>
      <c r="D5517" t="s">
        <v>4087</v>
      </c>
      <c r="E5517" t="s">
        <v>4088</v>
      </c>
      <c r="F5517" t="s">
        <v>4075</v>
      </c>
    </row>
    <row r="5518" spans="1:6" x14ac:dyDescent="0.25">
      <c r="A5518">
        <v>4569</v>
      </c>
      <c r="B5518" t="s">
        <v>4072</v>
      </c>
      <c r="C5518">
        <v>15</v>
      </c>
      <c r="D5518" t="s">
        <v>4080</v>
      </c>
      <c r="E5518" t="s">
        <v>4081</v>
      </c>
      <c r="F5518" t="s">
        <v>4076</v>
      </c>
    </row>
    <row r="5519" spans="1:6" x14ac:dyDescent="0.25">
      <c r="A5519">
        <v>4570</v>
      </c>
      <c r="B5519" t="s">
        <v>4072</v>
      </c>
      <c r="C5519">
        <v>5</v>
      </c>
      <c r="D5519" t="s">
        <v>4087</v>
      </c>
      <c r="E5519" t="s">
        <v>4088</v>
      </c>
      <c r="F5519" t="s">
        <v>4075</v>
      </c>
    </row>
    <row r="5520" spans="1:6" x14ac:dyDescent="0.25">
      <c r="A5520">
        <v>4570</v>
      </c>
      <c r="B5520" t="s">
        <v>4072</v>
      </c>
      <c r="C5520">
        <v>15</v>
      </c>
      <c r="D5520" t="s">
        <v>4080</v>
      </c>
      <c r="E5520" t="s">
        <v>4081</v>
      </c>
      <c r="F5520" t="s">
        <v>4076</v>
      </c>
    </row>
    <row r="5521" spans="1:6" x14ac:dyDescent="0.25">
      <c r="A5521">
        <v>4571</v>
      </c>
      <c r="B5521" t="s">
        <v>4072</v>
      </c>
      <c r="C5521">
        <v>4</v>
      </c>
      <c r="D5521" t="s">
        <v>4077</v>
      </c>
      <c r="E5521" t="s">
        <v>4078</v>
      </c>
      <c r="F5521" t="s">
        <v>4075</v>
      </c>
    </row>
    <row r="5522" spans="1:6" x14ac:dyDescent="0.25">
      <c r="A5522">
        <v>4571</v>
      </c>
      <c r="B5522" t="s">
        <v>4072</v>
      </c>
      <c r="C5522">
        <v>16</v>
      </c>
      <c r="D5522" t="s">
        <v>4077</v>
      </c>
      <c r="E5522" t="s">
        <v>4078</v>
      </c>
      <c r="F5522" t="s">
        <v>4076</v>
      </c>
    </row>
    <row r="5523" spans="1:6" x14ac:dyDescent="0.25">
      <c r="A5523">
        <v>4572</v>
      </c>
      <c r="B5523" t="s">
        <v>4072</v>
      </c>
      <c r="C5523">
        <v>2</v>
      </c>
      <c r="D5523" t="s">
        <v>4082</v>
      </c>
      <c r="E5523" t="s">
        <v>4083</v>
      </c>
      <c r="F5523" t="s">
        <v>4075</v>
      </c>
    </row>
    <row r="5524" spans="1:6" x14ac:dyDescent="0.25">
      <c r="A5524">
        <v>4572</v>
      </c>
      <c r="B5524" t="s">
        <v>4072</v>
      </c>
      <c r="C5524">
        <v>17</v>
      </c>
      <c r="D5524" t="s">
        <v>4082</v>
      </c>
      <c r="E5524" t="s">
        <v>4084</v>
      </c>
      <c r="F5524" t="s">
        <v>4076</v>
      </c>
    </row>
    <row r="5525" spans="1:6" x14ac:dyDescent="0.25">
      <c r="A5525">
        <v>4573</v>
      </c>
      <c r="B5525" t="s">
        <v>4092</v>
      </c>
      <c r="C5525">
        <v>24</v>
      </c>
      <c r="D5525" t="s">
        <v>2760</v>
      </c>
      <c r="E5525" t="s">
        <v>4108</v>
      </c>
      <c r="F5525" t="s">
        <v>4075</v>
      </c>
    </row>
    <row r="5526" spans="1:6" x14ac:dyDescent="0.25">
      <c r="A5526">
        <v>4573</v>
      </c>
      <c r="B5526" t="s">
        <v>4092</v>
      </c>
      <c r="C5526">
        <v>29</v>
      </c>
      <c r="D5526" t="s">
        <v>2760</v>
      </c>
      <c r="E5526" t="s">
        <v>4108</v>
      </c>
      <c r="F5526" t="s">
        <v>4076</v>
      </c>
    </row>
    <row r="5527" spans="1:6" x14ac:dyDescent="0.25">
      <c r="A5527">
        <v>4581</v>
      </c>
      <c r="B5527" t="s">
        <v>4092</v>
      </c>
      <c r="C5527">
        <v>29</v>
      </c>
      <c r="D5527" t="s">
        <v>2760</v>
      </c>
      <c r="E5527" t="s">
        <v>4108</v>
      </c>
      <c r="F5527" t="s">
        <v>4076</v>
      </c>
    </row>
    <row r="5528" spans="1:6" x14ac:dyDescent="0.25">
      <c r="A5528">
        <v>4581</v>
      </c>
      <c r="B5528" t="s">
        <v>4092</v>
      </c>
      <c r="C5528">
        <v>49</v>
      </c>
      <c r="D5528" t="s">
        <v>2760</v>
      </c>
      <c r="E5528" t="s">
        <v>4108</v>
      </c>
      <c r="F5528" t="s">
        <v>4079</v>
      </c>
    </row>
    <row r="5529" spans="1:6" x14ac:dyDescent="0.25">
      <c r="A5529">
        <v>4582</v>
      </c>
      <c r="B5529" t="s">
        <v>4072</v>
      </c>
      <c r="C5529">
        <v>19</v>
      </c>
      <c r="D5529" t="s">
        <v>4073</v>
      </c>
      <c r="E5529" t="s">
        <v>4074</v>
      </c>
      <c r="F5529" t="s">
        <v>4076</v>
      </c>
    </row>
    <row r="5530" spans="1:6" x14ac:dyDescent="0.25">
      <c r="A5530">
        <v>4582</v>
      </c>
      <c r="B5530" t="s">
        <v>4112</v>
      </c>
      <c r="C5530">
        <v>55</v>
      </c>
      <c r="D5530" t="s">
        <v>4113</v>
      </c>
      <c r="E5530" t="s">
        <v>4114</v>
      </c>
      <c r="F5530" t="s">
        <v>4079</v>
      </c>
    </row>
    <row r="5531" spans="1:6" x14ac:dyDescent="0.25">
      <c r="A5531">
        <v>4583</v>
      </c>
      <c r="B5531" t="s">
        <v>4072</v>
      </c>
      <c r="C5531">
        <v>4</v>
      </c>
      <c r="D5531" t="s">
        <v>4077</v>
      </c>
      <c r="E5531" t="s">
        <v>4078</v>
      </c>
      <c r="F5531" t="s">
        <v>4075</v>
      </c>
    </row>
    <row r="5532" spans="1:6" x14ac:dyDescent="0.25">
      <c r="A5532">
        <v>4583</v>
      </c>
      <c r="B5532" t="s">
        <v>4072</v>
      </c>
      <c r="C5532">
        <v>16</v>
      </c>
      <c r="D5532" t="s">
        <v>4077</v>
      </c>
      <c r="E5532" t="s">
        <v>4078</v>
      </c>
      <c r="F5532" t="s">
        <v>4076</v>
      </c>
    </row>
    <row r="5533" spans="1:6" x14ac:dyDescent="0.25">
      <c r="A5533">
        <v>4584</v>
      </c>
      <c r="B5533" t="s">
        <v>4072</v>
      </c>
      <c r="C5533">
        <v>39</v>
      </c>
      <c r="D5533" t="s">
        <v>4073</v>
      </c>
      <c r="E5533" t="s">
        <v>4074</v>
      </c>
      <c r="F5533" t="s">
        <v>4079</v>
      </c>
    </row>
    <row r="5534" spans="1:6" x14ac:dyDescent="0.25">
      <c r="A5534">
        <v>4585</v>
      </c>
      <c r="B5534" t="s">
        <v>4072</v>
      </c>
      <c r="C5534">
        <v>42</v>
      </c>
      <c r="D5534" t="s">
        <v>4082</v>
      </c>
      <c r="E5534" t="s">
        <v>4083</v>
      </c>
      <c r="F5534" t="s">
        <v>4079</v>
      </c>
    </row>
    <row r="5535" spans="1:6" x14ac:dyDescent="0.25">
      <c r="A5535">
        <v>4586</v>
      </c>
      <c r="B5535" t="s">
        <v>4072</v>
      </c>
      <c r="C5535">
        <v>42</v>
      </c>
      <c r="D5535" t="s">
        <v>4082</v>
      </c>
      <c r="E5535" t="s">
        <v>4083</v>
      </c>
      <c r="F5535" t="s">
        <v>4079</v>
      </c>
    </row>
    <row r="5536" spans="1:6" x14ac:dyDescent="0.25">
      <c r="A5536">
        <v>4587</v>
      </c>
      <c r="B5536" t="s">
        <v>4112</v>
      </c>
      <c r="C5536">
        <v>57</v>
      </c>
      <c r="D5536" t="s">
        <v>4118</v>
      </c>
      <c r="E5536" t="s">
        <v>4119</v>
      </c>
      <c r="F5536" t="s">
        <v>4079</v>
      </c>
    </row>
    <row r="5537" spans="1:6" x14ac:dyDescent="0.25">
      <c r="A5537">
        <v>4588</v>
      </c>
      <c r="B5537" t="s">
        <v>4112</v>
      </c>
      <c r="C5537">
        <v>53</v>
      </c>
      <c r="D5537" t="s">
        <v>2759</v>
      </c>
      <c r="E5537" t="s">
        <v>4117</v>
      </c>
      <c r="F5537" t="s">
        <v>4079</v>
      </c>
    </row>
    <row r="5538" spans="1:6" x14ac:dyDescent="0.25">
      <c r="A5538">
        <v>4589</v>
      </c>
      <c r="B5538" t="s">
        <v>4072</v>
      </c>
      <c r="C5538">
        <v>45</v>
      </c>
      <c r="D5538" t="s">
        <v>2159</v>
      </c>
      <c r="E5538" t="s">
        <v>4094</v>
      </c>
      <c r="F5538" t="s">
        <v>4079</v>
      </c>
    </row>
    <row r="5539" spans="1:6" x14ac:dyDescent="0.25">
      <c r="A5539">
        <v>4590</v>
      </c>
      <c r="B5539" t="s">
        <v>4112</v>
      </c>
      <c r="C5539">
        <v>57</v>
      </c>
      <c r="D5539" t="s">
        <v>4118</v>
      </c>
      <c r="E5539" t="s">
        <v>4119</v>
      </c>
      <c r="F5539" t="s">
        <v>4079</v>
      </c>
    </row>
    <row r="5540" spans="1:6" x14ac:dyDescent="0.25">
      <c r="A5540">
        <v>4591</v>
      </c>
      <c r="B5540" t="s">
        <v>4112</v>
      </c>
      <c r="C5540">
        <v>53</v>
      </c>
      <c r="D5540" t="s">
        <v>2759</v>
      </c>
      <c r="E5540" t="s">
        <v>4117</v>
      </c>
      <c r="F5540" t="s">
        <v>4079</v>
      </c>
    </row>
    <row r="5541" spans="1:6" x14ac:dyDescent="0.25">
      <c r="A5541">
        <v>4592</v>
      </c>
      <c r="B5541" t="s">
        <v>4112</v>
      </c>
      <c r="C5541">
        <v>54</v>
      </c>
      <c r="D5541" t="s">
        <v>4122</v>
      </c>
      <c r="E5541" t="s">
        <v>4123</v>
      </c>
      <c r="F5541" t="s">
        <v>4079</v>
      </c>
    </row>
    <row r="5542" spans="1:6" x14ac:dyDescent="0.25">
      <c r="A5542">
        <v>4593</v>
      </c>
      <c r="B5542" t="s">
        <v>4112</v>
      </c>
      <c r="C5542">
        <v>53</v>
      </c>
      <c r="D5542" t="s">
        <v>2759</v>
      </c>
      <c r="E5542" t="s">
        <v>4117</v>
      </c>
      <c r="F5542" t="s">
        <v>4079</v>
      </c>
    </row>
    <row r="5543" spans="1:6" x14ac:dyDescent="0.25">
      <c r="A5543">
        <v>4594</v>
      </c>
      <c r="B5543" t="s">
        <v>4112</v>
      </c>
      <c r="C5543">
        <v>53</v>
      </c>
      <c r="D5543" t="s">
        <v>2759</v>
      </c>
      <c r="E5543" t="s">
        <v>4117</v>
      </c>
      <c r="F5543" t="s">
        <v>4079</v>
      </c>
    </row>
    <row r="5544" spans="1:6" x14ac:dyDescent="0.25">
      <c r="A5544">
        <v>4594</v>
      </c>
      <c r="B5544" t="s">
        <v>4112</v>
      </c>
      <c r="C5544">
        <v>55</v>
      </c>
      <c r="D5544" t="s">
        <v>4113</v>
      </c>
      <c r="E5544" t="s">
        <v>4114</v>
      </c>
      <c r="F5544" t="s">
        <v>4079</v>
      </c>
    </row>
    <row r="5545" spans="1:6" x14ac:dyDescent="0.25">
      <c r="A5545">
        <v>4595</v>
      </c>
      <c r="B5545" t="s">
        <v>4092</v>
      </c>
      <c r="C5545">
        <v>32</v>
      </c>
      <c r="D5545" t="s">
        <v>4106</v>
      </c>
      <c r="E5545" t="s">
        <v>4107</v>
      </c>
      <c r="F5545" t="s">
        <v>4076</v>
      </c>
    </row>
    <row r="5546" spans="1:6" x14ac:dyDescent="0.25">
      <c r="A5546">
        <v>4595</v>
      </c>
      <c r="B5546" t="s">
        <v>4092</v>
      </c>
      <c r="C5546">
        <v>52</v>
      </c>
      <c r="D5546" t="s">
        <v>4106</v>
      </c>
      <c r="E5546" t="s">
        <v>4107</v>
      </c>
      <c r="F5546" t="s">
        <v>4079</v>
      </c>
    </row>
    <row r="5547" spans="1:6" x14ac:dyDescent="0.25">
      <c r="A5547">
        <v>4596</v>
      </c>
      <c r="B5547" t="s">
        <v>4072</v>
      </c>
      <c r="C5547">
        <v>5</v>
      </c>
      <c r="D5547" t="s">
        <v>4087</v>
      </c>
      <c r="E5547" t="s">
        <v>4088</v>
      </c>
      <c r="F5547" t="s">
        <v>4075</v>
      </c>
    </row>
    <row r="5548" spans="1:6" x14ac:dyDescent="0.25">
      <c r="A5548">
        <v>4596</v>
      </c>
      <c r="B5548" t="s">
        <v>4072</v>
      </c>
      <c r="C5548">
        <v>15</v>
      </c>
      <c r="D5548" t="s">
        <v>4080</v>
      </c>
      <c r="E5548" t="s">
        <v>4081</v>
      </c>
      <c r="F5548" t="s">
        <v>4076</v>
      </c>
    </row>
    <row r="5549" spans="1:6" x14ac:dyDescent="0.25">
      <c r="A5549">
        <v>4597</v>
      </c>
      <c r="B5549" t="s">
        <v>4072</v>
      </c>
      <c r="C5549">
        <v>3</v>
      </c>
      <c r="D5549" t="s">
        <v>4085</v>
      </c>
      <c r="E5549" t="s">
        <v>4086</v>
      </c>
      <c r="F5549" t="s">
        <v>4075</v>
      </c>
    </row>
    <row r="5550" spans="1:6" x14ac:dyDescent="0.25">
      <c r="A5550">
        <v>4597</v>
      </c>
      <c r="B5550" t="s">
        <v>4072</v>
      </c>
      <c r="C5550">
        <v>15</v>
      </c>
      <c r="D5550" t="s">
        <v>4080</v>
      </c>
      <c r="E5550" t="s">
        <v>4081</v>
      </c>
      <c r="F5550" t="s">
        <v>4076</v>
      </c>
    </row>
    <row r="5551" spans="1:6" x14ac:dyDescent="0.25">
      <c r="A5551">
        <v>4598</v>
      </c>
      <c r="B5551" t="s">
        <v>4072</v>
      </c>
      <c r="C5551">
        <v>6</v>
      </c>
      <c r="D5551" t="s">
        <v>4073</v>
      </c>
      <c r="E5551" t="s">
        <v>4074</v>
      </c>
      <c r="F5551" t="s">
        <v>4075</v>
      </c>
    </row>
    <row r="5552" spans="1:6" x14ac:dyDescent="0.25">
      <c r="A5552">
        <v>4598</v>
      </c>
      <c r="B5552" t="s">
        <v>4072</v>
      </c>
      <c r="C5552">
        <v>19</v>
      </c>
      <c r="D5552" t="s">
        <v>4073</v>
      </c>
      <c r="E5552" t="s">
        <v>4074</v>
      </c>
      <c r="F5552" t="s">
        <v>4076</v>
      </c>
    </row>
    <row r="5553" spans="1:6" x14ac:dyDescent="0.25">
      <c r="A5553">
        <v>4599</v>
      </c>
      <c r="B5553" t="s">
        <v>4072</v>
      </c>
      <c r="C5553">
        <v>2</v>
      </c>
      <c r="D5553" t="s">
        <v>4082</v>
      </c>
      <c r="E5553" t="s">
        <v>4083</v>
      </c>
      <c r="F5553" t="s">
        <v>4075</v>
      </c>
    </row>
    <row r="5554" spans="1:6" x14ac:dyDescent="0.25">
      <c r="A5554">
        <v>4599</v>
      </c>
      <c r="B5554" t="s">
        <v>4072</v>
      </c>
      <c r="C5554">
        <v>17</v>
      </c>
      <c r="D5554" t="s">
        <v>4082</v>
      </c>
      <c r="E5554" t="s">
        <v>4084</v>
      </c>
      <c r="F5554" t="s">
        <v>4076</v>
      </c>
    </row>
    <row r="5555" spans="1:6" x14ac:dyDescent="0.25">
      <c r="A5555">
        <v>4600</v>
      </c>
      <c r="B5555" t="s">
        <v>4072</v>
      </c>
      <c r="C5555">
        <v>4</v>
      </c>
      <c r="D5555" t="s">
        <v>4077</v>
      </c>
      <c r="E5555" t="s">
        <v>4078</v>
      </c>
      <c r="F5555" t="s">
        <v>4075</v>
      </c>
    </row>
    <row r="5556" spans="1:6" x14ac:dyDescent="0.25">
      <c r="A5556">
        <v>4600</v>
      </c>
      <c r="B5556" t="s">
        <v>4072</v>
      </c>
      <c r="C5556">
        <v>16</v>
      </c>
      <c r="D5556" t="s">
        <v>4077</v>
      </c>
      <c r="E5556" t="s">
        <v>4078</v>
      </c>
      <c r="F5556" t="s">
        <v>4076</v>
      </c>
    </row>
    <row r="5557" spans="1:6" x14ac:dyDescent="0.25">
      <c r="A5557">
        <v>4601</v>
      </c>
      <c r="B5557" t="s">
        <v>4072</v>
      </c>
      <c r="C5557">
        <v>2</v>
      </c>
      <c r="D5557" t="s">
        <v>4082</v>
      </c>
      <c r="E5557" t="s">
        <v>4083</v>
      </c>
      <c r="F5557" t="s">
        <v>4075</v>
      </c>
    </row>
    <row r="5558" spans="1:6" x14ac:dyDescent="0.25">
      <c r="A5558">
        <v>4601</v>
      </c>
      <c r="B5558" t="s">
        <v>4072</v>
      </c>
      <c r="C5558">
        <v>17</v>
      </c>
      <c r="D5558" t="s">
        <v>4082</v>
      </c>
      <c r="E5558" t="s">
        <v>4084</v>
      </c>
      <c r="F5558" t="s">
        <v>4076</v>
      </c>
    </row>
    <row r="5559" spans="1:6" x14ac:dyDescent="0.25">
      <c r="A5559">
        <v>4602</v>
      </c>
      <c r="B5559" t="s">
        <v>4072</v>
      </c>
      <c r="C5559">
        <v>39</v>
      </c>
      <c r="D5559" t="s">
        <v>4073</v>
      </c>
      <c r="E5559" t="s">
        <v>4074</v>
      </c>
      <c r="F5559" t="s">
        <v>4079</v>
      </c>
    </row>
    <row r="5560" spans="1:6" x14ac:dyDescent="0.25">
      <c r="A5560">
        <v>4603</v>
      </c>
      <c r="B5560" t="s">
        <v>4112</v>
      </c>
      <c r="C5560">
        <v>54</v>
      </c>
      <c r="D5560" t="s">
        <v>4122</v>
      </c>
      <c r="E5560" t="s">
        <v>4123</v>
      </c>
      <c r="F5560" t="s">
        <v>4079</v>
      </c>
    </row>
    <row r="5561" spans="1:6" x14ac:dyDescent="0.25">
      <c r="A5561">
        <v>4604</v>
      </c>
      <c r="B5561" t="s">
        <v>4072</v>
      </c>
      <c r="C5561">
        <v>1</v>
      </c>
      <c r="D5561" t="s">
        <v>2761</v>
      </c>
      <c r="E5561" t="s">
        <v>4089</v>
      </c>
      <c r="F5561" t="s">
        <v>4075</v>
      </c>
    </row>
    <row r="5562" spans="1:6" x14ac:dyDescent="0.25">
      <c r="A5562">
        <v>4604</v>
      </c>
      <c r="B5562" t="s">
        <v>4072</v>
      </c>
      <c r="C5562">
        <v>2</v>
      </c>
      <c r="D5562" t="s">
        <v>4082</v>
      </c>
      <c r="E5562" t="s">
        <v>4083</v>
      </c>
      <c r="F5562" t="s">
        <v>4075</v>
      </c>
    </row>
    <row r="5563" spans="1:6" x14ac:dyDescent="0.25">
      <c r="A5563">
        <v>4604</v>
      </c>
      <c r="B5563" t="s">
        <v>4072</v>
      </c>
      <c r="C5563">
        <v>3</v>
      </c>
      <c r="D5563" t="s">
        <v>4085</v>
      </c>
      <c r="E5563" t="s">
        <v>4086</v>
      </c>
      <c r="F5563" t="s">
        <v>4075</v>
      </c>
    </row>
    <row r="5564" spans="1:6" x14ac:dyDescent="0.25">
      <c r="A5564">
        <v>4604</v>
      </c>
      <c r="B5564" t="s">
        <v>4072</v>
      </c>
      <c r="C5564">
        <v>5</v>
      </c>
      <c r="D5564" t="s">
        <v>4087</v>
      </c>
      <c r="E5564" t="s">
        <v>4088</v>
      </c>
      <c r="F5564" t="s">
        <v>4075</v>
      </c>
    </row>
    <row r="5565" spans="1:6" x14ac:dyDescent="0.25">
      <c r="A5565">
        <v>4605</v>
      </c>
      <c r="B5565" t="s">
        <v>4072</v>
      </c>
      <c r="C5565">
        <v>4</v>
      </c>
      <c r="D5565" t="s">
        <v>4077</v>
      </c>
      <c r="E5565" t="s">
        <v>4078</v>
      </c>
      <c r="F5565" t="s">
        <v>4075</v>
      </c>
    </row>
    <row r="5566" spans="1:6" x14ac:dyDescent="0.25">
      <c r="A5566">
        <v>4605</v>
      </c>
      <c r="B5566" t="s">
        <v>4072</v>
      </c>
      <c r="C5566">
        <v>16</v>
      </c>
      <c r="D5566" t="s">
        <v>4077</v>
      </c>
      <c r="E5566" t="s">
        <v>4078</v>
      </c>
      <c r="F5566" t="s">
        <v>4076</v>
      </c>
    </row>
    <row r="5567" spans="1:6" x14ac:dyDescent="0.25">
      <c r="A5567">
        <v>4605</v>
      </c>
      <c r="B5567" t="s">
        <v>4072</v>
      </c>
      <c r="C5567">
        <v>44</v>
      </c>
      <c r="D5567" t="s">
        <v>4077</v>
      </c>
      <c r="E5567" t="s">
        <v>4078</v>
      </c>
      <c r="F5567" t="s">
        <v>4079</v>
      </c>
    </row>
    <row r="5568" spans="1:6" x14ac:dyDescent="0.25">
      <c r="A5568">
        <v>4606</v>
      </c>
      <c r="B5568" t="s">
        <v>4072</v>
      </c>
      <c r="C5568">
        <v>5</v>
      </c>
      <c r="D5568" t="s">
        <v>4087</v>
      </c>
      <c r="E5568" t="s">
        <v>4088</v>
      </c>
      <c r="F5568" t="s">
        <v>4075</v>
      </c>
    </row>
    <row r="5569" spans="1:6" x14ac:dyDescent="0.25">
      <c r="A5569">
        <v>4606</v>
      </c>
      <c r="B5569" t="s">
        <v>4072</v>
      </c>
      <c r="C5569">
        <v>15</v>
      </c>
      <c r="D5569" t="s">
        <v>4080</v>
      </c>
      <c r="E5569" t="s">
        <v>4081</v>
      </c>
      <c r="F5569" t="s">
        <v>4076</v>
      </c>
    </row>
    <row r="5570" spans="1:6" x14ac:dyDescent="0.25">
      <c r="A5570">
        <v>4607</v>
      </c>
      <c r="B5570" t="s">
        <v>4092</v>
      </c>
      <c r="C5570">
        <v>24</v>
      </c>
      <c r="D5570" t="s">
        <v>2760</v>
      </c>
      <c r="E5570" t="s">
        <v>4108</v>
      </c>
      <c r="F5570" t="s">
        <v>4075</v>
      </c>
    </row>
    <row r="5571" spans="1:6" x14ac:dyDescent="0.25">
      <c r="A5571">
        <v>4607</v>
      </c>
      <c r="B5571" t="s">
        <v>4092</v>
      </c>
      <c r="C5571">
        <v>29</v>
      </c>
      <c r="D5571" t="s">
        <v>2760</v>
      </c>
      <c r="E5571" t="s">
        <v>4108</v>
      </c>
      <c r="F5571" t="s">
        <v>4076</v>
      </c>
    </row>
    <row r="5572" spans="1:6" x14ac:dyDescent="0.25">
      <c r="A5572">
        <v>4607</v>
      </c>
      <c r="B5572" t="s">
        <v>4092</v>
      </c>
      <c r="C5572">
        <v>49</v>
      </c>
      <c r="D5572" t="s">
        <v>2760</v>
      </c>
      <c r="E5572" t="s">
        <v>4108</v>
      </c>
      <c r="F5572" t="s">
        <v>4079</v>
      </c>
    </row>
    <row r="5573" spans="1:6" x14ac:dyDescent="0.25">
      <c r="A5573">
        <v>4608</v>
      </c>
      <c r="B5573" t="s">
        <v>4092</v>
      </c>
      <c r="C5573">
        <v>24</v>
      </c>
      <c r="D5573" t="s">
        <v>2760</v>
      </c>
      <c r="E5573" t="s">
        <v>4108</v>
      </c>
      <c r="F5573" t="s">
        <v>4075</v>
      </c>
    </row>
    <row r="5574" spans="1:6" x14ac:dyDescent="0.25">
      <c r="A5574">
        <v>4608</v>
      </c>
      <c r="B5574" t="s">
        <v>4092</v>
      </c>
      <c r="C5574">
        <v>29</v>
      </c>
      <c r="D5574" t="s">
        <v>2760</v>
      </c>
      <c r="E5574" t="s">
        <v>4108</v>
      </c>
      <c r="F5574" t="s">
        <v>4076</v>
      </c>
    </row>
    <row r="5575" spans="1:6" x14ac:dyDescent="0.25">
      <c r="A5575">
        <v>4608</v>
      </c>
      <c r="B5575" t="s">
        <v>4092</v>
      </c>
      <c r="C5575">
        <v>49</v>
      </c>
      <c r="D5575" t="s">
        <v>2760</v>
      </c>
      <c r="E5575" t="s">
        <v>4108</v>
      </c>
      <c r="F5575" t="s">
        <v>4079</v>
      </c>
    </row>
    <row r="5576" spans="1:6" x14ac:dyDescent="0.25">
      <c r="A5576">
        <v>4609</v>
      </c>
      <c r="B5576" t="s">
        <v>4072</v>
      </c>
      <c r="C5576">
        <v>6</v>
      </c>
      <c r="D5576" t="s">
        <v>4073</v>
      </c>
      <c r="E5576" t="s">
        <v>4074</v>
      </c>
      <c r="F5576" t="s">
        <v>4075</v>
      </c>
    </row>
    <row r="5577" spans="1:6" x14ac:dyDescent="0.25">
      <c r="A5577">
        <v>4609</v>
      </c>
      <c r="B5577" t="s">
        <v>4072</v>
      </c>
      <c r="C5577">
        <v>19</v>
      </c>
      <c r="D5577" t="s">
        <v>4073</v>
      </c>
      <c r="E5577" t="s">
        <v>4074</v>
      </c>
      <c r="F5577" t="s">
        <v>4076</v>
      </c>
    </row>
    <row r="5578" spans="1:6" x14ac:dyDescent="0.25">
      <c r="A5578">
        <v>4610</v>
      </c>
      <c r="B5578" t="s">
        <v>4072</v>
      </c>
      <c r="C5578">
        <v>6</v>
      </c>
      <c r="D5578" t="s">
        <v>4073</v>
      </c>
      <c r="E5578" t="s">
        <v>4074</v>
      </c>
      <c r="F5578" t="s">
        <v>4075</v>
      </c>
    </row>
    <row r="5579" spans="1:6" x14ac:dyDescent="0.25">
      <c r="A5579">
        <v>4610</v>
      </c>
      <c r="B5579" t="s">
        <v>4072</v>
      </c>
      <c r="C5579">
        <v>19</v>
      </c>
      <c r="D5579" t="s">
        <v>4073</v>
      </c>
      <c r="E5579" t="s">
        <v>4074</v>
      </c>
      <c r="F5579" t="s">
        <v>4076</v>
      </c>
    </row>
    <row r="5580" spans="1:6" x14ac:dyDescent="0.25">
      <c r="A5580">
        <v>4611</v>
      </c>
      <c r="B5580" t="s">
        <v>4072</v>
      </c>
      <c r="C5580">
        <v>4</v>
      </c>
      <c r="D5580" t="s">
        <v>4077</v>
      </c>
      <c r="E5580" t="s">
        <v>4078</v>
      </c>
      <c r="F5580" t="s">
        <v>4075</v>
      </c>
    </row>
    <row r="5581" spans="1:6" x14ac:dyDescent="0.25">
      <c r="A5581">
        <v>4611</v>
      </c>
      <c r="B5581" t="s">
        <v>4072</v>
      </c>
      <c r="C5581">
        <v>16</v>
      </c>
      <c r="D5581" t="s">
        <v>4077</v>
      </c>
      <c r="E5581" t="s">
        <v>4078</v>
      </c>
      <c r="F5581" t="s">
        <v>4076</v>
      </c>
    </row>
    <row r="5582" spans="1:6" x14ac:dyDescent="0.25">
      <c r="A5582">
        <v>4612</v>
      </c>
      <c r="B5582" t="s">
        <v>4072</v>
      </c>
      <c r="C5582">
        <v>10</v>
      </c>
      <c r="D5582" t="s">
        <v>4095</v>
      </c>
      <c r="E5582" t="s">
        <v>4096</v>
      </c>
      <c r="F5582" t="s">
        <v>4075</v>
      </c>
    </row>
    <row r="5583" spans="1:6" x14ac:dyDescent="0.25">
      <c r="A5583">
        <v>4612</v>
      </c>
      <c r="B5583" t="s">
        <v>4072</v>
      </c>
      <c r="C5583">
        <v>13</v>
      </c>
      <c r="D5583" t="s">
        <v>4097</v>
      </c>
      <c r="E5583" t="s">
        <v>4098</v>
      </c>
      <c r="F5583" t="s">
        <v>4076</v>
      </c>
    </row>
    <row r="5584" spans="1:6" x14ac:dyDescent="0.25">
      <c r="A5584">
        <v>4613</v>
      </c>
      <c r="B5584" t="s">
        <v>4092</v>
      </c>
      <c r="C5584">
        <v>24</v>
      </c>
      <c r="D5584" t="s">
        <v>2760</v>
      </c>
      <c r="E5584" t="s">
        <v>4108</v>
      </c>
      <c r="F5584" t="s">
        <v>4075</v>
      </c>
    </row>
    <row r="5585" spans="1:6" x14ac:dyDescent="0.25">
      <c r="A5585">
        <v>4613</v>
      </c>
      <c r="B5585" t="s">
        <v>4092</v>
      </c>
      <c r="C5585">
        <v>29</v>
      </c>
      <c r="D5585" t="s">
        <v>2760</v>
      </c>
      <c r="E5585" t="s">
        <v>4108</v>
      </c>
      <c r="F5585" t="s">
        <v>4076</v>
      </c>
    </row>
    <row r="5586" spans="1:6" x14ac:dyDescent="0.25">
      <c r="A5586">
        <v>4614</v>
      </c>
      <c r="B5586" t="s">
        <v>4072</v>
      </c>
      <c r="C5586">
        <v>6</v>
      </c>
      <c r="D5586" t="s">
        <v>4073</v>
      </c>
      <c r="E5586" t="s">
        <v>4074</v>
      </c>
      <c r="F5586" t="s">
        <v>4075</v>
      </c>
    </row>
    <row r="5587" spans="1:6" x14ac:dyDescent="0.25">
      <c r="A5587">
        <v>4615</v>
      </c>
      <c r="B5587" t="s">
        <v>4072</v>
      </c>
      <c r="C5587">
        <v>15</v>
      </c>
      <c r="D5587" t="s">
        <v>4080</v>
      </c>
      <c r="E5587" t="s">
        <v>4081</v>
      </c>
      <c r="F5587" t="s">
        <v>4076</v>
      </c>
    </row>
    <row r="5588" spans="1:6" x14ac:dyDescent="0.25">
      <c r="A5588">
        <v>4616</v>
      </c>
      <c r="B5588" t="s">
        <v>4072</v>
      </c>
      <c r="C5588">
        <v>4</v>
      </c>
      <c r="D5588" t="s">
        <v>4077</v>
      </c>
      <c r="E5588" t="s">
        <v>4078</v>
      </c>
      <c r="F5588" t="s">
        <v>4075</v>
      </c>
    </row>
    <row r="5589" spans="1:6" x14ac:dyDescent="0.25">
      <c r="A5589">
        <v>4616</v>
      </c>
      <c r="B5589" t="s">
        <v>4072</v>
      </c>
      <c r="C5589">
        <v>16</v>
      </c>
      <c r="D5589" t="s">
        <v>4077</v>
      </c>
      <c r="E5589" t="s">
        <v>4078</v>
      </c>
      <c r="F5589" t="s">
        <v>4076</v>
      </c>
    </row>
    <row r="5590" spans="1:6" x14ac:dyDescent="0.25">
      <c r="A5590">
        <v>4617</v>
      </c>
      <c r="B5590" t="s">
        <v>4112</v>
      </c>
      <c r="C5590">
        <v>53</v>
      </c>
      <c r="D5590" t="s">
        <v>2759</v>
      </c>
      <c r="E5590" t="s">
        <v>4117</v>
      </c>
      <c r="F5590" t="s">
        <v>4079</v>
      </c>
    </row>
    <row r="5591" spans="1:6" x14ac:dyDescent="0.25">
      <c r="A5591">
        <v>4618</v>
      </c>
      <c r="B5591" t="s">
        <v>4072</v>
      </c>
      <c r="C5591">
        <v>6</v>
      </c>
      <c r="D5591" t="s">
        <v>4073</v>
      </c>
      <c r="E5591" t="s">
        <v>4074</v>
      </c>
      <c r="F5591" t="s">
        <v>4075</v>
      </c>
    </row>
    <row r="5592" spans="1:6" x14ac:dyDescent="0.25">
      <c r="A5592">
        <v>4618</v>
      </c>
      <c r="B5592" t="s">
        <v>4072</v>
      </c>
      <c r="C5592">
        <v>19</v>
      </c>
      <c r="D5592" t="s">
        <v>4073</v>
      </c>
      <c r="E5592" t="s">
        <v>4074</v>
      </c>
      <c r="F5592" t="s">
        <v>4076</v>
      </c>
    </row>
    <row r="5593" spans="1:6" x14ac:dyDescent="0.25">
      <c r="A5593">
        <v>4618</v>
      </c>
      <c r="B5593" t="s">
        <v>4112</v>
      </c>
      <c r="C5593">
        <v>54</v>
      </c>
      <c r="D5593" t="s">
        <v>4122</v>
      </c>
      <c r="E5593" t="s">
        <v>4123</v>
      </c>
      <c r="F5593" t="s">
        <v>4079</v>
      </c>
    </row>
    <row r="5594" spans="1:6" x14ac:dyDescent="0.25">
      <c r="A5594">
        <v>4619</v>
      </c>
      <c r="B5594" t="s">
        <v>4072</v>
      </c>
      <c r="C5594">
        <v>6</v>
      </c>
      <c r="D5594" t="s">
        <v>4073</v>
      </c>
      <c r="E5594" t="s">
        <v>4074</v>
      </c>
      <c r="F5594" t="s">
        <v>4075</v>
      </c>
    </row>
    <row r="5595" spans="1:6" x14ac:dyDescent="0.25">
      <c r="A5595">
        <v>4619</v>
      </c>
      <c r="B5595" t="s">
        <v>4072</v>
      </c>
      <c r="C5595">
        <v>19</v>
      </c>
      <c r="D5595" t="s">
        <v>4073</v>
      </c>
      <c r="E5595" t="s">
        <v>4074</v>
      </c>
      <c r="F5595" t="s">
        <v>4076</v>
      </c>
    </row>
    <row r="5596" spans="1:6" x14ac:dyDescent="0.25">
      <c r="A5596">
        <v>4619</v>
      </c>
      <c r="B5596" t="s">
        <v>4112</v>
      </c>
      <c r="C5596">
        <v>54</v>
      </c>
      <c r="D5596" t="s">
        <v>4122</v>
      </c>
      <c r="E5596" t="s">
        <v>4123</v>
      </c>
      <c r="F5596" t="s">
        <v>4079</v>
      </c>
    </row>
    <row r="5597" spans="1:6" x14ac:dyDescent="0.25">
      <c r="A5597">
        <v>4620</v>
      </c>
      <c r="B5597" t="s">
        <v>4072</v>
      </c>
      <c r="C5597">
        <v>4</v>
      </c>
      <c r="D5597" t="s">
        <v>4077</v>
      </c>
      <c r="E5597" t="s">
        <v>4078</v>
      </c>
      <c r="F5597" t="s">
        <v>4075</v>
      </c>
    </row>
    <row r="5598" spans="1:6" x14ac:dyDescent="0.25">
      <c r="A5598">
        <v>4620</v>
      </c>
      <c r="B5598" t="s">
        <v>4072</v>
      </c>
      <c r="C5598">
        <v>16</v>
      </c>
      <c r="D5598" t="s">
        <v>4077</v>
      </c>
      <c r="E5598" t="s">
        <v>4078</v>
      </c>
      <c r="F5598" t="s">
        <v>4076</v>
      </c>
    </row>
    <row r="5599" spans="1:6" x14ac:dyDescent="0.25">
      <c r="A5599">
        <v>4621</v>
      </c>
      <c r="B5599" t="s">
        <v>4072</v>
      </c>
      <c r="C5599">
        <v>2</v>
      </c>
      <c r="D5599" t="s">
        <v>4082</v>
      </c>
      <c r="E5599" t="s">
        <v>4083</v>
      </c>
      <c r="F5599" t="s">
        <v>4075</v>
      </c>
    </row>
    <row r="5600" spans="1:6" x14ac:dyDescent="0.25">
      <c r="A5600">
        <v>4621</v>
      </c>
      <c r="B5600" t="s">
        <v>4072</v>
      </c>
      <c r="C5600">
        <v>17</v>
      </c>
      <c r="D5600" t="s">
        <v>4082</v>
      </c>
      <c r="E5600" t="s">
        <v>4084</v>
      </c>
      <c r="F5600" t="s">
        <v>4076</v>
      </c>
    </row>
    <row r="5601" spans="1:6" x14ac:dyDescent="0.25">
      <c r="A5601">
        <v>4621</v>
      </c>
      <c r="B5601" t="s">
        <v>4072</v>
      </c>
      <c r="C5601">
        <v>42</v>
      </c>
      <c r="D5601" t="s">
        <v>4082</v>
      </c>
      <c r="E5601" t="s">
        <v>4083</v>
      </c>
      <c r="F5601" t="s">
        <v>4079</v>
      </c>
    </row>
    <row r="5602" spans="1:6" x14ac:dyDescent="0.25">
      <c r="A5602">
        <v>4622</v>
      </c>
      <c r="B5602" t="s">
        <v>4072</v>
      </c>
      <c r="C5602">
        <v>19</v>
      </c>
      <c r="D5602" t="s">
        <v>4073</v>
      </c>
      <c r="E5602" t="s">
        <v>4074</v>
      </c>
      <c r="F5602" t="s">
        <v>4076</v>
      </c>
    </row>
    <row r="5603" spans="1:6" x14ac:dyDescent="0.25">
      <c r="A5603">
        <v>4622</v>
      </c>
      <c r="B5603" t="s">
        <v>4072</v>
      </c>
      <c r="C5603">
        <v>39</v>
      </c>
      <c r="D5603" t="s">
        <v>4073</v>
      </c>
      <c r="E5603" t="s">
        <v>4074</v>
      </c>
      <c r="F5603" t="s">
        <v>4079</v>
      </c>
    </row>
    <row r="5604" spans="1:6" x14ac:dyDescent="0.25">
      <c r="A5604">
        <v>4622</v>
      </c>
      <c r="B5604" t="s">
        <v>4112</v>
      </c>
      <c r="C5604">
        <v>53</v>
      </c>
      <c r="D5604" t="s">
        <v>2759</v>
      </c>
      <c r="E5604" t="s">
        <v>4117</v>
      </c>
      <c r="F5604" t="s">
        <v>4079</v>
      </c>
    </row>
    <row r="5605" spans="1:6" x14ac:dyDescent="0.25">
      <c r="A5605">
        <v>4623</v>
      </c>
      <c r="B5605" t="s">
        <v>4072</v>
      </c>
      <c r="C5605">
        <v>19</v>
      </c>
      <c r="D5605" t="s">
        <v>4073</v>
      </c>
      <c r="E5605" t="s">
        <v>4074</v>
      </c>
      <c r="F5605" t="s">
        <v>4076</v>
      </c>
    </row>
    <row r="5606" spans="1:6" x14ac:dyDescent="0.25">
      <c r="A5606">
        <v>4624</v>
      </c>
      <c r="B5606" t="s">
        <v>4072</v>
      </c>
      <c r="C5606">
        <v>6</v>
      </c>
      <c r="D5606" t="s">
        <v>4073</v>
      </c>
      <c r="E5606" t="s">
        <v>4074</v>
      </c>
      <c r="F5606" t="s">
        <v>4075</v>
      </c>
    </row>
    <row r="5607" spans="1:6" x14ac:dyDescent="0.25">
      <c r="A5607">
        <v>4624</v>
      </c>
      <c r="B5607" t="s">
        <v>4072</v>
      </c>
      <c r="C5607">
        <v>19</v>
      </c>
      <c r="D5607" t="s">
        <v>4073</v>
      </c>
      <c r="E5607" t="s">
        <v>4074</v>
      </c>
      <c r="F5607" t="s">
        <v>4076</v>
      </c>
    </row>
    <row r="5608" spans="1:6" x14ac:dyDescent="0.25">
      <c r="A5608">
        <v>4624</v>
      </c>
      <c r="B5608" t="s">
        <v>4072</v>
      </c>
      <c r="C5608">
        <v>39</v>
      </c>
      <c r="D5608" t="s">
        <v>4073</v>
      </c>
      <c r="E5608" t="s">
        <v>4074</v>
      </c>
      <c r="F5608" t="s">
        <v>4079</v>
      </c>
    </row>
    <row r="5609" spans="1:6" x14ac:dyDescent="0.25">
      <c r="A5609">
        <v>4625</v>
      </c>
      <c r="B5609" t="s">
        <v>4072</v>
      </c>
      <c r="C5609">
        <v>6</v>
      </c>
      <c r="D5609" t="s">
        <v>4073</v>
      </c>
      <c r="E5609" t="s">
        <v>4074</v>
      </c>
      <c r="F5609" t="s">
        <v>4075</v>
      </c>
    </row>
    <row r="5610" spans="1:6" x14ac:dyDescent="0.25">
      <c r="A5610">
        <v>4625</v>
      </c>
      <c r="B5610" t="s">
        <v>4072</v>
      </c>
      <c r="C5610">
        <v>19</v>
      </c>
      <c r="D5610" t="s">
        <v>4073</v>
      </c>
      <c r="E5610" t="s">
        <v>4074</v>
      </c>
      <c r="F5610" t="s">
        <v>4076</v>
      </c>
    </row>
    <row r="5611" spans="1:6" x14ac:dyDescent="0.25">
      <c r="A5611">
        <v>4626</v>
      </c>
      <c r="B5611" t="s">
        <v>4072</v>
      </c>
      <c r="C5611">
        <v>16</v>
      </c>
      <c r="D5611" t="s">
        <v>4077</v>
      </c>
      <c r="E5611" t="s">
        <v>4078</v>
      </c>
      <c r="F5611" t="s">
        <v>4076</v>
      </c>
    </row>
    <row r="5612" spans="1:6" x14ac:dyDescent="0.25">
      <c r="A5612">
        <v>4626</v>
      </c>
      <c r="B5612" t="s">
        <v>4072</v>
      </c>
      <c r="C5612">
        <v>44</v>
      </c>
      <c r="D5612" t="s">
        <v>4077</v>
      </c>
      <c r="E5612" t="s">
        <v>4078</v>
      </c>
      <c r="F5612" t="s">
        <v>4079</v>
      </c>
    </row>
    <row r="5613" spans="1:6" x14ac:dyDescent="0.25">
      <c r="A5613">
        <v>4627</v>
      </c>
      <c r="B5613" t="s">
        <v>4092</v>
      </c>
      <c r="C5613">
        <v>24</v>
      </c>
      <c r="D5613" t="s">
        <v>2760</v>
      </c>
      <c r="E5613" t="s">
        <v>4108</v>
      </c>
      <c r="F5613" t="s">
        <v>4075</v>
      </c>
    </row>
    <row r="5614" spans="1:6" x14ac:dyDescent="0.25">
      <c r="A5614">
        <v>4627</v>
      </c>
      <c r="B5614" t="s">
        <v>4092</v>
      </c>
      <c r="C5614">
        <v>29</v>
      </c>
      <c r="D5614" t="s">
        <v>2760</v>
      </c>
      <c r="E5614" t="s">
        <v>4108</v>
      </c>
      <c r="F5614" t="s">
        <v>4076</v>
      </c>
    </row>
    <row r="5615" spans="1:6" x14ac:dyDescent="0.25">
      <c r="A5615">
        <v>4627</v>
      </c>
      <c r="B5615" t="s">
        <v>4092</v>
      </c>
      <c r="C5615">
        <v>49</v>
      </c>
      <c r="D5615" t="s">
        <v>2760</v>
      </c>
      <c r="E5615" t="s">
        <v>4108</v>
      </c>
      <c r="F5615" t="s">
        <v>4079</v>
      </c>
    </row>
    <row r="5616" spans="1:6" x14ac:dyDescent="0.25">
      <c r="A5616">
        <v>4628</v>
      </c>
      <c r="B5616" t="s">
        <v>4092</v>
      </c>
      <c r="C5616">
        <v>24</v>
      </c>
      <c r="D5616" t="s">
        <v>2760</v>
      </c>
      <c r="E5616" t="s">
        <v>4108</v>
      </c>
      <c r="F5616" t="s">
        <v>4075</v>
      </c>
    </row>
    <row r="5617" spans="1:6" x14ac:dyDescent="0.25">
      <c r="A5617">
        <v>4628</v>
      </c>
      <c r="B5617" t="s">
        <v>4092</v>
      </c>
      <c r="C5617">
        <v>29</v>
      </c>
      <c r="D5617" t="s">
        <v>2760</v>
      </c>
      <c r="E5617" t="s">
        <v>4108</v>
      </c>
      <c r="F5617" t="s">
        <v>4076</v>
      </c>
    </row>
    <row r="5618" spans="1:6" x14ac:dyDescent="0.25">
      <c r="A5618">
        <v>4628</v>
      </c>
      <c r="B5618" t="s">
        <v>4092</v>
      </c>
      <c r="C5618">
        <v>49</v>
      </c>
      <c r="D5618" t="s">
        <v>2760</v>
      </c>
      <c r="E5618" t="s">
        <v>4108</v>
      </c>
      <c r="F5618" t="s">
        <v>4079</v>
      </c>
    </row>
    <row r="5619" spans="1:6" x14ac:dyDescent="0.25">
      <c r="A5619">
        <v>4629</v>
      </c>
      <c r="B5619" t="s">
        <v>4072</v>
      </c>
      <c r="C5619">
        <v>2</v>
      </c>
      <c r="D5619" t="s">
        <v>4082</v>
      </c>
      <c r="E5619" t="s">
        <v>4083</v>
      </c>
      <c r="F5619" t="s">
        <v>4075</v>
      </c>
    </row>
    <row r="5620" spans="1:6" x14ac:dyDescent="0.25">
      <c r="A5620">
        <v>4629</v>
      </c>
      <c r="B5620" t="s">
        <v>4072</v>
      </c>
      <c r="C5620">
        <v>17</v>
      </c>
      <c r="D5620" t="s">
        <v>4082</v>
      </c>
      <c r="E5620" t="s">
        <v>4084</v>
      </c>
      <c r="F5620" t="s">
        <v>4076</v>
      </c>
    </row>
    <row r="5621" spans="1:6" x14ac:dyDescent="0.25">
      <c r="A5621">
        <v>4630</v>
      </c>
      <c r="B5621" t="s">
        <v>4072</v>
      </c>
      <c r="C5621">
        <v>4</v>
      </c>
      <c r="D5621" t="s">
        <v>4077</v>
      </c>
      <c r="E5621" t="s">
        <v>4078</v>
      </c>
      <c r="F5621" t="s">
        <v>4075</v>
      </c>
    </row>
    <row r="5622" spans="1:6" x14ac:dyDescent="0.25">
      <c r="A5622">
        <v>4630</v>
      </c>
      <c r="B5622" t="s">
        <v>4072</v>
      </c>
      <c r="C5622">
        <v>16</v>
      </c>
      <c r="D5622" t="s">
        <v>4077</v>
      </c>
      <c r="E5622" t="s">
        <v>4078</v>
      </c>
      <c r="F5622" t="s">
        <v>4076</v>
      </c>
    </row>
    <row r="5623" spans="1:6" x14ac:dyDescent="0.25">
      <c r="A5623">
        <v>4631</v>
      </c>
      <c r="B5623" t="s">
        <v>4072</v>
      </c>
      <c r="C5623">
        <v>13</v>
      </c>
      <c r="D5623" t="s">
        <v>4097</v>
      </c>
      <c r="E5623" t="s">
        <v>4098</v>
      </c>
      <c r="F5623" t="s">
        <v>4076</v>
      </c>
    </row>
    <row r="5624" spans="1:6" x14ac:dyDescent="0.25">
      <c r="A5624">
        <v>4633</v>
      </c>
      <c r="B5624" t="s">
        <v>4072</v>
      </c>
      <c r="C5624">
        <v>2</v>
      </c>
      <c r="D5624" t="s">
        <v>4082</v>
      </c>
      <c r="E5624" t="s">
        <v>4083</v>
      </c>
      <c r="F5624" t="s">
        <v>4075</v>
      </c>
    </row>
    <row r="5625" spans="1:6" x14ac:dyDescent="0.25">
      <c r="A5625">
        <v>4633</v>
      </c>
      <c r="B5625" t="s">
        <v>4072</v>
      </c>
      <c r="C5625">
        <v>17</v>
      </c>
      <c r="D5625" t="s">
        <v>4082</v>
      </c>
      <c r="E5625" t="s">
        <v>4084</v>
      </c>
      <c r="F5625" t="s">
        <v>4076</v>
      </c>
    </row>
    <row r="5626" spans="1:6" x14ac:dyDescent="0.25">
      <c r="A5626">
        <v>4634</v>
      </c>
      <c r="B5626" t="s">
        <v>4072</v>
      </c>
      <c r="C5626">
        <v>2</v>
      </c>
      <c r="D5626" t="s">
        <v>4082</v>
      </c>
      <c r="E5626" t="s">
        <v>4083</v>
      </c>
      <c r="F5626" t="s">
        <v>4075</v>
      </c>
    </row>
    <row r="5627" spans="1:6" x14ac:dyDescent="0.25">
      <c r="A5627">
        <v>4634</v>
      </c>
      <c r="B5627" t="s">
        <v>4072</v>
      </c>
      <c r="C5627">
        <v>17</v>
      </c>
      <c r="D5627" t="s">
        <v>4082</v>
      </c>
      <c r="E5627" t="s">
        <v>4084</v>
      </c>
      <c r="F5627" t="s">
        <v>4076</v>
      </c>
    </row>
    <row r="5628" spans="1:6" x14ac:dyDescent="0.25">
      <c r="A5628">
        <v>4635</v>
      </c>
      <c r="B5628" t="s">
        <v>4072</v>
      </c>
      <c r="C5628">
        <v>1</v>
      </c>
      <c r="D5628" t="s">
        <v>2761</v>
      </c>
      <c r="E5628" t="s">
        <v>4089</v>
      </c>
      <c r="F5628" t="s">
        <v>4075</v>
      </c>
    </row>
    <row r="5629" spans="1:6" x14ac:dyDescent="0.25">
      <c r="A5629">
        <v>4635</v>
      </c>
      <c r="B5629" t="s">
        <v>4072</v>
      </c>
      <c r="C5629">
        <v>38</v>
      </c>
      <c r="D5629" t="s">
        <v>2761</v>
      </c>
      <c r="E5629" t="s">
        <v>4089</v>
      </c>
      <c r="F5629" t="s">
        <v>4076</v>
      </c>
    </row>
    <row r="5630" spans="1:6" x14ac:dyDescent="0.25">
      <c r="A5630">
        <v>4636</v>
      </c>
      <c r="B5630" t="s">
        <v>4072</v>
      </c>
      <c r="C5630">
        <v>1</v>
      </c>
      <c r="D5630" t="s">
        <v>2761</v>
      </c>
      <c r="E5630" t="s">
        <v>4089</v>
      </c>
      <c r="F5630" t="s">
        <v>4075</v>
      </c>
    </row>
    <row r="5631" spans="1:6" x14ac:dyDescent="0.25">
      <c r="A5631">
        <v>4636</v>
      </c>
      <c r="B5631" t="s">
        <v>4072</v>
      </c>
      <c r="C5631">
        <v>38</v>
      </c>
      <c r="D5631" t="s">
        <v>2761</v>
      </c>
      <c r="E5631" t="s">
        <v>4089</v>
      </c>
      <c r="F5631" t="s">
        <v>4076</v>
      </c>
    </row>
    <row r="5632" spans="1:6" x14ac:dyDescent="0.25">
      <c r="A5632">
        <v>4637</v>
      </c>
      <c r="B5632" t="s">
        <v>4092</v>
      </c>
      <c r="C5632">
        <v>24</v>
      </c>
      <c r="D5632" t="s">
        <v>2760</v>
      </c>
      <c r="E5632" t="s">
        <v>4108</v>
      </c>
      <c r="F5632" t="s">
        <v>4075</v>
      </c>
    </row>
    <row r="5633" spans="1:6" x14ac:dyDescent="0.25">
      <c r="A5633">
        <v>4637</v>
      </c>
      <c r="B5633" t="s">
        <v>4092</v>
      </c>
      <c r="C5633">
        <v>29</v>
      </c>
      <c r="D5633" t="s">
        <v>2760</v>
      </c>
      <c r="E5633" t="s">
        <v>4108</v>
      </c>
      <c r="F5633" t="s">
        <v>4076</v>
      </c>
    </row>
    <row r="5634" spans="1:6" x14ac:dyDescent="0.25">
      <c r="A5634">
        <v>4638</v>
      </c>
      <c r="B5634" t="s">
        <v>4092</v>
      </c>
      <c r="C5634">
        <v>33</v>
      </c>
      <c r="D5634" t="s">
        <v>4109</v>
      </c>
      <c r="E5634" t="s">
        <v>4110</v>
      </c>
      <c r="F5634" t="s">
        <v>4075</v>
      </c>
    </row>
    <row r="5635" spans="1:6" x14ac:dyDescent="0.25">
      <c r="A5635">
        <v>4639</v>
      </c>
      <c r="B5635" t="s">
        <v>4092</v>
      </c>
      <c r="C5635">
        <v>32</v>
      </c>
      <c r="D5635" t="s">
        <v>4106</v>
      </c>
      <c r="E5635" t="s">
        <v>4107</v>
      </c>
      <c r="F5635" t="s">
        <v>4076</v>
      </c>
    </row>
    <row r="5636" spans="1:6" x14ac:dyDescent="0.25">
      <c r="A5636">
        <v>4640</v>
      </c>
      <c r="B5636" t="s">
        <v>4072</v>
      </c>
      <c r="C5636">
        <v>6</v>
      </c>
      <c r="D5636" t="s">
        <v>4073</v>
      </c>
      <c r="E5636" t="s">
        <v>4074</v>
      </c>
      <c r="F5636" t="s">
        <v>4075</v>
      </c>
    </row>
    <row r="5637" spans="1:6" x14ac:dyDescent="0.25">
      <c r="A5637">
        <v>4640</v>
      </c>
      <c r="B5637" t="s">
        <v>4072</v>
      </c>
      <c r="C5637">
        <v>19</v>
      </c>
      <c r="D5637" t="s">
        <v>4073</v>
      </c>
      <c r="E5637" t="s">
        <v>4074</v>
      </c>
      <c r="F5637" t="s">
        <v>4076</v>
      </c>
    </row>
    <row r="5638" spans="1:6" x14ac:dyDescent="0.25">
      <c r="A5638">
        <v>4641</v>
      </c>
      <c r="B5638" t="s">
        <v>4072</v>
      </c>
      <c r="C5638">
        <v>10</v>
      </c>
      <c r="D5638" t="s">
        <v>4095</v>
      </c>
      <c r="E5638" t="s">
        <v>4096</v>
      </c>
      <c r="F5638" t="s">
        <v>4075</v>
      </c>
    </row>
    <row r="5639" spans="1:6" x14ac:dyDescent="0.25">
      <c r="A5639">
        <v>4641</v>
      </c>
      <c r="B5639" t="s">
        <v>4072</v>
      </c>
      <c r="C5639">
        <v>13</v>
      </c>
      <c r="D5639" t="s">
        <v>4097</v>
      </c>
      <c r="E5639" t="s">
        <v>4098</v>
      </c>
      <c r="F5639" t="s">
        <v>4076</v>
      </c>
    </row>
    <row r="5640" spans="1:6" x14ac:dyDescent="0.25">
      <c r="A5640">
        <v>4642</v>
      </c>
      <c r="B5640" t="s">
        <v>4092</v>
      </c>
      <c r="C5640">
        <v>25</v>
      </c>
      <c r="D5640" t="s">
        <v>4102</v>
      </c>
      <c r="E5640" t="s">
        <v>4103</v>
      </c>
      <c r="F5640" t="s">
        <v>4075</v>
      </c>
    </row>
    <row r="5641" spans="1:6" x14ac:dyDescent="0.25">
      <c r="A5641">
        <v>4642</v>
      </c>
      <c r="B5641" t="s">
        <v>4092</v>
      </c>
      <c r="C5641">
        <v>30</v>
      </c>
      <c r="D5641" t="s">
        <v>4102</v>
      </c>
      <c r="E5641" t="s">
        <v>4103</v>
      </c>
      <c r="F5641" t="s">
        <v>4076</v>
      </c>
    </row>
    <row r="5642" spans="1:6" x14ac:dyDescent="0.25">
      <c r="A5642">
        <v>4643</v>
      </c>
      <c r="B5642" t="s">
        <v>4092</v>
      </c>
      <c r="C5642">
        <v>33</v>
      </c>
      <c r="D5642" t="s">
        <v>4109</v>
      </c>
      <c r="E5642" t="s">
        <v>4110</v>
      </c>
      <c r="F5642" t="s">
        <v>4075</v>
      </c>
    </row>
    <row r="5643" spans="1:6" x14ac:dyDescent="0.25">
      <c r="A5643">
        <v>4644</v>
      </c>
      <c r="B5643" t="s">
        <v>4092</v>
      </c>
      <c r="C5643">
        <v>23</v>
      </c>
      <c r="D5643" t="s">
        <v>2757</v>
      </c>
      <c r="E5643" t="s">
        <v>4093</v>
      </c>
      <c r="F5643" t="s">
        <v>4075</v>
      </c>
    </row>
    <row r="5644" spans="1:6" x14ac:dyDescent="0.25">
      <c r="A5644">
        <v>4644</v>
      </c>
      <c r="B5644" t="s">
        <v>4092</v>
      </c>
      <c r="C5644">
        <v>28</v>
      </c>
      <c r="D5644" t="s">
        <v>2757</v>
      </c>
      <c r="E5644" t="s">
        <v>4093</v>
      </c>
      <c r="F5644" t="s">
        <v>4076</v>
      </c>
    </row>
    <row r="5645" spans="1:6" x14ac:dyDescent="0.25">
      <c r="A5645">
        <v>4646</v>
      </c>
      <c r="B5645" t="s">
        <v>4072</v>
      </c>
      <c r="C5645">
        <v>13</v>
      </c>
      <c r="D5645" t="s">
        <v>4097</v>
      </c>
      <c r="E5645" t="s">
        <v>4098</v>
      </c>
      <c r="F5645" t="s">
        <v>4076</v>
      </c>
    </row>
    <row r="5646" spans="1:6" x14ac:dyDescent="0.25">
      <c r="A5646">
        <v>4647</v>
      </c>
      <c r="B5646" t="s">
        <v>4072</v>
      </c>
      <c r="C5646">
        <v>42</v>
      </c>
      <c r="D5646" t="s">
        <v>4082</v>
      </c>
      <c r="E5646" t="s">
        <v>4083</v>
      </c>
      <c r="F5646" t="s">
        <v>4079</v>
      </c>
    </row>
    <row r="5647" spans="1:6" x14ac:dyDescent="0.25">
      <c r="A5647">
        <v>4647</v>
      </c>
      <c r="B5647" t="s">
        <v>4072</v>
      </c>
      <c r="C5647">
        <v>46</v>
      </c>
      <c r="D5647" t="s">
        <v>4099</v>
      </c>
      <c r="E5647" t="s">
        <v>4100</v>
      </c>
      <c r="F5647" t="s">
        <v>4079</v>
      </c>
    </row>
    <row r="5648" spans="1:6" x14ac:dyDescent="0.25">
      <c r="A5648">
        <v>4648</v>
      </c>
      <c r="B5648" t="s">
        <v>4072</v>
      </c>
      <c r="C5648">
        <v>6</v>
      </c>
      <c r="D5648" t="s">
        <v>4073</v>
      </c>
      <c r="E5648" t="s">
        <v>4074</v>
      </c>
      <c r="F5648" t="s">
        <v>4075</v>
      </c>
    </row>
    <row r="5649" spans="1:6" x14ac:dyDescent="0.25">
      <c r="A5649">
        <v>4648</v>
      </c>
      <c r="B5649" t="s">
        <v>4072</v>
      </c>
      <c r="C5649">
        <v>19</v>
      </c>
      <c r="D5649" t="s">
        <v>4073</v>
      </c>
      <c r="E5649" t="s">
        <v>4074</v>
      </c>
      <c r="F5649" t="s">
        <v>4076</v>
      </c>
    </row>
    <row r="5650" spans="1:6" x14ac:dyDescent="0.25">
      <c r="A5650">
        <v>4649</v>
      </c>
      <c r="B5650" t="s">
        <v>4072</v>
      </c>
      <c r="C5650">
        <v>5</v>
      </c>
      <c r="D5650" t="s">
        <v>4087</v>
      </c>
      <c r="E5650" t="s">
        <v>4088</v>
      </c>
      <c r="F5650" t="s">
        <v>4075</v>
      </c>
    </row>
    <row r="5651" spans="1:6" x14ac:dyDescent="0.25">
      <c r="A5651">
        <v>4649</v>
      </c>
      <c r="B5651" t="s">
        <v>4072</v>
      </c>
      <c r="C5651">
        <v>15</v>
      </c>
      <c r="D5651" t="s">
        <v>4080</v>
      </c>
      <c r="E5651" t="s">
        <v>4081</v>
      </c>
      <c r="F5651" t="s">
        <v>4076</v>
      </c>
    </row>
    <row r="5652" spans="1:6" x14ac:dyDescent="0.25">
      <c r="A5652">
        <v>4650</v>
      </c>
      <c r="B5652" t="s">
        <v>4092</v>
      </c>
      <c r="C5652">
        <v>23</v>
      </c>
      <c r="D5652" t="s">
        <v>2757</v>
      </c>
      <c r="E5652" t="s">
        <v>4093</v>
      </c>
      <c r="F5652" t="s">
        <v>4075</v>
      </c>
    </row>
    <row r="5653" spans="1:6" x14ac:dyDescent="0.25">
      <c r="A5653">
        <v>4650</v>
      </c>
      <c r="B5653" t="s">
        <v>4092</v>
      </c>
      <c r="C5653">
        <v>28</v>
      </c>
      <c r="D5653" t="s">
        <v>2757</v>
      </c>
      <c r="E5653" t="s">
        <v>4093</v>
      </c>
      <c r="F5653" t="s">
        <v>4076</v>
      </c>
    </row>
    <row r="5654" spans="1:6" x14ac:dyDescent="0.25">
      <c r="A5654">
        <v>4651</v>
      </c>
      <c r="B5654" t="s">
        <v>4092</v>
      </c>
      <c r="C5654">
        <v>25</v>
      </c>
      <c r="D5654" t="s">
        <v>4102</v>
      </c>
      <c r="E5654" t="s">
        <v>4103</v>
      </c>
      <c r="F5654" t="s">
        <v>4075</v>
      </c>
    </row>
    <row r="5655" spans="1:6" x14ac:dyDescent="0.25">
      <c r="A5655">
        <v>4651</v>
      </c>
      <c r="B5655" t="s">
        <v>4092</v>
      </c>
      <c r="C5655">
        <v>30</v>
      </c>
      <c r="D5655" t="s">
        <v>4102</v>
      </c>
      <c r="E5655" t="s">
        <v>4103</v>
      </c>
      <c r="F5655" t="s">
        <v>4076</v>
      </c>
    </row>
    <row r="5656" spans="1:6" x14ac:dyDescent="0.25">
      <c r="A5656">
        <v>4654</v>
      </c>
      <c r="B5656" t="s">
        <v>4072</v>
      </c>
      <c r="C5656">
        <v>6</v>
      </c>
      <c r="D5656" t="s">
        <v>4073</v>
      </c>
      <c r="E5656" t="s">
        <v>4074</v>
      </c>
      <c r="F5656" t="s">
        <v>4075</v>
      </c>
    </row>
    <row r="5657" spans="1:6" x14ac:dyDescent="0.25">
      <c r="A5657">
        <v>4654</v>
      </c>
      <c r="B5657" t="s">
        <v>4072</v>
      </c>
      <c r="C5657">
        <v>19</v>
      </c>
      <c r="D5657" t="s">
        <v>4073</v>
      </c>
      <c r="E5657" t="s">
        <v>4074</v>
      </c>
      <c r="F5657" t="s">
        <v>4076</v>
      </c>
    </row>
    <row r="5658" spans="1:6" x14ac:dyDescent="0.25">
      <c r="A5658">
        <v>4655</v>
      </c>
      <c r="B5658" t="s">
        <v>4072</v>
      </c>
      <c r="C5658">
        <v>2</v>
      </c>
      <c r="D5658" t="s">
        <v>4082</v>
      </c>
      <c r="E5658" t="s">
        <v>4083</v>
      </c>
      <c r="F5658" t="s">
        <v>4075</v>
      </c>
    </row>
    <row r="5659" spans="1:6" x14ac:dyDescent="0.25">
      <c r="A5659">
        <v>4655</v>
      </c>
      <c r="B5659" t="s">
        <v>4072</v>
      </c>
      <c r="C5659">
        <v>17</v>
      </c>
      <c r="D5659" t="s">
        <v>4082</v>
      </c>
      <c r="E5659" t="s">
        <v>4084</v>
      </c>
      <c r="F5659" t="s">
        <v>4076</v>
      </c>
    </row>
    <row r="5660" spans="1:6" x14ac:dyDescent="0.25">
      <c r="A5660">
        <v>4656</v>
      </c>
      <c r="B5660" t="s">
        <v>4072</v>
      </c>
      <c r="C5660">
        <v>2</v>
      </c>
      <c r="D5660" t="s">
        <v>4082</v>
      </c>
      <c r="E5660" t="s">
        <v>4083</v>
      </c>
      <c r="F5660" t="s">
        <v>4075</v>
      </c>
    </row>
    <row r="5661" spans="1:6" x14ac:dyDescent="0.25">
      <c r="A5661">
        <v>4656</v>
      </c>
      <c r="B5661" t="s">
        <v>4072</v>
      </c>
      <c r="C5661">
        <v>17</v>
      </c>
      <c r="D5661" t="s">
        <v>4082</v>
      </c>
      <c r="E5661" t="s">
        <v>4084</v>
      </c>
      <c r="F5661" t="s">
        <v>4076</v>
      </c>
    </row>
    <row r="5662" spans="1:6" x14ac:dyDescent="0.25">
      <c r="A5662">
        <v>4657</v>
      </c>
      <c r="B5662" t="s">
        <v>4072</v>
      </c>
      <c r="C5662">
        <v>2</v>
      </c>
      <c r="D5662" t="s">
        <v>4082</v>
      </c>
      <c r="E5662" t="s">
        <v>4083</v>
      </c>
      <c r="F5662" t="s">
        <v>4075</v>
      </c>
    </row>
    <row r="5663" spans="1:6" x14ac:dyDescent="0.25">
      <c r="A5663">
        <v>4657</v>
      </c>
      <c r="B5663" t="s">
        <v>4072</v>
      </c>
      <c r="C5663">
        <v>17</v>
      </c>
      <c r="D5663" t="s">
        <v>4082</v>
      </c>
      <c r="E5663" t="s">
        <v>4084</v>
      </c>
      <c r="F5663" t="s">
        <v>4076</v>
      </c>
    </row>
    <row r="5664" spans="1:6" x14ac:dyDescent="0.25">
      <c r="A5664">
        <v>4658</v>
      </c>
      <c r="B5664" t="s">
        <v>4072</v>
      </c>
      <c r="C5664">
        <v>19</v>
      </c>
      <c r="D5664" t="s">
        <v>4073</v>
      </c>
      <c r="E5664" t="s">
        <v>4074</v>
      </c>
      <c r="F5664" t="s">
        <v>4076</v>
      </c>
    </row>
    <row r="5665" spans="1:6" x14ac:dyDescent="0.25">
      <c r="A5665">
        <v>4659</v>
      </c>
      <c r="B5665" t="s">
        <v>4072</v>
      </c>
      <c r="C5665">
        <v>13</v>
      </c>
      <c r="D5665" t="s">
        <v>4097</v>
      </c>
      <c r="E5665" t="s">
        <v>4098</v>
      </c>
      <c r="F5665" t="s">
        <v>4076</v>
      </c>
    </row>
    <row r="5666" spans="1:6" x14ac:dyDescent="0.25">
      <c r="A5666">
        <v>4660</v>
      </c>
      <c r="B5666" t="s">
        <v>4072</v>
      </c>
      <c r="C5666">
        <v>6</v>
      </c>
      <c r="D5666" t="s">
        <v>4073</v>
      </c>
      <c r="E5666" t="s">
        <v>4074</v>
      </c>
      <c r="F5666" t="s">
        <v>4075</v>
      </c>
    </row>
    <row r="5667" spans="1:6" x14ac:dyDescent="0.25">
      <c r="A5667">
        <v>4660</v>
      </c>
      <c r="B5667" t="s">
        <v>4072</v>
      </c>
      <c r="C5667">
        <v>19</v>
      </c>
      <c r="D5667" t="s">
        <v>4073</v>
      </c>
      <c r="E5667" t="s">
        <v>4074</v>
      </c>
      <c r="F5667" t="s">
        <v>4076</v>
      </c>
    </row>
    <row r="5668" spans="1:6" x14ac:dyDescent="0.25">
      <c r="A5668">
        <v>4661</v>
      </c>
      <c r="B5668" t="s">
        <v>4072</v>
      </c>
      <c r="C5668">
        <v>2</v>
      </c>
      <c r="D5668" t="s">
        <v>4082</v>
      </c>
      <c r="E5668" t="s">
        <v>4083</v>
      </c>
      <c r="F5668" t="s">
        <v>4075</v>
      </c>
    </row>
    <row r="5669" spans="1:6" x14ac:dyDescent="0.25">
      <c r="A5669">
        <v>4661</v>
      </c>
      <c r="B5669" t="s">
        <v>4072</v>
      </c>
      <c r="C5669">
        <v>17</v>
      </c>
      <c r="D5669" t="s">
        <v>4082</v>
      </c>
      <c r="E5669" t="s">
        <v>4084</v>
      </c>
      <c r="F5669" t="s">
        <v>4076</v>
      </c>
    </row>
    <row r="5670" spans="1:6" x14ac:dyDescent="0.25">
      <c r="A5670">
        <v>4662</v>
      </c>
      <c r="B5670" t="s">
        <v>4072</v>
      </c>
      <c r="C5670">
        <v>3</v>
      </c>
      <c r="D5670" t="s">
        <v>4085</v>
      </c>
      <c r="E5670" t="s">
        <v>4086</v>
      </c>
      <c r="F5670" t="s">
        <v>4075</v>
      </c>
    </row>
    <row r="5671" spans="1:6" x14ac:dyDescent="0.25">
      <c r="A5671">
        <v>4662</v>
      </c>
      <c r="B5671" t="s">
        <v>4072</v>
      </c>
      <c r="C5671">
        <v>4</v>
      </c>
      <c r="D5671" t="s">
        <v>4077</v>
      </c>
      <c r="E5671" t="s">
        <v>4078</v>
      </c>
      <c r="F5671" t="s">
        <v>4075</v>
      </c>
    </row>
    <row r="5672" spans="1:6" x14ac:dyDescent="0.25">
      <c r="A5672">
        <v>4662</v>
      </c>
      <c r="B5672" t="s">
        <v>4072</v>
      </c>
      <c r="C5672">
        <v>15</v>
      </c>
      <c r="D5672" t="s">
        <v>4080</v>
      </c>
      <c r="E5672" t="s">
        <v>4081</v>
      </c>
      <c r="F5672" t="s">
        <v>4076</v>
      </c>
    </row>
    <row r="5673" spans="1:6" x14ac:dyDescent="0.25">
      <c r="A5673">
        <v>4662</v>
      </c>
      <c r="B5673" t="s">
        <v>4072</v>
      </c>
      <c r="C5673">
        <v>16</v>
      </c>
      <c r="D5673" t="s">
        <v>4077</v>
      </c>
      <c r="E5673" t="s">
        <v>4078</v>
      </c>
      <c r="F5673" t="s">
        <v>4076</v>
      </c>
    </row>
    <row r="5674" spans="1:6" x14ac:dyDescent="0.25">
      <c r="A5674">
        <v>4663</v>
      </c>
      <c r="B5674" t="s">
        <v>4072</v>
      </c>
      <c r="C5674">
        <v>3</v>
      </c>
      <c r="D5674" t="s">
        <v>4085</v>
      </c>
      <c r="E5674" t="s">
        <v>4086</v>
      </c>
      <c r="F5674" t="s">
        <v>4075</v>
      </c>
    </row>
    <row r="5675" spans="1:6" x14ac:dyDescent="0.25">
      <c r="A5675">
        <v>4663</v>
      </c>
      <c r="B5675" t="s">
        <v>4072</v>
      </c>
      <c r="C5675">
        <v>15</v>
      </c>
      <c r="D5675" t="s">
        <v>4080</v>
      </c>
      <c r="E5675" t="s">
        <v>4081</v>
      </c>
      <c r="F5675" t="s">
        <v>4076</v>
      </c>
    </row>
    <row r="5676" spans="1:6" x14ac:dyDescent="0.25">
      <c r="A5676">
        <v>4664</v>
      </c>
      <c r="B5676" t="s">
        <v>4092</v>
      </c>
      <c r="C5676">
        <v>33</v>
      </c>
      <c r="D5676" t="s">
        <v>4109</v>
      </c>
      <c r="E5676" t="s">
        <v>4110</v>
      </c>
      <c r="F5676" t="s">
        <v>4075</v>
      </c>
    </row>
    <row r="5677" spans="1:6" x14ac:dyDescent="0.25">
      <c r="A5677">
        <v>4665</v>
      </c>
      <c r="B5677" t="s">
        <v>4092</v>
      </c>
      <c r="C5677">
        <v>33</v>
      </c>
      <c r="D5677" t="s">
        <v>4109</v>
      </c>
      <c r="E5677" t="s">
        <v>4110</v>
      </c>
      <c r="F5677" t="s">
        <v>4075</v>
      </c>
    </row>
    <row r="5678" spans="1:6" x14ac:dyDescent="0.25">
      <c r="A5678">
        <v>4665</v>
      </c>
      <c r="B5678" t="s">
        <v>4092</v>
      </c>
      <c r="C5678">
        <v>34</v>
      </c>
      <c r="D5678" t="s">
        <v>4109</v>
      </c>
      <c r="E5678" t="s">
        <v>4110</v>
      </c>
      <c r="F5678" t="s">
        <v>4076</v>
      </c>
    </row>
    <row r="5679" spans="1:6" x14ac:dyDescent="0.25">
      <c r="A5679">
        <v>4666</v>
      </c>
      <c r="B5679" t="s">
        <v>4092</v>
      </c>
      <c r="C5679">
        <v>23</v>
      </c>
      <c r="D5679" t="s">
        <v>2757</v>
      </c>
      <c r="E5679" t="s">
        <v>4093</v>
      </c>
      <c r="F5679" t="s">
        <v>4075</v>
      </c>
    </row>
    <row r="5680" spans="1:6" x14ac:dyDescent="0.25">
      <c r="A5680">
        <v>4666</v>
      </c>
      <c r="B5680" t="s">
        <v>4092</v>
      </c>
      <c r="C5680">
        <v>28</v>
      </c>
      <c r="D5680" t="s">
        <v>2757</v>
      </c>
      <c r="E5680" t="s">
        <v>4093</v>
      </c>
      <c r="F5680" t="s">
        <v>4076</v>
      </c>
    </row>
    <row r="5681" spans="1:6" x14ac:dyDescent="0.25">
      <c r="A5681">
        <v>4667</v>
      </c>
      <c r="B5681" t="s">
        <v>4072</v>
      </c>
      <c r="C5681">
        <v>10</v>
      </c>
      <c r="D5681" t="s">
        <v>4095</v>
      </c>
      <c r="E5681" t="s">
        <v>4096</v>
      </c>
      <c r="F5681" t="s">
        <v>4075</v>
      </c>
    </row>
    <row r="5682" spans="1:6" x14ac:dyDescent="0.25">
      <c r="A5682">
        <v>4668</v>
      </c>
      <c r="B5682" t="s">
        <v>4072</v>
      </c>
      <c r="C5682">
        <v>4</v>
      </c>
      <c r="D5682" t="s">
        <v>4077</v>
      </c>
      <c r="E5682" t="s">
        <v>4078</v>
      </c>
      <c r="F5682" t="s">
        <v>4075</v>
      </c>
    </row>
    <row r="5683" spans="1:6" x14ac:dyDescent="0.25">
      <c r="A5683">
        <v>4668</v>
      </c>
      <c r="B5683" t="s">
        <v>4072</v>
      </c>
      <c r="C5683">
        <v>16</v>
      </c>
      <c r="D5683" t="s">
        <v>4077</v>
      </c>
      <c r="E5683" t="s">
        <v>4078</v>
      </c>
      <c r="F5683" t="s">
        <v>4076</v>
      </c>
    </row>
    <row r="5684" spans="1:6" x14ac:dyDescent="0.25">
      <c r="A5684">
        <v>4669</v>
      </c>
      <c r="B5684" t="s">
        <v>4072</v>
      </c>
      <c r="C5684">
        <v>10</v>
      </c>
      <c r="D5684" t="s">
        <v>4095</v>
      </c>
      <c r="E5684" t="s">
        <v>4096</v>
      </c>
      <c r="F5684" t="s">
        <v>4075</v>
      </c>
    </row>
    <row r="5685" spans="1:6" x14ac:dyDescent="0.25">
      <c r="A5685">
        <v>4670</v>
      </c>
      <c r="B5685" t="s">
        <v>4072</v>
      </c>
      <c r="C5685">
        <v>6</v>
      </c>
      <c r="D5685" t="s">
        <v>4073</v>
      </c>
      <c r="E5685" t="s">
        <v>4074</v>
      </c>
      <c r="F5685" t="s">
        <v>4075</v>
      </c>
    </row>
    <row r="5686" spans="1:6" x14ac:dyDescent="0.25">
      <c r="A5686">
        <v>4670</v>
      </c>
      <c r="B5686" t="s">
        <v>4072</v>
      </c>
      <c r="C5686">
        <v>19</v>
      </c>
      <c r="D5686" t="s">
        <v>4073</v>
      </c>
      <c r="E5686" t="s">
        <v>4074</v>
      </c>
      <c r="F5686" t="s">
        <v>4076</v>
      </c>
    </row>
    <row r="5687" spans="1:6" x14ac:dyDescent="0.25">
      <c r="A5687">
        <v>4671</v>
      </c>
      <c r="B5687" t="s">
        <v>4072</v>
      </c>
      <c r="C5687">
        <v>10</v>
      </c>
      <c r="D5687" t="s">
        <v>4095</v>
      </c>
      <c r="E5687" t="s">
        <v>4096</v>
      </c>
      <c r="F5687" t="s">
        <v>4075</v>
      </c>
    </row>
    <row r="5688" spans="1:6" x14ac:dyDescent="0.25">
      <c r="A5688">
        <v>4671</v>
      </c>
      <c r="B5688" t="s">
        <v>4072</v>
      </c>
      <c r="C5688">
        <v>13</v>
      </c>
      <c r="D5688" t="s">
        <v>4097</v>
      </c>
      <c r="E5688" t="s">
        <v>4098</v>
      </c>
      <c r="F5688" t="s">
        <v>4076</v>
      </c>
    </row>
    <row r="5689" spans="1:6" x14ac:dyDescent="0.25">
      <c r="A5689">
        <v>4672</v>
      </c>
      <c r="B5689" t="s">
        <v>4072</v>
      </c>
      <c r="C5689">
        <v>4</v>
      </c>
      <c r="D5689" t="s">
        <v>4077</v>
      </c>
      <c r="E5689" t="s">
        <v>4078</v>
      </c>
      <c r="F5689" t="s">
        <v>4075</v>
      </c>
    </row>
    <row r="5690" spans="1:6" x14ac:dyDescent="0.25">
      <c r="A5690">
        <v>4672</v>
      </c>
      <c r="B5690" t="s">
        <v>4072</v>
      </c>
      <c r="C5690">
        <v>16</v>
      </c>
      <c r="D5690" t="s">
        <v>4077</v>
      </c>
      <c r="E5690" t="s">
        <v>4078</v>
      </c>
      <c r="F5690" t="s">
        <v>4076</v>
      </c>
    </row>
    <row r="5691" spans="1:6" x14ac:dyDescent="0.25">
      <c r="A5691">
        <v>4673</v>
      </c>
      <c r="B5691" t="s">
        <v>4072</v>
      </c>
      <c r="C5691">
        <v>3</v>
      </c>
      <c r="D5691" t="s">
        <v>4085</v>
      </c>
      <c r="E5691" t="s">
        <v>4086</v>
      </c>
      <c r="F5691" t="s">
        <v>4075</v>
      </c>
    </row>
    <row r="5692" spans="1:6" x14ac:dyDescent="0.25">
      <c r="A5692">
        <v>4673</v>
      </c>
      <c r="B5692" t="s">
        <v>4072</v>
      </c>
      <c r="C5692">
        <v>13</v>
      </c>
      <c r="D5692" t="s">
        <v>4097</v>
      </c>
      <c r="E5692" t="s">
        <v>4098</v>
      </c>
      <c r="F5692" t="s">
        <v>4076</v>
      </c>
    </row>
    <row r="5693" spans="1:6" x14ac:dyDescent="0.25">
      <c r="A5693">
        <v>4674</v>
      </c>
      <c r="B5693" t="s">
        <v>4092</v>
      </c>
      <c r="C5693">
        <v>33</v>
      </c>
      <c r="D5693" t="s">
        <v>4109</v>
      </c>
      <c r="E5693" t="s">
        <v>4110</v>
      </c>
      <c r="F5693" t="s">
        <v>4075</v>
      </c>
    </row>
    <row r="5694" spans="1:6" x14ac:dyDescent="0.25">
      <c r="A5694">
        <v>4674</v>
      </c>
      <c r="B5694" t="s">
        <v>4092</v>
      </c>
      <c r="C5694">
        <v>34</v>
      </c>
      <c r="D5694" t="s">
        <v>4109</v>
      </c>
      <c r="E5694" t="s">
        <v>4110</v>
      </c>
      <c r="F5694" t="s">
        <v>4076</v>
      </c>
    </row>
    <row r="5695" spans="1:6" x14ac:dyDescent="0.25">
      <c r="A5695">
        <v>4676</v>
      </c>
      <c r="B5695" t="s">
        <v>4092</v>
      </c>
      <c r="C5695">
        <v>33</v>
      </c>
      <c r="D5695" t="s">
        <v>4109</v>
      </c>
      <c r="E5695" t="s">
        <v>4110</v>
      </c>
      <c r="F5695" t="s">
        <v>4075</v>
      </c>
    </row>
    <row r="5696" spans="1:6" x14ac:dyDescent="0.25">
      <c r="A5696">
        <v>4677</v>
      </c>
      <c r="B5696" t="s">
        <v>4072</v>
      </c>
      <c r="C5696">
        <v>5</v>
      </c>
      <c r="D5696" t="s">
        <v>4087</v>
      </c>
      <c r="E5696" t="s">
        <v>4088</v>
      </c>
      <c r="F5696" t="s">
        <v>4075</v>
      </c>
    </row>
    <row r="5697" spans="1:6" x14ac:dyDescent="0.25">
      <c r="A5697">
        <v>4677</v>
      </c>
      <c r="B5697" t="s">
        <v>4072</v>
      </c>
      <c r="C5697">
        <v>15</v>
      </c>
      <c r="D5697" t="s">
        <v>4080</v>
      </c>
      <c r="E5697" t="s">
        <v>4081</v>
      </c>
      <c r="F5697" t="s">
        <v>4076</v>
      </c>
    </row>
    <row r="5698" spans="1:6" x14ac:dyDescent="0.25">
      <c r="A5698">
        <v>4678</v>
      </c>
      <c r="B5698" t="s">
        <v>4092</v>
      </c>
      <c r="C5698">
        <v>33</v>
      </c>
      <c r="D5698" t="s">
        <v>4109</v>
      </c>
      <c r="E5698" t="s">
        <v>4110</v>
      </c>
      <c r="F5698" t="s">
        <v>4075</v>
      </c>
    </row>
    <row r="5699" spans="1:6" x14ac:dyDescent="0.25">
      <c r="A5699">
        <v>4679</v>
      </c>
      <c r="B5699" t="s">
        <v>4072</v>
      </c>
      <c r="C5699">
        <v>5</v>
      </c>
      <c r="D5699" t="s">
        <v>4087</v>
      </c>
      <c r="E5699" t="s">
        <v>4088</v>
      </c>
      <c r="F5699" t="s">
        <v>4075</v>
      </c>
    </row>
    <row r="5700" spans="1:6" x14ac:dyDescent="0.25">
      <c r="A5700">
        <v>4679</v>
      </c>
      <c r="B5700" t="s">
        <v>4072</v>
      </c>
      <c r="C5700">
        <v>15</v>
      </c>
      <c r="D5700" t="s">
        <v>4080</v>
      </c>
      <c r="E5700" t="s">
        <v>4081</v>
      </c>
      <c r="F5700" t="s">
        <v>4076</v>
      </c>
    </row>
    <row r="5701" spans="1:6" x14ac:dyDescent="0.25">
      <c r="A5701">
        <v>4681</v>
      </c>
      <c r="B5701" t="s">
        <v>4072</v>
      </c>
      <c r="C5701">
        <v>6</v>
      </c>
      <c r="D5701" t="s">
        <v>4073</v>
      </c>
      <c r="E5701" t="s">
        <v>4074</v>
      </c>
      <c r="F5701" t="s">
        <v>4075</v>
      </c>
    </row>
    <row r="5702" spans="1:6" x14ac:dyDescent="0.25">
      <c r="A5702">
        <v>4681</v>
      </c>
      <c r="B5702" t="s">
        <v>4072</v>
      </c>
      <c r="C5702">
        <v>19</v>
      </c>
      <c r="D5702" t="s">
        <v>4073</v>
      </c>
      <c r="E5702" t="s">
        <v>4074</v>
      </c>
      <c r="F5702" t="s">
        <v>4076</v>
      </c>
    </row>
    <row r="5703" spans="1:6" x14ac:dyDescent="0.25">
      <c r="A5703">
        <v>4682</v>
      </c>
      <c r="B5703" t="s">
        <v>4072</v>
      </c>
      <c r="C5703">
        <v>13</v>
      </c>
      <c r="D5703" t="s">
        <v>4097</v>
      </c>
      <c r="E5703" t="s">
        <v>4098</v>
      </c>
      <c r="F5703" t="s">
        <v>4076</v>
      </c>
    </row>
    <row r="5704" spans="1:6" x14ac:dyDescent="0.25">
      <c r="A5704">
        <v>4683</v>
      </c>
      <c r="B5704" t="s">
        <v>4072</v>
      </c>
      <c r="C5704">
        <v>14</v>
      </c>
      <c r="D5704" t="s">
        <v>4090</v>
      </c>
      <c r="E5704" t="s">
        <v>4091</v>
      </c>
      <c r="F5704" t="s">
        <v>4076</v>
      </c>
    </row>
    <row r="5705" spans="1:6" x14ac:dyDescent="0.25">
      <c r="A5705">
        <v>4683</v>
      </c>
      <c r="B5705" t="s">
        <v>4072</v>
      </c>
      <c r="C5705">
        <v>37</v>
      </c>
      <c r="D5705" t="s">
        <v>2398</v>
      </c>
      <c r="E5705" t="s">
        <v>4101</v>
      </c>
      <c r="F5705" t="s">
        <v>4075</v>
      </c>
    </row>
    <row r="5706" spans="1:6" x14ac:dyDescent="0.25">
      <c r="A5706">
        <v>4684</v>
      </c>
      <c r="B5706" t="s">
        <v>4072</v>
      </c>
      <c r="C5706">
        <v>5</v>
      </c>
      <c r="D5706" t="s">
        <v>4087</v>
      </c>
      <c r="E5706" t="s">
        <v>4088</v>
      </c>
      <c r="F5706" t="s">
        <v>4075</v>
      </c>
    </row>
    <row r="5707" spans="1:6" x14ac:dyDescent="0.25">
      <c r="A5707">
        <v>4684</v>
      </c>
      <c r="B5707" t="s">
        <v>4072</v>
      </c>
      <c r="C5707">
        <v>15</v>
      </c>
      <c r="D5707" t="s">
        <v>4080</v>
      </c>
      <c r="E5707" t="s">
        <v>4081</v>
      </c>
      <c r="F5707" t="s">
        <v>4076</v>
      </c>
    </row>
    <row r="5708" spans="1:6" x14ac:dyDescent="0.25">
      <c r="A5708">
        <v>4685</v>
      </c>
      <c r="B5708" t="s">
        <v>4092</v>
      </c>
      <c r="C5708">
        <v>24</v>
      </c>
      <c r="D5708" t="s">
        <v>2760</v>
      </c>
      <c r="E5708" t="s">
        <v>4108</v>
      </c>
      <c r="F5708" t="s">
        <v>4075</v>
      </c>
    </row>
    <row r="5709" spans="1:6" x14ac:dyDescent="0.25">
      <c r="A5709">
        <v>4685</v>
      </c>
      <c r="B5709" t="s">
        <v>4092</v>
      </c>
      <c r="C5709">
        <v>29</v>
      </c>
      <c r="D5709" t="s">
        <v>2760</v>
      </c>
      <c r="E5709" t="s">
        <v>4108</v>
      </c>
      <c r="F5709" t="s">
        <v>4076</v>
      </c>
    </row>
    <row r="5710" spans="1:6" x14ac:dyDescent="0.25">
      <c r="A5710">
        <v>4686</v>
      </c>
      <c r="B5710" t="s">
        <v>4092</v>
      </c>
      <c r="C5710">
        <v>33</v>
      </c>
      <c r="D5710" t="s">
        <v>4109</v>
      </c>
      <c r="E5710" t="s">
        <v>4110</v>
      </c>
      <c r="F5710" t="s">
        <v>4075</v>
      </c>
    </row>
    <row r="5711" spans="1:6" x14ac:dyDescent="0.25">
      <c r="A5711">
        <v>4686</v>
      </c>
      <c r="B5711" t="s">
        <v>4092</v>
      </c>
      <c r="C5711">
        <v>34</v>
      </c>
      <c r="D5711" t="s">
        <v>4109</v>
      </c>
      <c r="E5711" t="s">
        <v>4110</v>
      </c>
      <c r="F5711" t="s">
        <v>4076</v>
      </c>
    </row>
    <row r="5712" spans="1:6" x14ac:dyDescent="0.25">
      <c r="A5712">
        <v>4687</v>
      </c>
      <c r="B5712" t="s">
        <v>4072</v>
      </c>
      <c r="C5712">
        <v>2</v>
      </c>
      <c r="D5712" t="s">
        <v>4082</v>
      </c>
      <c r="E5712" t="s">
        <v>4083</v>
      </c>
      <c r="F5712" t="s">
        <v>4075</v>
      </c>
    </row>
    <row r="5713" spans="1:6" x14ac:dyDescent="0.25">
      <c r="A5713">
        <v>4687</v>
      </c>
      <c r="B5713" t="s">
        <v>4072</v>
      </c>
      <c r="C5713">
        <v>17</v>
      </c>
      <c r="D5713" t="s">
        <v>4082</v>
      </c>
      <c r="E5713" t="s">
        <v>4084</v>
      </c>
      <c r="F5713" t="s">
        <v>4076</v>
      </c>
    </row>
    <row r="5714" spans="1:6" x14ac:dyDescent="0.25">
      <c r="A5714">
        <v>4688</v>
      </c>
      <c r="B5714" t="s">
        <v>4072</v>
      </c>
      <c r="C5714">
        <v>10</v>
      </c>
      <c r="D5714" t="s">
        <v>4095</v>
      </c>
      <c r="E5714" t="s">
        <v>4096</v>
      </c>
      <c r="F5714" t="s">
        <v>4075</v>
      </c>
    </row>
    <row r="5715" spans="1:6" x14ac:dyDescent="0.25">
      <c r="A5715">
        <v>4688</v>
      </c>
      <c r="B5715" t="s">
        <v>4072</v>
      </c>
      <c r="C5715">
        <v>13</v>
      </c>
      <c r="D5715" t="s">
        <v>4097</v>
      </c>
      <c r="E5715" t="s">
        <v>4098</v>
      </c>
      <c r="F5715" t="s">
        <v>4076</v>
      </c>
    </row>
    <row r="5716" spans="1:6" x14ac:dyDescent="0.25">
      <c r="A5716">
        <v>4689</v>
      </c>
      <c r="B5716" t="s">
        <v>4072</v>
      </c>
      <c r="C5716">
        <v>13</v>
      </c>
      <c r="D5716" t="s">
        <v>4097</v>
      </c>
      <c r="E5716" t="s">
        <v>4098</v>
      </c>
      <c r="F5716" t="s">
        <v>4076</v>
      </c>
    </row>
    <row r="5717" spans="1:6" x14ac:dyDescent="0.25">
      <c r="A5717">
        <v>4690</v>
      </c>
      <c r="B5717" t="s">
        <v>4072</v>
      </c>
      <c r="C5717">
        <v>6</v>
      </c>
      <c r="D5717" t="s">
        <v>4073</v>
      </c>
      <c r="E5717" t="s">
        <v>4074</v>
      </c>
      <c r="F5717" t="s">
        <v>4075</v>
      </c>
    </row>
    <row r="5718" spans="1:6" x14ac:dyDescent="0.25">
      <c r="A5718">
        <v>4690</v>
      </c>
      <c r="B5718" t="s">
        <v>4072</v>
      </c>
      <c r="C5718">
        <v>19</v>
      </c>
      <c r="D5718" t="s">
        <v>4073</v>
      </c>
      <c r="E5718" t="s">
        <v>4074</v>
      </c>
      <c r="F5718" t="s">
        <v>4076</v>
      </c>
    </row>
    <row r="5719" spans="1:6" x14ac:dyDescent="0.25">
      <c r="A5719">
        <v>4691</v>
      </c>
      <c r="B5719" t="s">
        <v>4072</v>
      </c>
      <c r="C5719">
        <v>13</v>
      </c>
      <c r="D5719" t="s">
        <v>4097</v>
      </c>
      <c r="E5719" t="s">
        <v>4098</v>
      </c>
      <c r="F5719" t="s">
        <v>4076</v>
      </c>
    </row>
    <row r="5720" spans="1:6" x14ac:dyDescent="0.25">
      <c r="A5720">
        <v>4692</v>
      </c>
      <c r="B5720" t="s">
        <v>4072</v>
      </c>
      <c r="C5720">
        <v>12</v>
      </c>
      <c r="D5720" t="s">
        <v>2159</v>
      </c>
      <c r="E5720" t="s">
        <v>4094</v>
      </c>
      <c r="F5720" t="s">
        <v>4076</v>
      </c>
    </row>
    <row r="5721" spans="1:6" x14ac:dyDescent="0.25">
      <c r="A5721">
        <v>4693</v>
      </c>
      <c r="B5721" t="s">
        <v>4072</v>
      </c>
      <c r="C5721">
        <v>19</v>
      </c>
      <c r="D5721" t="s">
        <v>4073</v>
      </c>
      <c r="E5721" t="s">
        <v>4074</v>
      </c>
      <c r="F5721" t="s">
        <v>4076</v>
      </c>
    </row>
    <row r="5722" spans="1:6" x14ac:dyDescent="0.25">
      <c r="A5722">
        <v>4694</v>
      </c>
      <c r="B5722" t="s">
        <v>4072</v>
      </c>
      <c r="C5722">
        <v>10</v>
      </c>
      <c r="D5722" t="s">
        <v>4095</v>
      </c>
      <c r="E5722" t="s">
        <v>4096</v>
      </c>
      <c r="F5722" t="s">
        <v>4075</v>
      </c>
    </row>
    <row r="5723" spans="1:6" x14ac:dyDescent="0.25">
      <c r="A5723">
        <v>4694</v>
      </c>
      <c r="B5723" t="s">
        <v>4072</v>
      </c>
      <c r="C5723">
        <v>13</v>
      </c>
      <c r="D5723" t="s">
        <v>4097</v>
      </c>
      <c r="E5723" t="s">
        <v>4098</v>
      </c>
      <c r="F5723" t="s">
        <v>4076</v>
      </c>
    </row>
    <row r="5724" spans="1:6" x14ac:dyDescent="0.25">
      <c r="A5724">
        <v>4695</v>
      </c>
      <c r="B5724" t="s">
        <v>4072</v>
      </c>
      <c r="C5724">
        <v>10</v>
      </c>
      <c r="D5724" t="s">
        <v>4095</v>
      </c>
      <c r="E5724" t="s">
        <v>4096</v>
      </c>
      <c r="F5724" t="s">
        <v>4075</v>
      </c>
    </row>
    <row r="5725" spans="1:6" x14ac:dyDescent="0.25">
      <c r="A5725">
        <v>4695</v>
      </c>
      <c r="B5725" t="s">
        <v>4072</v>
      </c>
      <c r="C5725">
        <v>13</v>
      </c>
      <c r="D5725" t="s">
        <v>4097</v>
      </c>
      <c r="E5725" t="s">
        <v>4098</v>
      </c>
      <c r="F5725" t="s">
        <v>4076</v>
      </c>
    </row>
    <row r="5726" spans="1:6" x14ac:dyDescent="0.25">
      <c r="A5726">
        <v>4696</v>
      </c>
      <c r="B5726" t="s">
        <v>4072</v>
      </c>
      <c r="C5726">
        <v>5</v>
      </c>
      <c r="D5726" t="s">
        <v>4087</v>
      </c>
      <c r="E5726" t="s">
        <v>4088</v>
      </c>
      <c r="F5726" t="s">
        <v>4075</v>
      </c>
    </row>
    <row r="5727" spans="1:6" x14ac:dyDescent="0.25">
      <c r="A5727">
        <v>4696</v>
      </c>
      <c r="B5727" t="s">
        <v>4072</v>
      </c>
      <c r="C5727">
        <v>15</v>
      </c>
      <c r="D5727" t="s">
        <v>4080</v>
      </c>
      <c r="E5727" t="s">
        <v>4081</v>
      </c>
      <c r="F5727" t="s">
        <v>4076</v>
      </c>
    </row>
    <row r="5728" spans="1:6" x14ac:dyDescent="0.25">
      <c r="A5728">
        <v>4697</v>
      </c>
      <c r="B5728" t="s">
        <v>4072</v>
      </c>
      <c r="C5728">
        <v>2</v>
      </c>
      <c r="D5728" t="s">
        <v>4082</v>
      </c>
      <c r="E5728" t="s">
        <v>4083</v>
      </c>
      <c r="F5728" t="s">
        <v>4075</v>
      </c>
    </row>
    <row r="5729" spans="1:6" x14ac:dyDescent="0.25">
      <c r="A5729">
        <v>4697</v>
      </c>
      <c r="B5729" t="s">
        <v>4072</v>
      </c>
      <c r="C5729">
        <v>17</v>
      </c>
      <c r="D5729" t="s">
        <v>4082</v>
      </c>
      <c r="E5729" t="s">
        <v>4084</v>
      </c>
      <c r="F5729" t="s">
        <v>4076</v>
      </c>
    </row>
    <row r="5730" spans="1:6" x14ac:dyDescent="0.25">
      <c r="A5730">
        <v>4698</v>
      </c>
      <c r="B5730" t="s">
        <v>4072</v>
      </c>
      <c r="C5730">
        <v>2</v>
      </c>
      <c r="D5730" t="s">
        <v>4082</v>
      </c>
      <c r="E5730" t="s">
        <v>4083</v>
      </c>
      <c r="F5730" t="s">
        <v>4075</v>
      </c>
    </row>
    <row r="5731" spans="1:6" x14ac:dyDescent="0.25">
      <c r="A5731">
        <v>4698</v>
      </c>
      <c r="B5731" t="s">
        <v>4072</v>
      </c>
      <c r="C5731">
        <v>17</v>
      </c>
      <c r="D5731" t="s">
        <v>4082</v>
      </c>
      <c r="E5731" t="s">
        <v>4084</v>
      </c>
      <c r="F5731" t="s">
        <v>4076</v>
      </c>
    </row>
    <row r="5732" spans="1:6" x14ac:dyDescent="0.25">
      <c r="A5732">
        <v>4699</v>
      </c>
      <c r="B5732" t="s">
        <v>4072</v>
      </c>
      <c r="C5732">
        <v>1</v>
      </c>
      <c r="D5732" t="s">
        <v>2761</v>
      </c>
      <c r="E5732" t="s">
        <v>4089</v>
      </c>
      <c r="F5732" t="s">
        <v>4075</v>
      </c>
    </row>
    <row r="5733" spans="1:6" x14ac:dyDescent="0.25">
      <c r="A5733">
        <v>4699</v>
      </c>
      <c r="B5733" t="s">
        <v>4072</v>
      </c>
      <c r="C5733">
        <v>38</v>
      </c>
      <c r="D5733" t="s">
        <v>2761</v>
      </c>
      <c r="E5733" t="s">
        <v>4089</v>
      </c>
      <c r="F5733" t="s">
        <v>4076</v>
      </c>
    </row>
    <row r="5734" spans="1:6" x14ac:dyDescent="0.25">
      <c r="A5734">
        <v>4700</v>
      </c>
      <c r="B5734" t="s">
        <v>4072</v>
      </c>
      <c r="C5734">
        <v>1</v>
      </c>
      <c r="D5734" t="s">
        <v>2761</v>
      </c>
      <c r="E5734" t="s">
        <v>4089</v>
      </c>
      <c r="F5734" t="s">
        <v>4075</v>
      </c>
    </row>
    <row r="5735" spans="1:6" x14ac:dyDescent="0.25">
      <c r="A5735">
        <v>4700</v>
      </c>
      <c r="B5735" t="s">
        <v>4072</v>
      </c>
      <c r="C5735">
        <v>38</v>
      </c>
      <c r="D5735" t="s">
        <v>2761</v>
      </c>
      <c r="E5735" t="s">
        <v>4089</v>
      </c>
      <c r="F5735" t="s">
        <v>4076</v>
      </c>
    </row>
    <row r="5736" spans="1:6" x14ac:dyDescent="0.25">
      <c r="A5736">
        <v>4701</v>
      </c>
      <c r="B5736" t="s">
        <v>4072</v>
      </c>
      <c r="C5736">
        <v>5</v>
      </c>
      <c r="D5736" t="s">
        <v>4087</v>
      </c>
      <c r="E5736" t="s">
        <v>4088</v>
      </c>
      <c r="F5736" t="s">
        <v>4075</v>
      </c>
    </row>
    <row r="5737" spans="1:6" x14ac:dyDescent="0.25">
      <c r="A5737">
        <v>4701</v>
      </c>
      <c r="B5737" t="s">
        <v>4072</v>
      </c>
      <c r="C5737">
        <v>15</v>
      </c>
      <c r="D5737" t="s">
        <v>4080</v>
      </c>
      <c r="E5737" t="s">
        <v>4081</v>
      </c>
      <c r="F5737" t="s">
        <v>4076</v>
      </c>
    </row>
    <row r="5738" spans="1:6" x14ac:dyDescent="0.25">
      <c r="A5738">
        <v>4702</v>
      </c>
      <c r="B5738" t="s">
        <v>4072</v>
      </c>
      <c r="C5738">
        <v>5</v>
      </c>
      <c r="D5738" t="s">
        <v>4087</v>
      </c>
      <c r="E5738" t="s">
        <v>4088</v>
      </c>
      <c r="F5738" t="s">
        <v>4075</v>
      </c>
    </row>
    <row r="5739" spans="1:6" x14ac:dyDescent="0.25">
      <c r="A5739">
        <v>4702</v>
      </c>
      <c r="B5739" t="s">
        <v>4072</v>
      </c>
      <c r="C5739">
        <v>15</v>
      </c>
      <c r="D5739" t="s">
        <v>4080</v>
      </c>
      <c r="E5739" t="s">
        <v>4081</v>
      </c>
      <c r="F5739" t="s">
        <v>4076</v>
      </c>
    </row>
    <row r="5740" spans="1:6" x14ac:dyDescent="0.25">
      <c r="A5740">
        <v>4703</v>
      </c>
      <c r="B5740" t="s">
        <v>4072</v>
      </c>
      <c r="C5740">
        <v>5</v>
      </c>
      <c r="D5740" t="s">
        <v>4087</v>
      </c>
      <c r="E5740" t="s">
        <v>4088</v>
      </c>
      <c r="F5740" t="s">
        <v>4075</v>
      </c>
    </row>
    <row r="5741" spans="1:6" x14ac:dyDescent="0.25">
      <c r="A5741">
        <v>4703</v>
      </c>
      <c r="B5741" t="s">
        <v>4072</v>
      </c>
      <c r="C5741">
        <v>15</v>
      </c>
      <c r="D5741" t="s">
        <v>4080</v>
      </c>
      <c r="E5741" t="s">
        <v>4081</v>
      </c>
      <c r="F5741" t="s">
        <v>4076</v>
      </c>
    </row>
    <row r="5742" spans="1:6" x14ac:dyDescent="0.25">
      <c r="A5742">
        <v>4704</v>
      </c>
      <c r="B5742" t="s">
        <v>4072</v>
      </c>
      <c r="C5742">
        <v>3</v>
      </c>
      <c r="D5742" t="s">
        <v>4085</v>
      </c>
      <c r="E5742" t="s">
        <v>4086</v>
      </c>
      <c r="F5742" t="s">
        <v>4075</v>
      </c>
    </row>
    <row r="5743" spans="1:6" x14ac:dyDescent="0.25">
      <c r="A5743">
        <v>4704</v>
      </c>
      <c r="B5743" t="s">
        <v>4072</v>
      </c>
      <c r="C5743">
        <v>15</v>
      </c>
      <c r="D5743" t="s">
        <v>4080</v>
      </c>
      <c r="E5743" t="s">
        <v>4081</v>
      </c>
      <c r="F5743" t="s">
        <v>4076</v>
      </c>
    </row>
    <row r="5744" spans="1:6" x14ac:dyDescent="0.25">
      <c r="A5744">
        <v>4705</v>
      </c>
      <c r="B5744" t="s">
        <v>4072</v>
      </c>
      <c r="C5744">
        <v>5</v>
      </c>
      <c r="D5744" t="s">
        <v>4087</v>
      </c>
      <c r="E5744" t="s">
        <v>4088</v>
      </c>
      <c r="F5744" t="s">
        <v>4075</v>
      </c>
    </row>
    <row r="5745" spans="1:6" x14ac:dyDescent="0.25">
      <c r="A5745">
        <v>4705</v>
      </c>
      <c r="B5745" t="s">
        <v>4072</v>
      </c>
      <c r="C5745">
        <v>15</v>
      </c>
      <c r="D5745" t="s">
        <v>4080</v>
      </c>
      <c r="E5745" t="s">
        <v>4081</v>
      </c>
      <c r="F5745" t="s">
        <v>4076</v>
      </c>
    </row>
    <row r="5746" spans="1:6" x14ac:dyDescent="0.25">
      <c r="A5746">
        <v>4706</v>
      </c>
      <c r="B5746" t="s">
        <v>4072</v>
      </c>
      <c r="C5746">
        <v>5</v>
      </c>
      <c r="D5746" t="s">
        <v>4087</v>
      </c>
      <c r="E5746" t="s">
        <v>4088</v>
      </c>
      <c r="F5746" t="s">
        <v>4075</v>
      </c>
    </row>
    <row r="5747" spans="1:6" x14ac:dyDescent="0.25">
      <c r="A5747">
        <v>4706</v>
      </c>
      <c r="B5747" t="s">
        <v>4072</v>
      </c>
      <c r="C5747">
        <v>15</v>
      </c>
      <c r="D5747" t="s">
        <v>4080</v>
      </c>
      <c r="E5747" t="s">
        <v>4081</v>
      </c>
      <c r="F5747" t="s">
        <v>4076</v>
      </c>
    </row>
    <row r="5748" spans="1:6" x14ac:dyDescent="0.25">
      <c r="A5748">
        <v>4708</v>
      </c>
      <c r="B5748" t="s">
        <v>4072</v>
      </c>
      <c r="C5748">
        <v>5</v>
      </c>
      <c r="D5748" t="s">
        <v>4087</v>
      </c>
      <c r="E5748" t="s">
        <v>4088</v>
      </c>
      <c r="F5748" t="s">
        <v>4075</v>
      </c>
    </row>
    <row r="5749" spans="1:6" x14ac:dyDescent="0.25">
      <c r="A5749">
        <v>4708</v>
      </c>
      <c r="B5749" t="s">
        <v>4072</v>
      </c>
      <c r="C5749">
        <v>15</v>
      </c>
      <c r="D5749" t="s">
        <v>4080</v>
      </c>
      <c r="E5749" t="s">
        <v>4081</v>
      </c>
      <c r="F5749" t="s">
        <v>4076</v>
      </c>
    </row>
    <row r="5750" spans="1:6" x14ac:dyDescent="0.25">
      <c r="A5750">
        <v>4709</v>
      </c>
      <c r="B5750" t="s">
        <v>4072</v>
      </c>
      <c r="C5750">
        <v>4</v>
      </c>
      <c r="D5750" t="s">
        <v>4077</v>
      </c>
      <c r="E5750" t="s">
        <v>4078</v>
      </c>
      <c r="F5750" t="s">
        <v>4075</v>
      </c>
    </row>
    <row r="5751" spans="1:6" x14ac:dyDescent="0.25">
      <c r="A5751">
        <v>4709</v>
      </c>
      <c r="B5751" t="s">
        <v>4072</v>
      </c>
      <c r="C5751">
        <v>16</v>
      </c>
      <c r="D5751" t="s">
        <v>4077</v>
      </c>
      <c r="E5751" t="s">
        <v>4078</v>
      </c>
      <c r="F5751" t="s">
        <v>4076</v>
      </c>
    </row>
    <row r="5752" spans="1:6" x14ac:dyDescent="0.25">
      <c r="A5752">
        <v>4710</v>
      </c>
      <c r="B5752" t="s">
        <v>4072</v>
      </c>
      <c r="C5752">
        <v>6</v>
      </c>
      <c r="D5752" t="s">
        <v>4073</v>
      </c>
      <c r="E5752" t="s">
        <v>4074</v>
      </c>
      <c r="F5752" t="s">
        <v>4075</v>
      </c>
    </row>
    <row r="5753" spans="1:6" x14ac:dyDescent="0.25">
      <c r="A5753">
        <v>4710</v>
      </c>
      <c r="B5753" t="s">
        <v>4072</v>
      </c>
      <c r="C5753">
        <v>19</v>
      </c>
      <c r="D5753" t="s">
        <v>4073</v>
      </c>
      <c r="E5753" t="s">
        <v>4074</v>
      </c>
      <c r="F5753" t="s">
        <v>4076</v>
      </c>
    </row>
    <row r="5754" spans="1:6" x14ac:dyDescent="0.25">
      <c r="A5754">
        <v>4711</v>
      </c>
      <c r="B5754" t="s">
        <v>4072</v>
      </c>
      <c r="C5754">
        <v>19</v>
      </c>
      <c r="D5754" t="s">
        <v>4073</v>
      </c>
      <c r="E5754" t="s">
        <v>4074</v>
      </c>
      <c r="F5754" t="s">
        <v>4076</v>
      </c>
    </row>
    <row r="5755" spans="1:6" x14ac:dyDescent="0.25">
      <c r="A5755">
        <v>4712</v>
      </c>
      <c r="B5755" t="s">
        <v>4092</v>
      </c>
      <c r="C5755">
        <v>32</v>
      </c>
      <c r="D5755" t="s">
        <v>4106</v>
      </c>
      <c r="E5755" t="s">
        <v>4107</v>
      </c>
      <c r="F5755" t="s">
        <v>4076</v>
      </c>
    </row>
    <row r="5756" spans="1:6" x14ac:dyDescent="0.25">
      <c r="A5756">
        <v>4713</v>
      </c>
      <c r="B5756" t="s">
        <v>4072</v>
      </c>
      <c r="C5756">
        <v>6</v>
      </c>
      <c r="D5756" t="s">
        <v>4073</v>
      </c>
      <c r="E5756" t="s">
        <v>4074</v>
      </c>
      <c r="F5756" t="s">
        <v>4075</v>
      </c>
    </row>
    <row r="5757" spans="1:6" x14ac:dyDescent="0.25">
      <c r="A5757">
        <v>4713</v>
      </c>
      <c r="B5757" t="s">
        <v>4072</v>
      </c>
      <c r="C5757">
        <v>19</v>
      </c>
      <c r="D5757" t="s">
        <v>4073</v>
      </c>
      <c r="E5757" t="s">
        <v>4074</v>
      </c>
      <c r="F5757" t="s">
        <v>4076</v>
      </c>
    </row>
    <row r="5758" spans="1:6" x14ac:dyDescent="0.25">
      <c r="A5758">
        <v>4714</v>
      </c>
      <c r="B5758" t="s">
        <v>4072</v>
      </c>
      <c r="C5758">
        <v>6</v>
      </c>
      <c r="D5758" t="s">
        <v>4073</v>
      </c>
      <c r="E5758" t="s">
        <v>4074</v>
      </c>
      <c r="F5758" t="s">
        <v>4075</v>
      </c>
    </row>
    <row r="5759" spans="1:6" x14ac:dyDescent="0.25">
      <c r="A5759">
        <v>4714</v>
      </c>
      <c r="B5759" t="s">
        <v>4072</v>
      </c>
      <c r="C5759">
        <v>19</v>
      </c>
      <c r="D5759" t="s">
        <v>4073</v>
      </c>
      <c r="E5759" t="s">
        <v>4074</v>
      </c>
      <c r="F5759" t="s">
        <v>4076</v>
      </c>
    </row>
    <row r="5760" spans="1:6" x14ac:dyDescent="0.25">
      <c r="A5760">
        <v>4715</v>
      </c>
      <c r="B5760" t="s">
        <v>4072</v>
      </c>
      <c r="C5760">
        <v>10</v>
      </c>
      <c r="D5760" t="s">
        <v>4095</v>
      </c>
      <c r="E5760" t="s">
        <v>4096</v>
      </c>
      <c r="F5760" t="s">
        <v>4075</v>
      </c>
    </row>
    <row r="5761" spans="1:6" x14ac:dyDescent="0.25">
      <c r="A5761">
        <v>4715</v>
      </c>
      <c r="B5761" t="s">
        <v>4072</v>
      </c>
      <c r="C5761">
        <v>13</v>
      </c>
      <c r="D5761" t="s">
        <v>4097</v>
      </c>
      <c r="E5761" t="s">
        <v>4098</v>
      </c>
      <c r="F5761" t="s">
        <v>4076</v>
      </c>
    </row>
    <row r="5762" spans="1:6" x14ac:dyDescent="0.25">
      <c r="A5762">
        <v>4717</v>
      </c>
      <c r="B5762" t="s">
        <v>4072</v>
      </c>
      <c r="C5762">
        <v>2</v>
      </c>
      <c r="D5762" t="s">
        <v>4082</v>
      </c>
      <c r="E5762" t="s">
        <v>4083</v>
      </c>
      <c r="F5762" t="s">
        <v>4075</v>
      </c>
    </row>
    <row r="5763" spans="1:6" x14ac:dyDescent="0.25">
      <c r="A5763">
        <v>4717</v>
      </c>
      <c r="B5763" t="s">
        <v>4072</v>
      </c>
      <c r="C5763">
        <v>17</v>
      </c>
      <c r="D5763" t="s">
        <v>4082</v>
      </c>
      <c r="E5763" t="s">
        <v>4084</v>
      </c>
      <c r="F5763" t="s">
        <v>4076</v>
      </c>
    </row>
    <row r="5764" spans="1:6" x14ac:dyDescent="0.25">
      <c r="A5764">
        <v>4718</v>
      </c>
      <c r="B5764" t="s">
        <v>4092</v>
      </c>
      <c r="C5764">
        <v>33</v>
      </c>
      <c r="D5764" t="s">
        <v>4109</v>
      </c>
      <c r="E5764" t="s">
        <v>4110</v>
      </c>
      <c r="F5764" t="s">
        <v>4075</v>
      </c>
    </row>
    <row r="5765" spans="1:6" x14ac:dyDescent="0.25">
      <c r="A5765">
        <v>4718</v>
      </c>
      <c r="B5765" t="s">
        <v>4092</v>
      </c>
      <c r="C5765">
        <v>34</v>
      </c>
      <c r="D5765" t="s">
        <v>4109</v>
      </c>
      <c r="E5765" t="s">
        <v>4110</v>
      </c>
      <c r="F5765" t="s">
        <v>4076</v>
      </c>
    </row>
    <row r="5766" spans="1:6" x14ac:dyDescent="0.25">
      <c r="A5766">
        <v>4719</v>
      </c>
      <c r="B5766" t="s">
        <v>4092</v>
      </c>
      <c r="C5766">
        <v>33</v>
      </c>
      <c r="D5766" t="s">
        <v>4109</v>
      </c>
      <c r="E5766" t="s">
        <v>4110</v>
      </c>
      <c r="F5766" t="s">
        <v>4075</v>
      </c>
    </row>
    <row r="5767" spans="1:6" x14ac:dyDescent="0.25">
      <c r="A5767">
        <v>4719</v>
      </c>
      <c r="B5767" t="s">
        <v>4092</v>
      </c>
      <c r="C5767">
        <v>34</v>
      </c>
      <c r="D5767" t="s">
        <v>4109</v>
      </c>
      <c r="E5767" t="s">
        <v>4110</v>
      </c>
      <c r="F5767" t="s">
        <v>4076</v>
      </c>
    </row>
    <row r="5768" spans="1:6" x14ac:dyDescent="0.25">
      <c r="A5768">
        <v>4720</v>
      </c>
      <c r="B5768" t="s">
        <v>4092</v>
      </c>
      <c r="C5768">
        <v>33</v>
      </c>
      <c r="D5768" t="s">
        <v>4109</v>
      </c>
      <c r="E5768" t="s">
        <v>4110</v>
      </c>
      <c r="F5768" t="s">
        <v>4075</v>
      </c>
    </row>
    <row r="5769" spans="1:6" x14ac:dyDescent="0.25">
      <c r="A5769">
        <v>4720</v>
      </c>
      <c r="B5769" t="s">
        <v>4092</v>
      </c>
      <c r="C5769">
        <v>34</v>
      </c>
      <c r="D5769" t="s">
        <v>4109</v>
      </c>
      <c r="E5769" t="s">
        <v>4110</v>
      </c>
      <c r="F5769" t="s">
        <v>4076</v>
      </c>
    </row>
    <row r="5770" spans="1:6" x14ac:dyDescent="0.25">
      <c r="A5770">
        <v>4721</v>
      </c>
      <c r="B5770" t="s">
        <v>4072</v>
      </c>
      <c r="C5770">
        <v>2</v>
      </c>
      <c r="D5770" t="s">
        <v>4082</v>
      </c>
      <c r="E5770" t="s">
        <v>4083</v>
      </c>
      <c r="F5770" t="s">
        <v>4075</v>
      </c>
    </row>
    <row r="5771" spans="1:6" x14ac:dyDescent="0.25">
      <c r="A5771">
        <v>4721</v>
      </c>
      <c r="B5771" t="s">
        <v>4072</v>
      </c>
      <c r="C5771">
        <v>17</v>
      </c>
      <c r="D5771" t="s">
        <v>4082</v>
      </c>
      <c r="E5771" t="s">
        <v>4084</v>
      </c>
      <c r="F5771" t="s">
        <v>4076</v>
      </c>
    </row>
    <row r="5772" spans="1:6" x14ac:dyDescent="0.25">
      <c r="A5772">
        <v>4722</v>
      </c>
      <c r="B5772" t="s">
        <v>4072</v>
      </c>
      <c r="C5772">
        <v>2</v>
      </c>
      <c r="D5772" t="s">
        <v>4082</v>
      </c>
      <c r="E5772" t="s">
        <v>4083</v>
      </c>
      <c r="F5772" t="s">
        <v>4075</v>
      </c>
    </row>
    <row r="5773" spans="1:6" x14ac:dyDescent="0.25">
      <c r="A5773">
        <v>4722</v>
      </c>
      <c r="B5773" t="s">
        <v>4072</v>
      </c>
      <c r="C5773">
        <v>17</v>
      </c>
      <c r="D5773" t="s">
        <v>4082</v>
      </c>
      <c r="E5773" t="s">
        <v>4084</v>
      </c>
      <c r="F5773" t="s">
        <v>4076</v>
      </c>
    </row>
    <row r="5774" spans="1:6" x14ac:dyDescent="0.25">
      <c r="A5774">
        <v>4723</v>
      </c>
      <c r="B5774" t="s">
        <v>4072</v>
      </c>
      <c r="C5774">
        <v>6</v>
      </c>
      <c r="D5774" t="s">
        <v>4073</v>
      </c>
      <c r="E5774" t="s">
        <v>4074</v>
      </c>
      <c r="F5774" t="s">
        <v>4075</v>
      </c>
    </row>
    <row r="5775" spans="1:6" x14ac:dyDescent="0.25">
      <c r="A5775">
        <v>4723</v>
      </c>
      <c r="B5775" t="s">
        <v>4072</v>
      </c>
      <c r="C5775">
        <v>19</v>
      </c>
      <c r="D5775" t="s">
        <v>4073</v>
      </c>
      <c r="E5775" t="s">
        <v>4074</v>
      </c>
      <c r="F5775" t="s">
        <v>4076</v>
      </c>
    </row>
    <row r="5776" spans="1:6" x14ac:dyDescent="0.25">
      <c r="A5776">
        <v>4724</v>
      </c>
      <c r="B5776" t="s">
        <v>4072</v>
      </c>
      <c r="C5776">
        <v>5</v>
      </c>
      <c r="D5776" t="s">
        <v>4087</v>
      </c>
      <c r="E5776" t="s">
        <v>4088</v>
      </c>
      <c r="F5776" t="s">
        <v>4075</v>
      </c>
    </row>
    <row r="5777" spans="1:6" x14ac:dyDescent="0.25">
      <c r="A5777">
        <v>4724</v>
      </c>
      <c r="B5777" t="s">
        <v>4072</v>
      </c>
      <c r="C5777">
        <v>15</v>
      </c>
      <c r="D5777" t="s">
        <v>4080</v>
      </c>
      <c r="E5777" t="s">
        <v>4081</v>
      </c>
      <c r="F5777" t="s">
        <v>4076</v>
      </c>
    </row>
    <row r="5778" spans="1:6" x14ac:dyDescent="0.25">
      <c r="A5778">
        <v>4725</v>
      </c>
      <c r="B5778" t="s">
        <v>4072</v>
      </c>
      <c r="C5778">
        <v>4</v>
      </c>
      <c r="D5778" t="s">
        <v>4077</v>
      </c>
      <c r="E5778" t="s">
        <v>4078</v>
      </c>
      <c r="F5778" t="s">
        <v>4075</v>
      </c>
    </row>
    <row r="5779" spans="1:6" x14ac:dyDescent="0.25">
      <c r="A5779">
        <v>4725</v>
      </c>
      <c r="B5779" t="s">
        <v>4072</v>
      </c>
      <c r="C5779">
        <v>16</v>
      </c>
      <c r="D5779" t="s">
        <v>4077</v>
      </c>
      <c r="E5779" t="s">
        <v>4078</v>
      </c>
      <c r="F5779" t="s">
        <v>4076</v>
      </c>
    </row>
    <row r="5780" spans="1:6" x14ac:dyDescent="0.25">
      <c r="A5780">
        <v>4726</v>
      </c>
      <c r="B5780" t="s">
        <v>4092</v>
      </c>
      <c r="C5780">
        <v>24</v>
      </c>
      <c r="D5780" t="s">
        <v>2760</v>
      </c>
      <c r="E5780" t="s">
        <v>4108</v>
      </c>
      <c r="F5780" t="s">
        <v>4075</v>
      </c>
    </row>
    <row r="5781" spans="1:6" x14ac:dyDescent="0.25">
      <c r="A5781">
        <v>4726</v>
      </c>
      <c r="B5781" t="s">
        <v>4092</v>
      </c>
      <c r="C5781">
        <v>29</v>
      </c>
      <c r="D5781" t="s">
        <v>2760</v>
      </c>
      <c r="E5781" t="s">
        <v>4108</v>
      </c>
      <c r="F5781" t="s">
        <v>4076</v>
      </c>
    </row>
    <row r="5782" spans="1:6" x14ac:dyDescent="0.25">
      <c r="A5782">
        <v>4727</v>
      </c>
      <c r="B5782" t="s">
        <v>4072</v>
      </c>
      <c r="C5782">
        <v>3</v>
      </c>
      <c r="D5782" t="s">
        <v>4085</v>
      </c>
      <c r="E5782" t="s">
        <v>4086</v>
      </c>
      <c r="F5782" t="s">
        <v>4075</v>
      </c>
    </row>
    <row r="5783" spans="1:6" x14ac:dyDescent="0.25">
      <c r="A5783">
        <v>4727</v>
      </c>
      <c r="B5783" t="s">
        <v>4072</v>
      </c>
      <c r="C5783">
        <v>15</v>
      </c>
      <c r="D5783" t="s">
        <v>4080</v>
      </c>
      <c r="E5783" t="s">
        <v>4081</v>
      </c>
      <c r="F5783" t="s">
        <v>4076</v>
      </c>
    </row>
    <row r="5784" spans="1:6" x14ac:dyDescent="0.25">
      <c r="A5784">
        <v>4728</v>
      </c>
      <c r="B5784" t="s">
        <v>4072</v>
      </c>
      <c r="C5784">
        <v>5</v>
      </c>
      <c r="D5784" t="s">
        <v>4087</v>
      </c>
      <c r="E5784" t="s">
        <v>4088</v>
      </c>
      <c r="F5784" t="s">
        <v>4075</v>
      </c>
    </row>
    <row r="5785" spans="1:6" x14ac:dyDescent="0.25">
      <c r="A5785">
        <v>4729</v>
      </c>
      <c r="B5785" t="s">
        <v>4072</v>
      </c>
      <c r="C5785">
        <v>4</v>
      </c>
      <c r="D5785" t="s">
        <v>4077</v>
      </c>
      <c r="E5785" t="s">
        <v>4078</v>
      </c>
      <c r="F5785" t="s">
        <v>4075</v>
      </c>
    </row>
    <row r="5786" spans="1:6" x14ac:dyDescent="0.25">
      <c r="A5786">
        <v>4730</v>
      </c>
      <c r="B5786" t="s">
        <v>4092</v>
      </c>
      <c r="C5786">
        <v>24</v>
      </c>
      <c r="D5786" t="s">
        <v>2760</v>
      </c>
      <c r="E5786" t="s">
        <v>4108</v>
      </c>
      <c r="F5786" t="s">
        <v>4075</v>
      </c>
    </row>
    <row r="5787" spans="1:6" x14ac:dyDescent="0.25">
      <c r="A5787">
        <v>4730</v>
      </c>
      <c r="B5787" t="s">
        <v>4092</v>
      </c>
      <c r="C5787">
        <v>29</v>
      </c>
      <c r="D5787" t="s">
        <v>2760</v>
      </c>
      <c r="E5787" t="s">
        <v>4108</v>
      </c>
      <c r="F5787" t="s">
        <v>4076</v>
      </c>
    </row>
    <row r="5788" spans="1:6" x14ac:dyDescent="0.25">
      <c r="A5788">
        <v>4731</v>
      </c>
      <c r="B5788" t="s">
        <v>4072</v>
      </c>
      <c r="C5788">
        <v>4</v>
      </c>
      <c r="D5788" t="s">
        <v>4077</v>
      </c>
      <c r="E5788" t="s">
        <v>4078</v>
      </c>
      <c r="F5788" t="s">
        <v>4075</v>
      </c>
    </row>
    <row r="5789" spans="1:6" x14ac:dyDescent="0.25">
      <c r="A5789">
        <v>4731</v>
      </c>
      <c r="B5789" t="s">
        <v>4072</v>
      </c>
      <c r="C5789">
        <v>16</v>
      </c>
      <c r="D5789" t="s">
        <v>4077</v>
      </c>
      <c r="E5789" t="s">
        <v>4078</v>
      </c>
      <c r="F5789" t="s">
        <v>4076</v>
      </c>
    </row>
    <row r="5790" spans="1:6" x14ac:dyDescent="0.25">
      <c r="A5790">
        <v>4732</v>
      </c>
      <c r="B5790" t="s">
        <v>4072</v>
      </c>
      <c r="C5790">
        <v>5</v>
      </c>
      <c r="D5790" t="s">
        <v>4087</v>
      </c>
      <c r="E5790" t="s">
        <v>4088</v>
      </c>
      <c r="F5790" t="s">
        <v>4075</v>
      </c>
    </row>
    <row r="5791" spans="1:6" x14ac:dyDescent="0.25">
      <c r="A5791">
        <v>4732</v>
      </c>
      <c r="B5791" t="s">
        <v>4072</v>
      </c>
      <c r="C5791">
        <v>15</v>
      </c>
      <c r="D5791" t="s">
        <v>4080</v>
      </c>
      <c r="E5791" t="s">
        <v>4081</v>
      </c>
      <c r="F5791" t="s">
        <v>4076</v>
      </c>
    </row>
    <row r="5792" spans="1:6" x14ac:dyDescent="0.25">
      <c r="A5792">
        <v>4733</v>
      </c>
      <c r="B5792" t="s">
        <v>4072</v>
      </c>
      <c r="C5792">
        <v>3</v>
      </c>
      <c r="D5792" t="s">
        <v>4085</v>
      </c>
      <c r="E5792" t="s">
        <v>4086</v>
      </c>
      <c r="F5792" t="s">
        <v>4075</v>
      </c>
    </row>
    <row r="5793" spans="1:6" x14ac:dyDescent="0.25">
      <c r="A5793">
        <v>4733</v>
      </c>
      <c r="B5793" t="s">
        <v>4072</v>
      </c>
      <c r="C5793">
        <v>15</v>
      </c>
      <c r="D5793" t="s">
        <v>4080</v>
      </c>
      <c r="E5793" t="s">
        <v>4081</v>
      </c>
      <c r="F5793" t="s">
        <v>4076</v>
      </c>
    </row>
    <row r="5794" spans="1:6" x14ac:dyDescent="0.25">
      <c r="A5794">
        <v>4734</v>
      </c>
      <c r="B5794" t="s">
        <v>4072</v>
      </c>
      <c r="C5794">
        <v>13</v>
      </c>
      <c r="D5794" t="s">
        <v>4097</v>
      </c>
      <c r="E5794" t="s">
        <v>4098</v>
      </c>
      <c r="F5794" t="s">
        <v>4076</v>
      </c>
    </row>
    <row r="5795" spans="1:6" x14ac:dyDescent="0.25">
      <c r="A5795">
        <v>4735</v>
      </c>
      <c r="B5795" t="s">
        <v>4072</v>
      </c>
      <c r="C5795">
        <v>13</v>
      </c>
      <c r="D5795" t="s">
        <v>4097</v>
      </c>
      <c r="E5795" t="s">
        <v>4098</v>
      </c>
      <c r="F5795" t="s">
        <v>4076</v>
      </c>
    </row>
    <row r="5796" spans="1:6" x14ac:dyDescent="0.25">
      <c r="A5796">
        <v>4736</v>
      </c>
      <c r="B5796" t="s">
        <v>4072</v>
      </c>
      <c r="C5796">
        <v>4</v>
      </c>
      <c r="D5796" t="s">
        <v>4077</v>
      </c>
      <c r="E5796" t="s">
        <v>4078</v>
      </c>
      <c r="F5796" t="s">
        <v>4075</v>
      </c>
    </row>
    <row r="5797" spans="1:6" x14ac:dyDescent="0.25">
      <c r="A5797">
        <v>4736</v>
      </c>
      <c r="B5797" t="s">
        <v>4072</v>
      </c>
      <c r="C5797">
        <v>16</v>
      </c>
      <c r="D5797" t="s">
        <v>4077</v>
      </c>
      <c r="E5797" t="s">
        <v>4078</v>
      </c>
      <c r="F5797" t="s">
        <v>4076</v>
      </c>
    </row>
    <row r="5798" spans="1:6" x14ac:dyDescent="0.25">
      <c r="A5798">
        <v>4738</v>
      </c>
      <c r="B5798" t="s">
        <v>4072</v>
      </c>
      <c r="C5798">
        <v>5</v>
      </c>
      <c r="D5798" t="s">
        <v>4087</v>
      </c>
      <c r="E5798" t="s">
        <v>4088</v>
      </c>
      <c r="F5798" t="s">
        <v>4075</v>
      </c>
    </row>
    <row r="5799" spans="1:6" x14ac:dyDescent="0.25">
      <c r="A5799">
        <v>4738</v>
      </c>
      <c r="B5799" t="s">
        <v>4072</v>
      </c>
      <c r="C5799">
        <v>15</v>
      </c>
      <c r="D5799" t="s">
        <v>4080</v>
      </c>
      <c r="E5799" t="s">
        <v>4081</v>
      </c>
      <c r="F5799" t="s">
        <v>4076</v>
      </c>
    </row>
    <row r="5800" spans="1:6" x14ac:dyDescent="0.25">
      <c r="A5800">
        <v>4738</v>
      </c>
      <c r="B5800" t="s">
        <v>4072</v>
      </c>
      <c r="C5800">
        <v>40</v>
      </c>
      <c r="D5800" t="s">
        <v>4080</v>
      </c>
      <c r="E5800" t="s">
        <v>4081</v>
      </c>
      <c r="F5800" t="s">
        <v>4079</v>
      </c>
    </row>
    <row r="5801" spans="1:6" x14ac:dyDescent="0.25">
      <c r="A5801">
        <v>4739</v>
      </c>
      <c r="B5801" t="s">
        <v>4072</v>
      </c>
      <c r="C5801">
        <v>15</v>
      </c>
      <c r="D5801" t="s">
        <v>4080</v>
      </c>
      <c r="E5801" t="s">
        <v>4081</v>
      </c>
      <c r="F5801" t="s">
        <v>4076</v>
      </c>
    </row>
    <row r="5802" spans="1:6" x14ac:dyDescent="0.25">
      <c r="A5802">
        <v>4739</v>
      </c>
      <c r="B5802" t="s">
        <v>4072</v>
      </c>
      <c r="C5802">
        <v>37</v>
      </c>
      <c r="D5802" t="s">
        <v>2398</v>
      </c>
      <c r="E5802" t="s">
        <v>4101</v>
      </c>
      <c r="F5802" t="s">
        <v>4075</v>
      </c>
    </row>
    <row r="5803" spans="1:6" x14ac:dyDescent="0.25">
      <c r="A5803">
        <v>4739</v>
      </c>
      <c r="B5803" t="s">
        <v>4072</v>
      </c>
      <c r="C5803">
        <v>40</v>
      </c>
      <c r="D5803" t="s">
        <v>4080</v>
      </c>
      <c r="E5803" t="s">
        <v>4081</v>
      </c>
      <c r="F5803" t="s">
        <v>4079</v>
      </c>
    </row>
    <row r="5804" spans="1:6" x14ac:dyDescent="0.25">
      <c r="A5804">
        <v>4740</v>
      </c>
      <c r="B5804" t="s">
        <v>4072</v>
      </c>
      <c r="C5804">
        <v>2</v>
      </c>
      <c r="D5804" t="s">
        <v>4082</v>
      </c>
      <c r="E5804" t="s">
        <v>4083</v>
      </c>
      <c r="F5804" t="s">
        <v>4075</v>
      </c>
    </row>
    <row r="5805" spans="1:6" x14ac:dyDescent="0.25">
      <c r="A5805">
        <v>4740</v>
      </c>
      <c r="B5805" t="s">
        <v>4072</v>
      </c>
      <c r="C5805">
        <v>17</v>
      </c>
      <c r="D5805" t="s">
        <v>4082</v>
      </c>
      <c r="E5805" t="s">
        <v>4084</v>
      </c>
      <c r="F5805" t="s">
        <v>4076</v>
      </c>
    </row>
    <row r="5806" spans="1:6" x14ac:dyDescent="0.25">
      <c r="A5806">
        <v>4740</v>
      </c>
      <c r="B5806" t="s">
        <v>4072</v>
      </c>
      <c r="C5806">
        <v>42</v>
      </c>
      <c r="D5806" t="s">
        <v>4082</v>
      </c>
      <c r="E5806" t="s">
        <v>4083</v>
      </c>
      <c r="F5806" t="s">
        <v>4079</v>
      </c>
    </row>
    <row r="5807" spans="1:6" x14ac:dyDescent="0.25">
      <c r="A5807">
        <v>4741</v>
      </c>
      <c r="B5807" t="s">
        <v>4072</v>
      </c>
      <c r="C5807">
        <v>19</v>
      </c>
      <c r="D5807" t="s">
        <v>4073</v>
      </c>
      <c r="E5807" t="s">
        <v>4074</v>
      </c>
      <c r="F5807" t="s">
        <v>4076</v>
      </c>
    </row>
    <row r="5808" spans="1:6" x14ac:dyDescent="0.25">
      <c r="A5808">
        <v>4741</v>
      </c>
      <c r="B5808" t="s">
        <v>4112</v>
      </c>
      <c r="C5808">
        <v>57</v>
      </c>
      <c r="D5808" t="s">
        <v>4118</v>
      </c>
      <c r="E5808" t="s">
        <v>4119</v>
      </c>
      <c r="F5808" t="s">
        <v>4079</v>
      </c>
    </row>
    <row r="5809" spans="1:6" x14ac:dyDescent="0.25">
      <c r="A5809">
        <v>4742</v>
      </c>
      <c r="B5809" t="s">
        <v>4072</v>
      </c>
      <c r="C5809">
        <v>19</v>
      </c>
      <c r="D5809" t="s">
        <v>4073</v>
      </c>
      <c r="E5809" t="s">
        <v>4074</v>
      </c>
      <c r="F5809" t="s">
        <v>4076</v>
      </c>
    </row>
    <row r="5810" spans="1:6" x14ac:dyDescent="0.25">
      <c r="A5810">
        <v>4742</v>
      </c>
      <c r="B5810" t="s">
        <v>4112</v>
      </c>
      <c r="C5810">
        <v>57</v>
      </c>
      <c r="D5810" t="s">
        <v>4118</v>
      </c>
      <c r="E5810" t="s">
        <v>4119</v>
      </c>
      <c r="F5810" t="s">
        <v>4079</v>
      </c>
    </row>
    <row r="5811" spans="1:6" x14ac:dyDescent="0.25">
      <c r="A5811">
        <v>4743</v>
      </c>
      <c r="B5811" t="s">
        <v>4072</v>
      </c>
      <c r="C5811">
        <v>19</v>
      </c>
      <c r="D5811" t="s">
        <v>4073</v>
      </c>
      <c r="E5811" t="s">
        <v>4074</v>
      </c>
      <c r="F5811" t="s">
        <v>4076</v>
      </c>
    </row>
    <row r="5812" spans="1:6" x14ac:dyDescent="0.25">
      <c r="A5812">
        <v>4743</v>
      </c>
      <c r="B5812" t="s">
        <v>4112</v>
      </c>
      <c r="C5812">
        <v>57</v>
      </c>
      <c r="D5812" t="s">
        <v>4118</v>
      </c>
      <c r="E5812" t="s">
        <v>4119</v>
      </c>
      <c r="F5812" t="s">
        <v>4079</v>
      </c>
    </row>
    <row r="5813" spans="1:6" x14ac:dyDescent="0.25">
      <c r="A5813">
        <v>4744</v>
      </c>
      <c r="B5813" t="s">
        <v>4072</v>
      </c>
      <c r="C5813">
        <v>19</v>
      </c>
      <c r="D5813" t="s">
        <v>4073</v>
      </c>
      <c r="E5813" t="s">
        <v>4074</v>
      </c>
      <c r="F5813" t="s">
        <v>4076</v>
      </c>
    </row>
    <row r="5814" spans="1:6" x14ac:dyDescent="0.25">
      <c r="A5814">
        <v>4744</v>
      </c>
      <c r="B5814" t="s">
        <v>4112</v>
      </c>
      <c r="C5814">
        <v>57</v>
      </c>
      <c r="D5814" t="s">
        <v>4118</v>
      </c>
      <c r="E5814" t="s">
        <v>4119</v>
      </c>
      <c r="F5814" t="s">
        <v>4079</v>
      </c>
    </row>
    <row r="5815" spans="1:6" x14ac:dyDescent="0.25">
      <c r="A5815">
        <v>4745</v>
      </c>
      <c r="B5815" t="s">
        <v>4072</v>
      </c>
      <c r="C5815">
        <v>6</v>
      </c>
      <c r="D5815" t="s">
        <v>4073</v>
      </c>
      <c r="E5815" t="s">
        <v>4074</v>
      </c>
      <c r="F5815" t="s">
        <v>4075</v>
      </c>
    </row>
    <row r="5816" spans="1:6" x14ac:dyDescent="0.25">
      <c r="A5816">
        <v>4745</v>
      </c>
      <c r="B5816" t="s">
        <v>4072</v>
      </c>
      <c r="C5816">
        <v>19</v>
      </c>
      <c r="D5816" t="s">
        <v>4073</v>
      </c>
      <c r="E5816" t="s">
        <v>4074</v>
      </c>
      <c r="F5816" t="s">
        <v>4076</v>
      </c>
    </row>
    <row r="5817" spans="1:6" x14ac:dyDescent="0.25">
      <c r="A5817">
        <v>4745</v>
      </c>
      <c r="B5817" t="s">
        <v>4072</v>
      </c>
      <c r="C5817">
        <v>39</v>
      </c>
      <c r="D5817" t="s">
        <v>4073</v>
      </c>
      <c r="E5817" t="s">
        <v>4074</v>
      </c>
      <c r="F5817" t="s">
        <v>4079</v>
      </c>
    </row>
    <row r="5818" spans="1:6" x14ac:dyDescent="0.25">
      <c r="A5818">
        <v>4746</v>
      </c>
      <c r="B5818" t="s">
        <v>4072</v>
      </c>
      <c r="C5818">
        <v>6</v>
      </c>
      <c r="D5818" t="s">
        <v>4073</v>
      </c>
      <c r="E5818" t="s">
        <v>4074</v>
      </c>
      <c r="F5818" t="s">
        <v>4075</v>
      </c>
    </row>
    <row r="5819" spans="1:6" x14ac:dyDescent="0.25">
      <c r="A5819">
        <v>4746</v>
      </c>
      <c r="B5819" t="s">
        <v>4072</v>
      </c>
      <c r="C5819">
        <v>19</v>
      </c>
      <c r="D5819" t="s">
        <v>4073</v>
      </c>
      <c r="E5819" t="s">
        <v>4074</v>
      </c>
      <c r="F5819" t="s">
        <v>4076</v>
      </c>
    </row>
    <row r="5820" spans="1:6" x14ac:dyDescent="0.25">
      <c r="A5820">
        <v>4746</v>
      </c>
      <c r="B5820" t="s">
        <v>4072</v>
      </c>
      <c r="C5820">
        <v>39</v>
      </c>
      <c r="D5820" t="s">
        <v>4073</v>
      </c>
      <c r="E5820" t="s">
        <v>4074</v>
      </c>
      <c r="F5820" t="s">
        <v>4079</v>
      </c>
    </row>
    <row r="5821" spans="1:6" x14ac:dyDescent="0.25">
      <c r="A5821">
        <v>4747</v>
      </c>
      <c r="B5821" t="s">
        <v>4072</v>
      </c>
      <c r="C5821">
        <v>6</v>
      </c>
      <c r="D5821" t="s">
        <v>4073</v>
      </c>
      <c r="E5821" t="s">
        <v>4074</v>
      </c>
      <c r="F5821" t="s">
        <v>4075</v>
      </c>
    </row>
    <row r="5822" spans="1:6" x14ac:dyDescent="0.25">
      <c r="A5822">
        <v>4747</v>
      </c>
      <c r="B5822" t="s">
        <v>4072</v>
      </c>
      <c r="C5822">
        <v>19</v>
      </c>
      <c r="D5822" t="s">
        <v>4073</v>
      </c>
      <c r="E5822" t="s">
        <v>4074</v>
      </c>
      <c r="F5822" t="s">
        <v>4076</v>
      </c>
    </row>
    <row r="5823" spans="1:6" x14ac:dyDescent="0.25">
      <c r="A5823">
        <v>4747</v>
      </c>
      <c r="B5823" t="s">
        <v>4072</v>
      </c>
      <c r="C5823">
        <v>39</v>
      </c>
      <c r="D5823" t="s">
        <v>4073</v>
      </c>
      <c r="E5823" t="s">
        <v>4074</v>
      </c>
      <c r="F5823" t="s">
        <v>4079</v>
      </c>
    </row>
    <row r="5824" spans="1:6" x14ac:dyDescent="0.25">
      <c r="A5824">
        <v>4748</v>
      </c>
      <c r="B5824" t="s">
        <v>4072</v>
      </c>
      <c r="C5824">
        <v>6</v>
      </c>
      <c r="D5824" t="s">
        <v>4073</v>
      </c>
      <c r="E5824" t="s">
        <v>4074</v>
      </c>
      <c r="F5824" t="s">
        <v>4075</v>
      </c>
    </row>
    <row r="5825" spans="1:6" x14ac:dyDescent="0.25">
      <c r="A5825">
        <v>4748</v>
      </c>
      <c r="B5825" t="s">
        <v>4072</v>
      </c>
      <c r="C5825">
        <v>19</v>
      </c>
      <c r="D5825" t="s">
        <v>4073</v>
      </c>
      <c r="E5825" t="s">
        <v>4074</v>
      </c>
      <c r="F5825" t="s">
        <v>4076</v>
      </c>
    </row>
    <row r="5826" spans="1:6" x14ac:dyDescent="0.25">
      <c r="A5826">
        <v>4748</v>
      </c>
      <c r="B5826" t="s">
        <v>4072</v>
      </c>
      <c r="C5826">
        <v>39</v>
      </c>
      <c r="D5826" t="s">
        <v>4073</v>
      </c>
      <c r="E5826" t="s">
        <v>4074</v>
      </c>
      <c r="F5826" t="s">
        <v>4079</v>
      </c>
    </row>
    <row r="5827" spans="1:6" x14ac:dyDescent="0.25">
      <c r="A5827">
        <v>4749</v>
      </c>
      <c r="B5827" t="s">
        <v>4072</v>
      </c>
      <c r="C5827">
        <v>10</v>
      </c>
      <c r="D5827" t="s">
        <v>4095</v>
      </c>
      <c r="E5827" t="s">
        <v>4096</v>
      </c>
      <c r="F5827" t="s">
        <v>4075</v>
      </c>
    </row>
    <row r="5828" spans="1:6" x14ac:dyDescent="0.25">
      <c r="A5828">
        <v>4750</v>
      </c>
      <c r="B5828" t="s">
        <v>4072</v>
      </c>
      <c r="C5828">
        <v>3</v>
      </c>
      <c r="D5828" t="s">
        <v>4085</v>
      </c>
      <c r="E5828" t="s">
        <v>4086</v>
      </c>
      <c r="F5828" t="s">
        <v>4075</v>
      </c>
    </row>
    <row r="5829" spans="1:6" x14ac:dyDescent="0.25">
      <c r="A5829">
        <v>4751</v>
      </c>
      <c r="B5829" t="s">
        <v>4092</v>
      </c>
      <c r="C5829">
        <v>29</v>
      </c>
      <c r="D5829" t="s">
        <v>2760</v>
      </c>
      <c r="E5829" t="s">
        <v>4108</v>
      </c>
      <c r="F5829" t="s">
        <v>4076</v>
      </c>
    </row>
    <row r="5830" spans="1:6" x14ac:dyDescent="0.25">
      <c r="A5830">
        <v>4751</v>
      </c>
      <c r="B5830" t="s">
        <v>4092</v>
      </c>
      <c r="C5830">
        <v>49</v>
      </c>
      <c r="D5830" t="s">
        <v>2760</v>
      </c>
      <c r="E5830" t="s">
        <v>4108</v>
      </c>
      <c r="F5830" t="s">
        <v>4079</v>
      </c>
    </row>
    <row r="5831" spans="1:6" x14ac:dyDescent="0.25">
      <c r="A5831">
        <v>4756</v>
      </c>
      <c r="B5831" t="s">
        <v>4072</v>
      </c>
      <c r="C5831">
        <v>6</v>
      </c>
      <c r="D5831" t="s">
        <v>4073</v>
      </c>
      <c r="E5831" t="s">
        <v>4074</v>
      </c>
      <c r="F5831" t="s">
        <v>4075</v>
      </c>
    </row>
    <row r="5832" spans="1:6" x14ac:dyDescent="0.25">
      <c r="A5832">
        <v>4756</v>
      </c>
      <c r="B5832" t="s">
        <v>4072</v>
      </c>
      <c r="C5832">
        <v>19</v>
      </c>
      <c r="D5832" t="s">
        <v>4073</v>
      </c>
      <c r="E5832" t="s">
        <v>4074</v>
      </c>
      <c r="F5832" t="s">
        <v>4076</v>
      </c>
    </row>
    <row r="5833" spans="1:6" x14ac:dyDescent="0.25">
      <c r="A5833">
        <v>4756</v>
      </c>
      <c r="B5833" t="s">
        <v>4072</v>
      </c>
      <c r="C5833">
        <v>39</v>
      </c>
      <c r="D5833" t="s">
        <v>4073</v>
      </c>
      <c r="E5833" t="s">
        <v>4074</v>
      </c>
      <c r="F5833" t="s">
        <v>4079</v>
      </c>
    </row>
    <row r="5834" spans="1:6" x14ac:dyDescent="0.25">
      <c r="A5834">
        <v>4758</v>
      </c>
      <c r="B5834" t="s">
        <v>4072</v>
      </c>
      <c r="C5834">
        <v>5</v>
      </c>
      <c r="D5834" t="s">
        <v>4087</v>
      </c>
      <c r="E5834" t="s">
        <v>4088</v>
      </c>
      <c r="F5834" t="s">
        <v>4075</v>
      </c>
    </row>
    <row r="5835" spans="1:6" x14ac:dyDescent="0.25">
      <c r="A5835">
        <v>4758</v>
      </c>
      <c r="B5835" t="s">
        <v>4072</v>
      </c>
      <c r="C5835">
        <v>15</v>
      </c>
      <c r="D5835" t="s">
        <v>4080</v>
      </c>
      <c r="E5835" t="s">
        <v>4081</v>
      </c>
      <c r="F5835" t="s">
        <v>4076</v>
      </c>
    </row>
    <row r="5836" spans="1:6" x14ac:dyDescent="0.25">
      <c r="A5836">
        <v>4759</v>
      </c>
      <c r="B5836" t="s">
        <v>4072</v>
      </c>
      <c r="C5836">
        <v>5</v>
      </c>
      <c r="D5836" t="s">
        <v>4087</v>
      </c>
      <c r="E5836" t="s">
        <v>4088</v>
      </c>
      <c r="F5836" t="s">
        <v>4075</v>
      </c>
    </row>
    <row r="5837" spans="1:6" x14ac:dyDescent="0.25">
      <c r="A5837">
        <v>4759</v>
      </c>
      <c r="B5837" t="s">
        <v>4072</v>
      </c>
      <c r="C5837">
        <v>15</v>
      </c>
      <c r="D5837" t="s">
        <v>4080</v>
      </c>
      <c r="E5837" t="s">
        <v>4081</v>
      </c>
      <c r="F5837" t="s">
        <v>4076</v>
      </c>
    </row>
    <row r="5838" spans="1:6" x14ac:dyDescent="0.25">
      <c r="A5838">
        <v>4760</v>
      </c>
      <c r="B5838" t="s">
        <v>4072</v>
      </c>
      <c r="C5838">
        <v>5</v>
      </c>
      <c r="D5838" t="s">
        <v>4087</v>
      </c>
      <c r="E5838" t="s">
        <v>4088</v>
      </c>
      <c r="F5838" t="s">
        <v>4075</v>
      </c>
    </row>
    <row r="5839" spans="1:6" x14ac:dyDescent="0.25">
      <c r="A5839">
        <v>4760</v>
      </c>
      <c r="B5839" t="s">
        <v>4072</v>
      </c>
      <c r="C5839">
        <v>15</v>
      </c>
      <c r="D5839" t="s">
        <v>4080</v>
      </c>
      <c r="E5839" t="s">
        <v>4081</v>
      </c>
      <c r="F5839" t="s">
        <v>4076</v>
      </c>
    </row>
    <row r="5840" spans="1:6" x14ac:dyDescent="0.25">
      <c r="A5840">
        <v>4761</v>
      </c>
      <c r="B5840" t="s">
        <v>4072</v>
      </c>
      <c r="C5840">
        <v>3</v>
      </c>
      <c r="D5840" t="s">
        <v>4085</v>
      </c>
      <c r="E5840" t="s">
        <v>4086</v>
      </c>
      <c r="F5840" t="s">
        <v>4075</v>
      </c>
    </row>
    <row r="5841" spans="1:6" x14ac:dyDescent="0.25">
      <c r="A5841">
        <v>4761</v>
      </c>
      <c r="B5841" t="s">
        <v>4072</v>
      </c>
      <c r="C5841">
        <v>15</v>
      </c>
      <c r="D5841" t="s">
        <v>4080</v>
      </c>
      <c r="E5841" t="s">
        <v>4081</v>
      </c>
      <c r="F5841" t="s">
        <v>4076</v>
      </c>
    </row>
    <row r="5842" spans="1:6" x14ac:dyDescent="0.25">
      <c r="A5842">
        <v>4762</v>
      </c>
      <c r="B5842" t="s">
        <v>4092</v>
      </c>
      <c r="C5842">
        <v>24</v>
      </c>
      <c r="D5842" t="s">
        <v>2760</v>
      </c>
      <c r="E5842" t="s">
        <v>4108</v>
      </c>
      <c r="F5842" t="s">
        <v>4075</v>
      </c>
    </row>
    <row r="5843" spans="1:6" x14ac:dyDescent="0.25">
      <c r="A5843">
        <v>4763</v>
      </c>
      <c r="B5843" t="s">
        <v>4072</v>
      </c>
      <c r="C5843">
        <v>4</v>
      </c>
      <c r="D5843" t="s">
        <v>4077</v>
      </c>
      <c r="E5843" t="s">
        <v>4078</v>
      </c>
      <c r="F5843" t="s">
        <v>4075</v>
      </c>
    </row>
    <row r="5844" spans="1:6" x14ac:dyDescent="0.25">
      <c r="A5844">
        <v>4763</v>
      </c>
      <c r="B5844" t="s">
        <v>4072</v>
      </c>
      <c r="C5844">
        <v>16</v>
      </c>
      <c r="D5844" t="s">
        <v>4077</v>
      </c>
      <c r="E5844" t="s">
        <v>4078</v>
      </c>
      <c r="F5844" t="s">
        <v>4076</v>
      </c>
    </row>
    <row r="5845" spans="1:6" x14ac:dyDescent="0.25">
      <c r="A5845">
        <v>4764</v>
      </c>
      <c r="B5845" t="s">
        <v>4072</v>
      </c>
      <c r="C5845">
        <v>3</v>
      </c>
      <c r="D5845" t="s">
        <v>4085</v>
      </c>
      <c r="E5845" t="s">
        <v>4086</v>
      </c>
      <c r="F5845" t="s">
        <v>4075</v>
      </c>
    </row>
    <row r="5846" spans="1:6" x14ac:dyDescent="0.25">
      <c r="A5846">
        <v>4764</v>
      </c>
      <c r="B5846" t="s">
        <v>4072</v>
      </c>
      <c r="C5846">
        <v>15</v>
      </c>
      <c r="D5846" t="s">
        <v>4080</v>
      </c>
      <c r="E5846" t="s">
        <v>4081</v>
      </c>
      <c r="F5846" t="s">
        <v>4076</v>
      </c>
    </row>
    <row r="5847" spans="1:6" x14ac:dyDescent="0.25">
      <c r="A5847">
        <v>4768</v>
      </c>
      <c r="B5847" t="s">
        <v>4092</v>
      </c>
      <c r="C5847">
        <v>33</v>
      </c>
      <c r="D5847" t="s">
        <v>4109</v>
      </c>
      <c r="E5847" t="s">
        <v>4110</v>
      </c>
      <c r="F5847" t="s">
        <v>4075</v>
      </c>
    </row>
    <row r="5848" spans="1:6" x14ac:dyDescent="0.25">
      <c r="A5848">
        <v>4769</v>
      </c>
      <c r="B5848" t="s">
        <v>4092</v>
      </c>
      <c r="C5848">
        <v>23</v>
      </c>
      <c r="D5848" t="s">
        <v>2757</v>
      </c>
      <c r="E5848" t="s">
        <v>4093</v>
      </c>
      <c r="F5848" t="s">
        <v>4075</v>
      </c>
    </row>
    <row r="5849" spans="1:6" x14ac:dyDescent="0.25">
      <c r="A5849">
        <v>4770</v>
      </c>
      <c r="B5849" t="s">
        <v>4072</v>
      </c>
      <c r="C5849">
        <v>6</v>
      </c>
      <c r="D5849" t="s">
        <v>4073</v>
      </c>
      <c r="E5849" t="s">
        <v>4074</v>
      </c>
      <c r="F5849" t="s">
        <v>4075</v>
      </c>
    </row>
    <row r="5850" spans="1:6" x14ac:dyDescent="0.25">
      <c r="A5850">
        <v>4770</v>
      </c>
      <c r="B5850" t="s">
        <v>4072</v>
      </c>
      <c r="C5850">
        <v>19</v>
      </c>
      <c r="D5850" t="s">
        <v>4073</v>
      </c>
      <c r="E5850" t="s">
        <v>4074</v>
      </c>
      <c r="F5850" t="s">
        <v>4076</v>
      </c>
    </row>
    <row r="5851" spans="1:6" x14ac:dyDescent="0.25">
      <c r="A5851">
        <v>4771</v>
      </c>
      <c r="B5851" t="s">
        <v>4072</v>
      </c>
      <c r="C5851">
        <v>6</v>
      </c>
      <c r="D5851" t="s">
        <v>4073</v>
      </c>
      <c r="E5851" t="s">
        <v>4074</v>
      </c>
      <c r="F5851" t="s">
        <v>4075</v>
      </c>
    </row>
    <row r="5852" spans="1:6" x14ac:dyDescent="0.25">
      <c r="A5852">
        <v>4771</v>
      </c>
      <c r="B5852" t="s">
        <v>4072</v>
      </c>
      <c r="C5852">
        <v>19</v>
      </c>
      <c r="D5852" t="s">
        <v>4073</v>
      </c>
      <c r="E5852" t="s">
        <v>4074</v>
      </c>
      <c r="F5852" t="s">
        <v>4076</v>
      </c>
    </row>
    <row r="5853" spans="1:6" x14ac:dyDescent="0.25">
      <c r="A5853">
        <v>4772</v>
      </c>
      <c r="B5853" t="s">
        <v>4072</v>
      </c>
      <c r="C5853">
        <v>19</v>
      </c>
      <c r="D5853" t="s">
        <v>4073</v>
      </c>
      <c r="E5853" t="s">
        <v>4074</v>
      </c>
      <c r="F5853" t="s">
        <v>4076</v>
      </c>
    </row>
    <row r="5854" spans="1:6" x14ac:dyDescent="0.25">
      <c r="A5854">
        <v>4773</v>
      </c>
      <c r="B5854" t="s">
        <v>4072</v>
      </c>
      <c r="C5854">
        <v>5</v>
      </c>
      <c r="D5854" t="s">
        <v>4087</v>
      </c>
      <c r="E5854" t="s">
        <v>4088</v>
      </c>
      <c r="F5854" t="s">
        <v>4075</v>
      </c>
    </row>
    <row r="5855" spans="1:6" x14ac:dyDescent="0.25">
      <c r="A5855">
        <v>4773</v>
      </c>
      <c r="B5855" t="s">
        <v>4072</v>
      </c>
      <c r="C5855">
        <v>15</v>
      </c>
      <c r="D5855" t="s">
        <v>4080</v>
      </c>
      <c r="E5855" t="s">
        <v>4081</v>
      </c>
      <c r="F5855" t="s">
        <v>4076</v>
      </c>
    </row>
    <row r="5856" spans="1:6" x14ac:dyDescent="0.25">
      <c r="A5856">
        <v>4774</v>
      </c>
      <c r="B5856" t="s">
        <v>4072</v>
      </c>
      <c r="C5856">
        <v>3</v>
      </c>
      <c r="D5856" t="s">
        <v>4085</v>
      </c>
      <c r="E5856" t="s">
        <v>4086</v>
      </c>
      <c r="F5856" t="s">
        <v>4075</v>
      </c>
    </row>
    <row r="5857" spans="1:6" x14ac:dyDescent="0.25">
      <c r="A5857">
        <v>4774</v>
      </c>
      <c r="B5857" t="s">
        <v>4072</v>
      </c>
      <c r="C5857">
        <v>15</v>
      </c>
      <c r="D5857" t="s">
        <v>4080</v>
      </c>
      <c r="E5857" t="s">
        <v>4081</v>
      </c>
      <c r="F5857" t="s">
        <v>4076</v>
      </c>
    </row>
    <row r="5858" spans="1:6" x14ac:dyDescent="0.25">
      <c r="A5858">
        <v>4775</v>
      </c>
      <c r="B5858" t="s">
        <v>4072</v>
      </c>
      <c r="C5858">
        <v>4</v>
      </c>
      <c r="D5858" t="s">
        <v>4077</v>
      </c>
      <c r="E5858" t="s">
        <v>4078</v>
      </c>
      <c r="F5858" t="s">
        <v>4075</v>
      </c>
    </row>
    <row r="5859" spans="1:6" x14ac:dyDescent="0.25">
      <c r="A5859">
        <v>4775</v>
      </c>
      <c r="B5859" t="s">
        <v>4072</v>
      </c>
      <c r="C5859">
        <v>16</v>
      </c>
      <c r="D5859" t="s">
        <v>4077</v>
      </c>
      <c r="E5859" t="s">
        <v>4078</v>
      </c>
      <c r="F5859" t="s">
        <v>4076</v>
      </c>
    </row>
    <row r="5860" spans="1:6" x14ac:dyDescent="0.25">
      <c r="A5860">
        <v>4776</v>
      </c>
      <c r="B5860" t="s">
        <v>4072</v>
      </c>
      <c r="C5860">
        <v>19</v>
      </c>
      <c r="D5860" t="s">
        <v>4073</v>
      </c>
      <c r="E5860" t="s">
        <v>4074</v>
      </c>
      <c r="F5860" t="s">
        <v>4076</v>
      </c>
    </row>
    <row r="5861" spans="1:6" x14ac:dyDescent="0.25">
      <c r="A5861">
        <v>4777</v>
      </c>
      <c r="B5861" t="s">
        <v>4072</v>
      </c>
      <c r="C5861">
        <v>4</v>
      </c>
      <c r="D5861" t="s">
        <v>4077</v>
      </c>
      <c r="E5861" t="s">
        <v>4078</v>
      </c>
      <c r="F5861" t="s">
        <v>4075</v>
      </c>
    </row>
    <row r="5862" spans="1:6" x14ac:dyDescent="0.25">
      <c r="A5862">
        <v>4777</v>
      </c>
      <c r="B5862" t="s">
        <v>4072</v>
      </c>
      <c r="C5862">
        <v>16</v>
      </c>
      <c r="D5862" t="s">
        <v>4077</v>
      </c>
      <c r="E5862" t="s">
        <v>4078</v>
      </c>
      <c r="F5862" t="s">
        <v>4076</v>
      </c>
    </row>
    <row r="5863" spans="1:6" x14ac:dyDescent="0.25">
      <c r="A5863">
        <v>4779</v>
      </c>
      <c r="B5863" t="s">
        <v>4072</v>
      </c>
      <c r="C5863">
        <v>6</v>
      </c>
      <c r="D5863" t="s">
        <v>4073</v>
      </c>
      <c r="E5863" t="s">
        <v>4074</v>
      </c>
      <c r="F5863" t="s">
        <v>4075</v>
      </c>
    </row>
    <row r="5864" spans="1:6" x14ac:dyDescent="0.25">
      <c r="A5864">
        <v>4779</v>
      </c>
      <c r="B5864" t="s">
        <v>4072</v>
      </c>
      <c r="C5864">
        <v>19</v>
      </c>
      <c r="D5864" t="s">
        <v>4073</v>
      </c>
      <c r="E5864" t="s">
        <v>4074</v>
      </c>
      <c r="F5864" t="s">
        <v>4076</v>
      </c>
    </row>
    <row r="5865" spans="1:6" x14ac:dyDescent="0.25">
      <c r="A5865">
        <v>4779</v>
      </c>
      <c r="B5865" t="s">
        <v>4072</v>
      </c>
      <c r="C5865">
        <v>39</v>
      </c>
      <c r="D5865" t="s">
        <v>4073</v>
      </c>
      <c r="E5865" t="s">
        <v>4074</v>
      </c>
      <c r="F5865" t="s">
        <v>4079</v>
      </c>
    </row>
    <row r="5866" spans="1:6" x14ac:dyDescent="0.25">
      <c r="A5866">
        <v>4780</v>
      </c>
      <c r="B5866" t="s">
        <v>4092</v>
      </c>
      <c r="C5866">
        <v>32</v>
      </c>
      <c r="D5866" t="s">
        <v>4106</v>
      </c>
      <c r="E5866" t="s">
        <v>4107</v>
      </c>
      <c r="F5866" t="s">
        <v>4076</v>
      </c>
    </row>
    <row r="5867" spans="1:6" x14ac:dyDescent="0.25">
      <c r="A5867">
        <v>4780</v>
      </c>
      <c r="B5867" t="s">
        <v>4092</v>
      </c>
      <c r="C5867">
        <v>52</v>
      </c>
      <c r="D5867" t="s">
        <v>4106</v>
      </c>
      <c r="E5867" t="s">
        <v>4107</v>
      </c>
      <c r="F5867" t="s">
        <v>4079</v>
      </c>
    </row>
    <row r="5868" spans="1:6" x14ac:dyDescent="0.25">
      <c r="A5868">
        <v>4781</v>
      </c>
      <c r="B5868" t="s">
        <v>4092</v>
      </c>
      <c r="C5868">
        <v>32</v>
      </c>
      <c r="D5868" t="s">
        <v>4106</v>
      </c>
      <c r="E5868" t="s">
        <v>4107</v>
      </c>
      <c r="F5868" t="s">
        <v>4076</v>
      </c>
    </row>
    <row r="5869" spans="1:6" x14ac:dyDescent="0.25">
      <c r="A5869">
        <v>4781</v>
      </c>
      <c r="B5869" t="s">
        <v>4092</v>
      </c>
      <c r="C5869">
        <v>52</v>
      </c>
      <c r="D5869" t="s">
        <v>4106</v>
      </c>
      <c r="E5869" t="s">
        <v>4107</v>
      </c>
      <c r="F5869" t="s">
        <v>4079</v>
      </c>
    </row>
    <row r="5870" spans="1:6" x14ac:dyDescent="0.25">
      <c r="A5870">
        <v>4782</v>
      </c>
      <c r="B5870" t="s">
        <v>4092</v>
      </c>
      <c r="C5870">
        <v>23</v>
      </c>
      <c r="D5870" t="s">
        <v>2757</v>
      </c>
      <c r="E5870" t="s">
        <v>4093</v>
      </c>
      <c r="F5870" t="s">
        <v>4075</v>
      </c>
    </row>
    <row r="5871" spans="1:6" x14ac:dyDescent="0.25">
      <c r="A5871">
        <v>4782</v>
      </c>
      <c r="B5871" t="s">
        <v>4092</v>
      </c>
      <c r="C5871">
        <v>28</v>
      </c>
      <c r="D5871" t="s">
        <v>2757</v>
      </c>
      <c r="E5871" t="s">
        <v>4093</v>
      </c>
      <c r="F5871" t="s">
        <v>4076</v>
      </c>
    </row>
    <row r="5872" spans="1:6" x14ac:dyDescent="0.25">
      <c r="A5872">
        <v>4783</v>
      </c>
      <c r="B5872" t="s">
        <v>4072</v>
      </c>
      <c r="C5872">
        <v>6</v>
      </c>
      <c r="D5872" t="s">
        <v>4073</v>
      </c>
      <c r="E5872" t="s">
        <v>4074</v>
      </c>
      <c r="F5872" t="s">
        <v>4075</v>
      </c>
    </row>
    <row r="5873" spans="1:6" x14ac:dyDescent="0.25">
      <c r="A5873">
        <v>4783</v>
      </c>
      <c r="B5873" t="s">
        <v>4072</v>
      </c>
      <c r="C5873">
        <v>19</v>
      </c>
      <c r="D5873" t="s">
        <v>4073</v>
      </c>
      <c r="E5873" t="s">
        <v>4074</v>
      </c>
      <c r="F5873" t="s">
        <v>4076</v>
      </c>
    </row>
    <row r="5874" spans="1:6" x14ac:dyDescent="0.25">
      <c r="A5874">
        <v>4783</v>
      </c>
      <c r="B5874" t="s">
        <v>4072</v>
      </c>
      <c r="C5874">
        <v>39</v>
      </c>
      <c r="D5874" t="s">
        <v>4073</v>
      </c>
      <c r="E5874" t="s">
        <v>4074</v>
      </c>
      <c r="F5874" t="s">
        <v>4079</v>
      </c>
    </row>
    <row r="5875" spans="1:6" x14ac:dyDescent="0.25">
      <c r="A5875">
        <v>4784</v>
      </c>
      <c r="B5875" t="s">
        <v>4072</v>
      </c>
      <c r="C5875">
        <v>6</v>
      </c>
      <c r="D5875" t="s">
        <v>4073</v>
      </c>
      <c r="E5875" t="s">
        <v>4074</v>
      </c>
      <c r="F5875" t="s">
        <v>4075</v>
      </c>
    </row>
    <row r="5876" spans="1:6" x14ac:dyDescent="0.25">
      <c r="A5876">
        <v>4784</v>
      </c>
      <c r="B5876" t="s">
        <v>4072</v>
      </c>
      <c r="C5876">
        <v>19</v>
      </c>
      <c r="D5876" t="s">
        <v>4073</v>
      </c>
      <c r="E5876" t="s">
        <v>4074</v>
      </c>
      <c r="F5876" t="s">
        <v>4076</v>
      </c>
    </row>
    <row r="5877" spans="1:6" x14ac:dyDescent="0.25">
      <c r="A5877">
        <v>4785</v>
      </c>
      <c r="B5877" t="s">
        <v>4072</v>
      </c>
      <c r="C5877">
        <v>6</v>
      </c>
      <c r="D5877" t="s">
        <v>4073</v>
      </c>
      <c r="E5877" t="s">
        <v>4074</v>
      </c>
      <c r="F5877" t="s">
        <v>4075</v>
      </c>
    </row>
    <row r="5878" spans="1:6" x14ac:dyDescent="0.25">
      <c r="A5878">
        <v>4785</v>
      </c>
      <c r="B5878" t="s">
        <v>4072</v>
      </c>
      <c r="C5878">
        <v>19</v>
      </c>
      <c r="D5878" t="s">
        <v>4073</v>
      </c>
      <c r="E5878" t="s">
        <v>4074</v>
      </c>
      <c r="F5878" t="s">
        <v>4076</v>
      </c>
    </row>
    <row r="5879" spans="1:6" x14ac:dyDescent="0.25">
      <c r="A5879">
        <v>4786</v>
      </c>
      <c r="B5879" t="s">
        <v>4072</v>
      </c>
      <c r="C5879">
        <v>5</v>
      </c>
      <c r="D5879" t="s">
        <v>4087</v>
      </c>
      <c r="E5879" t="s">
        <v>4088</v>
      </c>
      <c r="F5879" t="s">
        <v>4075</v>
      </c>
    </row>
    <row r="5880" spans="1:6" x14ac:dyDescent="0.25">
      <c r="A5880">
        <v>4786</v>
      </c>
      <c r="B5880" t="s">
        <v>4072</v>
      </c>
      <c r="C5880">
        <v>15</v>
      </c>
      <c r="D5880" t="s">
        <v>4080</v>
      </c>
      <c r="E5880" t="s">
        <v>4081</v>
      </c>
      <c r="F5880" t="s">
        <v>4076</v>
      </c>
    </row>
    <row r="5881" spans="1:6" x14ac:dyDescent="0.25">
      <c r="A5881">
        <v>4787</v>
      </c>
      <c r="B5881" t="s">
        <v>4092</v>
      </c>
      <c r="C5881">
        <v>23</v>
      </c>
      <c r="D5881" t="s">
        <v>2757</v>
      </c>
      <c r="E5881" t="s">
        <v>4093</v>
      </c>
      <c r="F5881" t="s">
        <v>4075</v>
      </c>
    </row>
    <row r="5882" spans="1:6" x14ac:dyDescent="0.25">
      <c r="A5882">
        <v>4787</v>
      </c>
      <c r="B5882" t="s">
        <v>4092</v>
      </c>
      <c r="C5882">
        <v>28</v>
      </c>
      <c r="D5882" t="s">
        <v>2757</v>
      </c>
      <c r="E5882" t="s">
        <v>4093</v>
      </c>
      <c r="F5882" t="s">
        <v>4076</v>
      </c>
    </row>
    <row r="5883" spans="1:6" x14ac:dyDescent="0.25">
      <c r="A5883">
        <v>4788</v>
      </c>
      <c r="B5883" t="s">
        <v>4072</v>
      </c>
      <c r="C5883">
        <v>15</v>
      </c>
      <c r="D5883" t="s">
        <v>4080</v>
      </c>
      <c r="E5883" t="s">
        <v>4081</v>
      </c>
      <c r="F5883" t="s">
        <v>4076</v>
      </c>
    </row>
    <row r="5884" spans="1:6" x14ac:dyDescent="0.25">
      <c r="A5884">
        <v>4788</v>
      </c>
      <c r="B5884" t="s">
        <v>4072</v>
      </c>
      <c r="C5884">
        <v>16</v>
      </c>
      <c r="D5884" t="s">
        <v>4077</v>
      </c>
      <c r="E5884" t="s">
        <v>4078</v>
      </c>
      <c r="F5884" t="s">
        <v>4076</v>
      </c>
    </row>
    <row r="5885" spans="1:6" x14ac:dyDescent="0.25">
      <c r="A5885">
        <v>4789</v>
      </c>
      <c r="B5885" t="s">
        <v>4072</v>
      </c>
      <c r="C5885">
        <v>6</v>
      </c>
      <c r="D5885" t="s">
        <v>4073</v>
      </c>
      <c r="E5885" t="s">
        <v>4074</v>
      </c>
      <c r="F5885" t="s">
        <v>4075</v>
      </c>
    </row>
    <row r="5886" spans="1:6" x14ac:dyDescent="0.25">
      <c r="A5886">
        <v>4789</v>
      </c>
      <c r="B5886" t="s">
        <v>4072</v>
      </c>
      <c r="C5886">
        <v>19</v>
      </c>
      <c r="D5886" t="s">
        <v>4073</v>
      </c>
      <c r="E5886" t="s">
        <v>4074</v>
      </c>
      <c r="F5886" t="s">
        <v>4076</v>
      </c>
    </row>
    <row r="5887" spans="1:6" x14ac:dyDescent="0.25">
      <c r="A5887">
        <v>4790</v>
      </c>
      <c r="B5887" t="s">
        <v>4072</v>
      </c>
      <c r="C5887">
        <v>6</v>
      </c>
      <c r="D5887" t="s">
        <v>4073</v>
      </c>
      <c r="E5887" t="s">
        <v>4074</v>
      </c>
      <c r="F5887" t="s">
        <v>4075</v>
      </c>
    </row>
    <row r="5888" spans="1:6" x14ac:dyDescent="0.25">
      <c r="A5888">
        <v>4790</v>
      </c>
      <c r="B5888" t="s">
        <v>4072</v>
      </c>
      <c r="C5888">
        <v>19</v>
      </c>
      <c r="D5888" t="s">
        <v>4073</v>
      </c>
      <c r="E5888" t="s">
        <v>4074</v>
      </c>
      <c r="F5888" t="s">
        <v>4076</v>
      </c>
    </row>
    <row r="5889" spans="1:6" x14ac:dyDescent="0.25">
      <c r="A5889">
        <v>4791</v>
      </c>
      <c r="B5889" t="s">
        <v>4072</v>
      </c>
      <c r="C5889">
        <v>4</v>
      </c>
      <c r="D5889" t="s">
        <v>4077</v>
      </c>
      <c r="E5889" t="s">
        <v>4078</v>
      </c>
      <c r="F5889" t="s">
        <v>4075</v>
      </c>
    </row>
    <row r="5890" spans="1:6" x14ac:dyDescent="0.25">
      <c r="A5890">
        <v>4791</v>
      </c>
      <c r="B5890" t="s">
        <v>4072</v>
      </c>
      <c r="C5890">
        <v>16</v>
      </c>
      <c r="D5890" t="s">
        <v>4077</v>
      </c>
      <c r="E5890" t="s">
        <v>4078</v>
      </c>
      <c r="F5890" t="s">
        <v>4076</v>
      </c>
    </row>
    <row r="5891" spans="1:6" x14ac:dyDescent="0.25">
      <c r="A5891">
        <v>4792</v>
      </c>
      <c r="B5891" t="s">
        <v>4072</v>
      </c>
      <c r="C5891">
        <v>3</v>
      </c>
      <c r="D5891" t="s">
        <v>4085</v>
      </c>
      <c r="E5891" t="s">
        <v>4086</v>
      </c>
      <c r="F5891" t="s">
        <v>4075</v>
      </c>
    </row>
    <row r="5892" spans="1:6" x14ac:dyDescent="0.25">
      <c r="A5892">
        <v>4792</v>
      </c>
      <c r="B5892" t="s">
        <v>4072</v>
      </c>
      <c r="C5892">
        <v>15</v>
      </c>
      <c r="D5892" t="s">
        <v>4080</v>
      </c>
      <c r="E5892" t="s">
        <v>4081</v>
      </c>
      <c r="F5892" t="s">
        <v>4076</v>
      </c>
    </row>
    <row r="5893" spans="1:6" x14ac:dyDescent="0.25">
      <c r="A5893">
        <v>4793</v>
      </c>
      <c r="B5893" t="s">
        <v>4072</v>
      </c>
      <c r="C5893">
        <v>4</v>
      </c>
      <c r="D5893" t="s">
        <v>4077</v>
      </c>
      <c r="E5893" t="s">
        <v>4078</v>
      </c>
      <c r="F5893" t="s">
        <v>4075</v>
      </c>
    </row>
    <row r="5894" spans="1:6" x14ac:dyDescent="0.25">
      <c r="A5894">
        <v>4793</v>
      </c>
      <c r="B5894" t="s">
        <v>4072</v>
      </c>
      <c r="C5894">
        <v>13</v>
      </c>
      <c r="D5894" t="s">
        <v>4097</v>
      </c>
      <c r="E5894" t="s">
        <v>4098</v>
      </c>
      <c r="F5894" t="s">
        <v>4076</v>
      </c>
    </row>
    <row r="5895" spans="1:6" x14ac:dyDescent="0.25">
      <c r="A5895">
        <v>4794</v>
      </c>
      <c r="B5895" t="s">
        <v>4072</v>
      </c>
      <c r="C5895">
        <v>19</v>
      </c>
      <c r="D5895" t="s">
        <v>4073</v>
      </c>
      <c r="E5895" t="s">
        <v>4074</v>
      </c>
      <c r="F5895" t="s">
        <v>4076</v>
      </c>
    </row>
    <row r="5896" spans="1:6" x14ac:dyDescent="0.25">
      <c r="A5896">
        <v>4797</v>
      </c>
      <c r="B5896" t="s">
        <v>4072</v>
      </c>
      <c r="C5896">
        <v>6</v>
      </c>
      <c r="D5896" t="s">
        <v>4073</v>
      </c>
      <c r="E5896" t="s">
        <v>4074</v>
      </c>
      <c r="F5896" t="s">
        <v>4075</v>
      </c>
    </row>
    <row r="5897" spans="1:6" x14ac:dyDescent="0.25">
      <c r="A5897">
        <v>4797</v>
      </c>
      <c r="B5897" t="s">
        <v>4072</v>
      </c>
      <c r="C5897">
        <v>19</v>
      </c>
      <c r="D5897" t="s">
        <v>4073</v>
      </c>
      <c r="E5897" t="s">
        <v>4074</v>
      </c>
      <c r="F5897" t="s">
        <v>4076</v>
      </c>
    </row>
    <row r="5898" spans="1:6" x14ac:dyDescent="0.25">
      <c r="A5898">
        <v>4798</v>
      </c>
      <c r="B5898" t="s">
        <v>4072</v>
      </c>
      <c r="C5898">
        <v>2</v>
      </c>
      <c r="D5898" t="s">
        <v>4082</v>
      </c>
      <c r="E5898" t="s">
        <v>4083</v>
      </c>
      <c r="F5898" t="s">
        <v>4075</v>
      </c>
    </row>
    <row r="5899" spans="1:6" x14ac:dyDescent="0.25">
      <c r="A5899">
        <v>4798</v>
      </c>
      <c r="B5899" t="s">
        <v>4072</v>
      </c>
      <c r="C5899">
        <v>17</v>
      </c>
      <c r="D5899" t="s">
        <v>4082</v>
      </c>
      <c r="E5899" t="s">
        <v>4084</v>
      </c>
      <c r="F5899" t="s">
        <v>4076</v>
      </c>
    </row>
    <row r="5900" spans="1:6" x14ac:dyDescent="0.25">
      <c r="A5900">
        <v>4799</v>
      </c>
      <c r="B5900" t="s">
        <v>4072</v>
      </c>
      <c r="C5900">
        <v>5</v>
      </c>
      <c r="D5900" t="s">
        <v>4087</v>
      </c>
      <c r="E5900" t="s">
        <v>4088</v>
      </c>
      <c r="F5900" t="s">
        <v>4075</v>
      </c>
    </row>
    <row r="5901" spans="1:6" x14ac:dyDescent="0.25">
      <c r="A5901">
        <v>4799</v>
      </c>
      <c r="B5901" t="s">
        <v>4072</v>
      </c>
      <c r="C5901">
        <v>15</v>
      </c>
      <c r="D5901" t="s">
        <v>4080</v>
      </c>
      <c r="E5901" t="s">
        <v>4081</v>
      </c>
      <c r="F5901" t="s">
        <v>4076</v>
      </c>
    </row>
    <row r="5902" spans="1:6" x14ac:dyDescent="0.25">
      <c r="A5902">
        <v>4800</v>
      </c>
      <c r="B5902" t="s">
        <v>4072</v>
      </c>
      <c r="C5902">
        <v>5</v>
      </c>
      <c r="D5902" t="s">
        <v>4087</v>
      </c>
      <c r="E5902" t="s">
        <v>4088</v>
      </c>
      <c r="F5902" t="s">
        <v>4075</v>
      </c>
    </row>
    <row r="5903" spans="1:6" x14ac:dyDescent="0.25">
      <c r="A5903">
        <v>4800</v>
      </c>
      <c r="B5903" t="s">
        <v>4072</v>
      </c>
      <c r="C5903">
        <v>15</v>
      </c>
      <c r="D5903" t="s">
        <v>4080</v>
      </c>
      <c r="E5903" t="s">
        <v>4081</v>
      </c>
      <c r="F5903" t="s">
        <v>4076</v>
      </c>
    </row>
    <row r="5904" spans="1:6" x14ac:dyDescent="0.25">
      <c r="A5904">
        <v>4801</v>
      </c>
      <c r="B5904" t="s">
        <v>4072</v>
      </c>
      <c r="C5904">
        <v>6</v>
      </c>
      <c r="D5904" t="s">
        <v>4073</v>
      </c>
      <c r="E5904" t="s">
        <v>4074</v>
      </c>
      <c r="F5904" t="s">
        <v>4075</v>
      </c>
    </row>
    <row r="5905" spans="1:6" x14ac:dyDescent="0.25">
      <c r="A5905">
        <v>4801</v>
      </c>
      <c r="B5905" t="s">
        <v>4072</v>
      </c>
      <c r="C5905">
        <v>19</v>
      </c>
      <c r="D5905" t="s">
        <v>4073</v>
      </c>
      <c r="E5905" t="s">
        <v>4074</v>
      </c>
      <c r="F5905" t="s">
        <v>4076</v>
      </c>
    </row>
    <row r="5906" spans="1:6" x14ac:dyDescent="0.25">
      <c r="A5906">
        <v>4802</v>
      </c>
      <c r="B5906" t="s">
        <v>4072</v>
      </c>
      <c r="C5906">
        <v>1</v>
      </c>
      <c r="D5906" t="s">
        <v>2761</v>
      </c>
      <c r="E5906" t="s">
        <v>4089</v>
      </c>
      <c r="F5906" t="s">
        <v>4075</v>
      </c>
    </row>
    <row r="5907" spans="1:6" x14ac:dyDescent="0.25">
      <c r="A5907">
        <v>4802</v>
      </c>
      <c r="B5907" t="s">
        <v>4072</v>
      </c>
      <c r="C5907">
        <v>38</v>
      </c>
      <c r="D5907" t="s">
        <v>2761</v>
      </c>
      <c r="E5907" t="s">
        <v>4089</v>
      </c>
      <c r="F5907" t="s">
        <v>4076</v>
      </c>
    </row>
    <row r="5908" spans="1:6" x14ac:dyDescent="0.25">
      <c r="A5908">
        <v>4803</v>
      </c>
      <c r="B5908" t="s">
        <v>4072</v>
      </c>
      <c r="C5908">
        <v>1</v>
      </c>
      <c r="D5908" t="s">
        <v>2761</v>
      </c>
      <c r="E5908" t="s">
        <v>4089</v>
      </c>
      <c r="F5908" t="s">
        <v>4075</v>
      </c>
    </row>
    <row r="5909" spans="1:6" x14ac:dyDescent="0.25">
      <c r="A5909">
        <v>4803</v>
      </c>
      <c r="B5909" t="s">
        <v>4072</v>
      </c>
      <c r="C5909">
        <v>38</v>
      </c>
      <c r="D5909" t="s">
        <v>2761</v>
      </c>
      <c r="E5909" t="s">
        <v>4089</v>
      </c>
      <c r="F5909" t="s">
        <v>4076</v>
      </c>
    </row>
    <row r="5910" spans="1:6" x14ac:dyDescent="0.25">
      <c r="A5910">
        <v>4804</v>
      </c>
      <c r="B5910" t="s">
        <v>4072</v>
      </c>
      <c r="C5910">
        <v>5</v>
      </c>
      <c r="D5910" t="s">
        <v>4087</v>
      </c>
      <c r="E5910" t="s">
        <v>4088</v>
      </c>
      <c r="F5910" t="s">
        <v>4075</v>
      </c>
    </row>
    <row r="5911" spans="1:6" x14ac:dyDescent="0.25">
      <c r="A5911">
        <v>4804</v>
      </c>
      <c r="B5911" t="s">
        <v>4072</v>
      </c>
      <c r="C5911">
        <v>15</v>
      </c>
      <c r="D5911" t="s">
        <v>4080</v>
      </c>
      <c r="E5911" t="s">
        <v>4081</v>
      </c>
      <c r="F5911" t="s">
        <v>4076</v>
      </c>
    </row>
    <row r="5912" spans="1:6" x14ac:dyDescent="0.25">
      <c r="A5912">
        <v>4804</v>
      </c>
      <c r="B5912" t="s">
        <v>4072</v>
      </c>
      <c r="C5912">
        <v>40</v>
      </c>
      <c r="D5912" t="s">
        <v>4080</v>
      </c>
      <c r="E5912" t="s">
        <v>4081</v>
      </c>
      <c r="F5912" t="s">
        <v>4079</v>
      </c>
    </row>
    <row r="5913" spans="1:6" x14ac:dyDescent="0.25">
      <c r="A5913">
        <v>4805</v>
      </c>
      <c r="B5913" t="s">
        <v>4072</v>
      </c>
      <c r="C5913">
        <v>4</v>
      </c>
      <c r="D5913" t="s">
        <v>4077</v>
      </c>
      <c r="E5913" t="s">
        <v>4078</v>
      </c>
      <c r="F5913" t="s">
        <v>4075</v>
      </c>
    </row>
    <row r="5914" spans="1:6" x14ac:dyDescent="0.25">
      <c r="A5914">
        <v>4805</v>
      </c>
      <c r="B5914" t="s">
        <v>4072</v>
      </c>
      <c r="C5914">
        <v>16</v>
      </c>
      <c r="D5914" t="s">
        <v>4077</v>
      </c>
      <c r="E5914" t="s">
        <v>4078</v>
      </c>
      <c r="F5914" t="s">
        <v>4076</v>
      </c>
    </row>
    <row r="5915" spans="1:6" x14ac:dyDescent="0.25">
      <c r="A5915">
        <v>4806</v>
      </c>
      <c r="B5915" t="s">
        <v>4072</v>
      </c>
      <c r="C5915">
        <v>6</v>
      </c>
      <c r="D5915" t="s">
        <v>4073</v>
      </c>
      <c r="E5915" t="s">
        <v>4074</v>
      </c>
      <c r="F5915" t="s">
        <v>4075</v>
      </c>
    </row>
    <row r="5916" spans="1:6" x14ac:dyDescent="0.25">
      <c r="A5916">
        <v>4806</v>
      </c>
      <c r="B5916" t="s">
        <v>4072</v>
      </c>
      <c r="C5916">
        <v>19</v>
      </c>
      <c r="D5916" t="s">
        <v>4073</v>
      </c>
      <c r="E5916" t="s">
        <v>4074</v>
      </c>
      <c r="F5916" t="s">
        <v>4076</v>
      </c>
    </row>
    <row r="5917" spans="1:6" x14ac:dyDescent="0.25">
      <c r="A5917">
        <v>4807</v>
      </c>
      <c r="B5917" t="s">
        <v>4072</v>
      </c>
      <c r="C5917">
        <v>6</v>
      </c>
      <c r="D5917" t="s">
        <v>4073</v>
      </c>
      <c r="E5917" t="s">
        <v>4074</v>
      </c>
      <c r="F5917" t="s">
        <v>4075</v>
      </c>
    </row>
    <row r="5918" spans="1:6" x14ac:dyDescent="0.25">
      <c r="A5918">
        <v>4807</v>
      </c>
      <c r="B5918" t="s">
        <v>4072</v>
      </c>
      <c r="C5918">
        <v>19</v>
      </c>
      <c r="D5918" t="s">
        <v>4073</v>
      </c>
      <c r="E5918" t="s">
        <v>4074</v>
      </c>
      <c r="F5918" t="s">
        <v>4076</v>
      </c>
    </row>
    <row r="5919" spans="1:6" x14ac:dyDescent="0.25">
      <c r="A5919">
        <v>4808</v>
      </c>
      <c r="B5919" t="s">
        <v>4072</v>
      </c>
      <c r="C5919">
        <v>5</v>
      </c>
      <c r="D5919" t="s">
        <v>4087</v>
      </c>
      <c r="E5919" t="s">
        <v>4088</v>
      </c>
      <c r="F5919" t="s">
        <v>4075</v>
      </c>
    </row>
    <row r="5920" spans="1:6" x14ac:dyDescent="0.25">
      <c r="A5920">
        <v>4808</v>
      </c>
      <c r="B5920" t="s">
        <v>4072</v>
      </c>
      <c r="C5920">
        <v>15</v>
      </c>
      <c r="D5920" t="s">
        <v>4080</v>
      </c>
      <c r="E5920" t="s">
        <v>4081</v>
      </c>
      <c r="F5920" t="s">
        <v>4076</v>
      </c>
    </row>
    <row r="5921" spans="1:6" x14ac:dyDescent="0.25">
      <c r="A5921">
        <v>4825</v>
      </c>
      <c r="B5921" t="s">
        <v>4092</v>
      </c>
      <c r="C5921">
        <v>47</v>
      </c>
      <c r="D5921" t="s">
        <v>4104</v>
      </c>
      <c r="E5921" t="s">
        <v>4105</v>
      </c>
      <c r="F5921" t="s">
        <v>4079</v>
      </c>
    </row>
    <row r="5922" spans="1:6" x14ac:dyDescent="0.25">
      <c r="A5922">
        <v>4825</v>
      </c>
      <c r="B5922" t="s">
        <v>4092</v>
      </c>
      <c r="C5922">
        <v>51</v>
      </c>
      <c r="D5922" t="s">
        <v>4109</v>
      </c>
      <c r="E5922" t="s">
        <v>4111</v>
      </c>
      <c r="F5922" t="s">
        <v>4079</v>
      </c>
    </row>
    <row r="5923" spans="1:6" x14ac:dyDescent="0.25">
      <c r="A5923">
        <v>4826</v>
      </c>
      <c r="B5923" t="s">
        <v>4072</v>
      </c>
      <c r="C5923">
        <v>3</v>
      </c>
      <c r="D5923" t="s">
        <v>4085</v>
      </c>
      <c r="E5923" t="s">
        <v>4086</v>
      </c>
      <c r="F5923" t="s">
        <v>4075</v>
      </c>
    </row>
    <row r="5924" spans="1:6" x14ac:dyDescent="0.25">
      <c r="A5924">
        <v>4826</v>
      </c>
      <c r="B5924" t="s">
        <v>4072</v>
      </c>
      <c r="C5924">
        <v>15</v>
      </c>
      <c r="D5924" t="s">
        <v>4080</v>
      </c>
      <c r="E5924" t="s">
        <v>4081</v>
      </c>
      <c r="F5924" t="s">
        <v>4076</v>
      </c>
    </row>
    <row r="5925" spans="1:6" x14ac:dyDescent="0.25">
      <c r="A5925">
        <v>4826</v>
      </c>
      <c r="B5925" t="s">
        <v>4072</v>
      </c>
      <c r="C5925">
        <v>40</v>
      </c>
      <c r="D5925" t="s">
        <v>4080</v>
      </c>
      <c r="E5925" t="s">
        <v>4081</v>
      </c>
      <c r="F5925" t="s">
        <v>4079</v>
      </c>
    </row>
    <row r="5926" spans="1:6" x14ac:dyDescent="0.25">
      <c r="A5926">
        <v>4827</v>
      </c>
      <c r="B5926" t="s">
        <v>4072</v>
      </c>
      <c r="C5926">
        <v>2</v>
      </c>
      <c r="D5926" t="s">
        <v>4082</v>
      </c>
      <c r="E5926" t="s">
        <v>4083</v>
      </c>
      <c r="F5926" t="s">
        <v>4075</v>
      </c>
    </row>
    <row r="5927" spans="1:6" x14ac:dyDescent="0.25">
      <c r="A5927">
        <v>4827</v>
      </c>
      <c r="B5927" t="s">
        <v>4072</v>
      </c>
      <c r="C5927">
        <v>17</v>
      </c>
      <c r="D5927" t="s">
        <v>4082</v>
      </c>
      <c r="E5927" t="s">
        <v>4084</v>
      </c>
      <c r="F5927" t="s">
        <v>4076</v>
      </c>
    </row>
    <row r="5928" spans="1:6" x14ac:dyDescent="0.25">
      <c r="A5928">
        <v>4828</v>
      </c>
      <c r="B5928" t="s">
        <v>4072</v>
      </c>
      <c r="C5928">
        <v>5</v>
      </c>
      <c r="D5928" t="s">
        <v>4087</v>
      </c>
      <c r="E5928" t="s">
        <v>4088</v>
      </c>
      <c r="F5928" t="s">
        <v>4075</v>
      </c>
    </row>
    <row r="5929" spans="1:6" x14ac:dyDescent="0.25">
      <c r="A5929">
        <v>4828</v>
      </c>
      <c r="B5929" t="s">
        <v>4072</v>
      </c>
      <c r="C5929">
        <v>15</v>
      </c>
      <c r="D5929" t="s">
        <v>4080</v>
      </c>
      <c r="E5929" t="s">
        <v>4081</v>
      </c>
      <c r="F5929" t="s">
        <v>4076</v>
      </c>
    </row>
    <row r="5930" spans="1:6" x14ac:dyDescent="0.25">
      <c r="A5930">
        <v>4829</v>
      </c>
      <c r="B5930" t="s">
        <v>4072</v>
      </c>
      <c r="C5930">
        <v>5</v>
      </c>
      <c r="D5930" t="s">
        <v>4087</v>
      </c>
      <c r="E5930" t="s">
        <v>4088</v>
      </c>
      <c r="F5930" t="s">
        <v>4075</v>
      </c>
    </row>
    <row r="5931" spans="1:6" x14ac:dyDescent="0.25">
      <c r="A5931">
        <v>4829</v>
      </c>
      <c r="B5931" t="s">
        <v>4072</v>
      </c>
      <c r="C5931">
        <v>15</v>
      </c>
      <c r="D5931" t="s">
        <v>4080</v>
      </c>
      <c r="E5931" t="s">
        <v>4081</v>
      </c>
      <c r="F5931" t="s">
        <v>4076</v>
      </c>
    </row>
    <row r="5932" spans="1:6" x14ac:dyDescent="0.25">
      <c r="A5932">
        <v>4830</v>
      </c>
      <c r="B5932" t="s">
        <v>4072</v>
      </c>
      <c r="C5932">
        <v>4</v>
      </c>
      <c r="D5932" t="s">
        <v>4077</v>
      </c>
      <c r="E5932" t="s">
        <v>4078</v>
      </c>
      <c r="F5932" t="s">
        <v>4075</v>
      </c>
    </row>
    <row r="5933" spans="1:6" x14ac:dyDescent="0.25">
      <c r="A5933">
        <v>4830</v>
      </c>
      <c r="B5933" t="s">
        <v>4072</v>
      </c>
      <c r="C5933">
        <v>16</v>
      </c>
      <c r="D5933" t="s">
        <v>4077</v>
      </c>
      <c r="E5933" t="s">
        <v>4078</v>
      </c>
      <c r="F5933" t="s">
        <v>4076</v>
      </c>
    </row>
    <row r="5934" spans="1:6" x14ac:dyDescent="0.25">
      <c r="A5934">
        <v>4831</v>
      </c>
      <c r="B5934" t="s">
        <v>4072</v>
      </c>
      <c r="C5934">
        <v>3</v>
      </c>
      <c r="D5934" t="s">
        <v>4085</v>
      </c>
      <c r="E5934" t="s">
        <v>4086</v>
      </c>
      <c r="F5934" t="s">
        <v>4075</v>
      </c>
    </row>
    <row r="5935" spans="1:6" x14ac:dyDescent="0.25">
      <c r="A5935">
        <v>4831</v>
      </c>
      <c r="B5935" t="s">
        <v>4072</v>
      </c>
      <c r="C5935">
        <v>15</v>
      </c>
      <c r="D5935" t="s">
        <v>4080</v>
      </c>
      <c r="E5935" t="s">
        <v>4081</v>
      </c>
      <c r="F5935" t="s">
        <v>4076</v>
      </c>
    </row>
    <row r="5936" spans="1:6" x14ac:dyDescent="0.25">
      <c r="A5936">
        <v>4832</v>
      </c>
      <c r="B5936" t="s">
        <v>4072</v>
      </c>
      <c r="C5936">
        <v>6</v>
      </c>
      <c r="D5936" t="s">
        <v>4073</v>
      </c>
      <c r="E5936" t="s">
        <v>4074</v>
      </c>
      <c r="F5936" t="s">
        <v>4075</v>
      </c>
    </row>
    <row r="5937" spans="1:6" x14ac:dyDescent="0.25">
      <c r="A5937">
        <v>4832</v>
      </c>
      <c r="B5937" t="s">
        <v>4072</v>
      </c>
      <c r="C5937">
        <v>19</v>
      </c>
      <c r="D5937" t="s">
        <v>4073</v>
      </c>
      <c r="E5937" t="s">
        <v>4074</v>
      </c>
      <c r="F5937" t="s">
        <v>4076</v>
      </c>
    </row>
    <row r="5938" spans="1:6" x14ac:dyDescent="0.25">
      <c r="A5938">
        <v>4833</v>
      </c>
      <c r="B5938" t="s">
        <v>4092</v>
      </c>
      <c r="C5938">
        <v>23</v>
      </c>
      <c r="D5938" t="s">
        <v>2757</v>
      </c>
      <c r="E5938" t="s">
        <v>4093</v>
      </c>
      <c r="F5938" t="s">
        <v>4075</v>
      </c>
    </row>
    <row r="5939" spans="1:6" x14ac:dyDescent="0.25">
      <c r="A5939">
        <v>4834</v>
      </c>
      <c r="B5939" t="s">
        <v>4092</v>
      </c>
      <c r="C5939">
        <v>24</v>
      </c>
      <c r="D5939" t="s">
        <v>2760</v>
      </c>
      <c r="E5939" t="s">
        <v>4108</v>
      </c>
      <c r="F5939" t="s">
        <v>4075</v>
      </c>
    </row>
    <row r="5940" spans="1:6" x14ac:dyDescent="0.25">
      <c r="A5940">
        <v>4835</v>
      </c>
      <c r="B5940" t="s">
        <v>4072</v>
      </c>
      <c r="C5940">
        <v>39</v>
      </c>
      <c r="D5940" t="s">
        <v>4073</v>
      </c>
      <c r="E5940" t="s">
        <v>4074</v>
      </c>
      <c r="F5940" t="s">
        <v>4079</v>
      </c>
    </row>
    <row r="5941" spans="1:6" x14ac:dyDescent="0.25">
      <c r="A5941">
        <v>4835</v>
      </c>
      <c r="B5941" t="s">
        <v>4112</v>
      </c>
      <c r="C5941">
        <v>53</v>
      </c>
      <c r="D5941" t="s">
        <v>2759</v>
      </c>
      <c r="E5941" t="s">
        <v>4117</v>
      </c>
      <c r="F5941" t="s">
        <v>4079</v>
      </c>
    </row>
    <row r="5942" spans="1:6" x14ac:dyDescent="0.25">
      <c r="A5942">
        <v>4835</v>
      </c>
      <c r="B5942" t="s">
        <v>4112</v>
      </c>
      <c r="C5942">
        <v>57</v>
      </c>
      <c r="D5942" t="s">
        <v>4118</v>
      </c>
      <c r="E5942" t="s">
        <v>4119</v>
      </c>
      <c r="F5942" t="s">
        <v>4079</v>
      </c>
    </row>
    <row r="5943" spans="1:6" x14ac:dyDescent="0.25">
      <c r="A5943">
        <v>4836</v>
      </c>
      <c r="B5943" t="s">
        <v>4072</v>
      </c>
      <c r="C5943">
        <v>4</v>
      </c>
      <c r="D5943" t="s">
        <v>4077</v>
      </c>
      <c r="E5943" t="s">
        <v>4078</v>
      </c>
      <c r="F5943" t="s">
        <v>4075</v>
      </c>
    </row>
    <row r="5944" spans="1:6" x14ac:dyDescent="0.25">
      <c r="A5944">
        <v>4836</v>
      </c>
      <c r="B5944" t="s">
        <v>4072</v>
      </c>
      <c r="C5944">
        <v>16</v>
      </c>
      <c r="D5944" t="s">
        <v>4077</v>
      </c>
      <c r="E5944" t="s">
        <v>4078</v>
      </c>
      <c r="F5944" t="s">
        <v>4076</v>
      </c>
    </row>
    <row r="5945" spans="1:6" x14ac:dyDescent="0.25">
      <c r="A5945">
        <v>4836</v>
      </c>
      <c r="B5945" t="s">
        <v>4072</v>
      </c>
      <c r="C5945">
        <v>44</v>
      </c>
      <c r="D5945" t="s">
        <v>4077</v>
      </c>
      <c r="E5945" t="s">
        <v>4078</v>
      </c>
      <c r="F5945" t="s">
        <v>4079</v>
      </c>
    </row>
    <row r="5946" spans="1:6" x14ac:dyDescent="0.25">
      <c r="A5946">
        <v>4837</v>
      </c>
      <c r="B5946" t="s">
        <v>4072</v>
      </c>
      <c r="C5946">
        <v>39</v>
      </c>
      <c r="D5946" t="s">
        <v>4073</v>
      </c>
      <c r="E5946" t="s">
        <v>4074</v>
      </c>
      <c r="F5946" t="s">
        <v>4079</v>
      </c>
    </row>
    <row r="5947" spans="1:6" x14ac:dyDescent="0.25">
      <c r="A5947">
        <v>4837</v>
      </c>
      <c r="B5947" t="s">
        <v>4112</v>
      </c>
      <c r="C5947">
        <v>53</v>
      </c>
      <c r="D5947" t="s">
        <v>2759</v>
      </c>
      <c r="E5947" t="s">
        <v>4117</v>
      </c>
      <c r="F5947" t="s">
        <v>4079</v>
      </c>
    </row>
    <row r="5948" spans="1:6" x14ac:dyDescent="0.25">
      <c r="A5948">
        <v>4838</v>
      </c>
      <c r="B5948" t="s">
        <v>4072</v>
      </c>
      <c r="C5948">
        <v>39</v>
      </c>
      <c r="D5948" t="s">
        <v>4073</v>
      </c>
      <c r="E5948" t="s">
        <v>4074</v>
      </c>
      <c r="F5948" t="s">
        <v>4079</v>
      </c>
    </row>
    <row r="5949" spans="1:6" x14ac:dyDescent="0.25">
      <c r="A5949">
        <v>4838</v>
      </c>
      <c r="B5949" t="s">
        <v>4112</v>
      </c>
      <c r="C5949">
        <v>53</v>
      </c>
      <c r="D5949" t="s">
        <v>2759</v>
      </c>
      <c r="E5949" t="s">
        <v>4117</v>
      </c>
      <c r="F5949" t="s">
        <v>4079</v>
      </c>
    </row>
    <row r="5950" spans="1:6" x14ac:dyDescent="0.25">
      <c r="A5950">
        <v>4839</v>
      </c>
      <c r="B5950" t="s">
        <v>4072</v>
      </c>
      <c r="C5950">
        <v>19</v>
      </c>
      <c r="D5950" t="s">
        <v>4073</v>
      </c>
      <c r="E5950" t="s">
        <v>4074</v>
      </c>
      <c r="F5950" t="s">
        <v>4076</v>
      </c>
    </row>
    <row r="5951" spans="1:6" x14ac:dyDescent="0.25">
      <c r="A5951">
        <v>4839</v>
      </c>
      <c r="B5951" t="s">
        <v>4072</v>
      </c>
      <c r="C5951">
        <v>39</v>
      </c>
      <c r="D5951" t="s">
        <v>4073</v>
      </c>
      <c r="E5951" t="s">
        <v>4074</v>
      </c>
      <c r="F5951" t="s">
        <v>4079</v>
      </c>
    </row>
    <row r="5952" spans="1:6" x14ac:dyDescent="0.25">
      <c r="A5952">
        <v>4839</v>
      </c>
      <c r="B5952" t="s">
        <v>4112</v>
      </c>
      <c r="C5952">
        <v>53</v>
      </c>
      <c r="D5952" t="s">
        <v>2759</v>
      </c>
      <c r="E5952" t="s">
        <v>4117</v>
      </c>
      <c r="F5952" t="s">
        <v>4079</v>
      </c>
    </row>
    <row r="5953" spans="1:6" x14ac:dyDescent="0.25">
      <c r="A5953">
        <v>4840</v>
      </c>
      <c r="B5953" t="s">
        <v>4072</v>
      </c>
      <c r="C5953">
        <v>4</v>
      </c>
      <c r="D5953" t="s">
        <v>4077</v>
      </c>
      <c r="E5953" t="s">
        <v>4078</v>
      </c>
      <c r="F5953" t="s">
        <v>4075</v>
      </c>
    </row>
    <row r="5954" spans="1:6" x14ac:dyDescent="0.25">
      <c r="A5954">
        <v>4840</v>
      </c>
      <c r="B5954" t="s">
        <v>4072</v>
      </c>
      <c r="C5954">
        <v>16</v>
      </c>
      <c r="D5954" t="s">
        <v>4077</v>
      </c>
      <c r="E5954" t="s">
        <v>4078</v>
      </c>
      <c r="F5954" t="s">
        <v>4076</v>
      </c>
    </row>
    <row r="5955" spans="1:6" x14ac:dyDescent="0.25">
      <c r="A5955">
        <v>4841</v>
      </c>
      <c r="B5955" t="s">
        <v>4072</v>
      </c>
      <c r="C5955">
        <v>4</v>
      </c>
      <c r="D5955" t="s">
        <v>4077</v>
      </c>
      <c r="E5955" t="s">
        <v>4078</v>
      </c>
      <c r="F5955" t="s">
        <v>4075</v>
      </c>
    </row>
    <row r="5956" spans="1:6" x14ac:dyDescent="0.25">
      <c r="A5956">
        <v>4841</v>
      </c>
      <c r="B5956" t="s">
        <v>4072</v>
      </c>
      <c r="C5956">
        <v>16</v>
      </c>
      <c r="D5956" t="s">
        <v>4077</v>
      </c>
      <c r="E5956" t="s">
        <v>4078</v>
      </c>
      <c r="F5956" t="s">
        <v>4076</v>
      </c>
    </row>
    <row r="5957" spans="1:6" x14ac:dyDescent="0.25">
      <c r="A5957">
        <v>4842</v>
      </c>
      <c r="B5957" t="s">
        <v>4072</v>
      </c>
      <c r="C5957">
        <v>2</v>
      </c>
      <c r="D5957" t="s">
        <v>4082</v>
      </c>
      <c r="E5957" t="s">
        <v>4083</v>
      </c>
      <c r="F5957" t="s">
        <v>4075</v>
      </c>
    </row>
    <row r="5958" spans="1:6" x14ac:dyDescent="0.25">
      <c r="A5958">
        <v>4842</v>
      </c>
      <c r="B5958" t="s">
        <v>4072</v>
      </c>
      <c r="C5958">
        <v>17</v>
      </c>
      <c r="D5958" t="s">
        <v>4082</v>
      </c>
      <c r="E5958" t="s">
        <v>4084</v>
      </c>
      <c r="F5958" t="s">
        <v>4076</v>
      </c>
    </row>
    <row r="5959" spans="1:6" x14ac:dyDescent="0.25">
      <c r="A5959">
        <v>4843</v>
      </c>
      <c r="B5959" t="s">
        <v>4072</v>
      </c>
      <c r="C5959">
        <v>2</v>
      </c>
      <c r="D5959" t="s">
        <v>4082</v>
      </c>
      <c r="E5959" t="s">
        <v>4083</v>
      </c>
      <c r="F5959" t="s">
        <v>4075</v>
      </c>
    </row>
    <row r="5960" spans="1:6" x14ac:dyDescent="0.25">
      <c r="A5960">
        <v>4843</v>
      </c>
      <c r="B5960" t="s">
        <v>4072</v>
      </c>
      <c r="C5960">
        <v>17</v>
      </c>
      <c r="D5960" t="s">
        <v>4082</v>
      </c>
      <c r="E5960" t="s">
        <v>4084</v>
      </c>
      <c r="F5960" t="s">
        <v>4076</v>
      </c>
    </row>
    <row r="5961" spans="1:6" x14ac:dyDescent="0.25">
      <c r="A5961">
        <v>4844</v>
      </c>
      <c r="B5961" t="s">
        <v>4072</v>
      </c>
      <c r="C5961">
        <v>3</v>
      </c>
      <c r="D5961" t="s">
        <v>4085</v>
      </c>
      <c r="E5961" t="s">
        <v>4086</v>
      </c>
      <c r="F5961" t="s">
        <v>4075</v>
      </c>
    </row>
    <row r="5962" spans="1:6" x14ac:dyDescent="0.25">
      <c r="A5962">
        <v>4844</v>
      </c>
      <c r="B5962" t="s">
        <v>4072</v>
      </c>
      <c r="C5962">
        <v>15</v>
      </c>
      <c r="D5962" t="s">
        <v>4080</v>
      </c>
      <c r="E5962" t="s">
        <v>4081</v>
      </c>
      <c r="F5962" t="s">
        <v>4076</v>
      </c>
    </row>
    <row r="5963" spans="1:6" x14ac:dyDescent="0.25">
      <c r="A5963">
        <v>4845</v>
      </c>
      <c r="B5963" t="s">
        <v>4072</v>
      </c>
      <c r="C5963">
        <v>4</v>
      </c>
      <c r="D5963" t="s">
        <v>4077</v>
      </c>
      <c r="E5963" t="s">
        <v>4078</v>
      </c>
      <c r="F5963" t="s">
        <v>4075</v>
      </c>
    </row>
    <row r="5964" spans="1:6" x14ac:dyDescent="0.25">
      <c r="A5964">
        <v>4845</v>
      </c>
      <c r="B5964" t="s">
        <v>4072</v>
      </c>
      <c r="C5964">
        <v>16</v>
      </c>
      <c r="D5964" t="s">
        <v>4077</v>
      </c>
      <c r="E5964" t="s">
        <v>4078</v>
      </c>
      <c r="F5964" t="s">
        <v>4076</v>
      </c>
    </row>
    <row r="5965" spans="1:6" x14ac:dyDescent="0.25">
      <c r="A5965">
        <v>4846</v>
      </c>
      <c r="B5965" t="s">
        <v>4072</v>
      </c>
      <c r="C5965">
        <v>5</v>
      </c>
      <c r="D5965" t="s">
        <v>4087</v>
      </c>
      <c r="E5965" t="s">
        <v>4088</v>
      </c>
      <c r="F5965" t="s">
        <v>4075</v>
      </c>
    </row>
    <row r="5966" spans="1:6" x14ac:dyDescent="0.25">
      <c r="A5966">
        <v>4846</v>
      </c>
      <c r="B5966" t="s">
        <v>4072</v>
      </c>
      <c r="C5966">
        <v>15</v>
      </c>
      <c r="D5966" t="s">
        <v>4080</v>
      </c>
      <c r="E5966" t="s">
        <v>4081</v>
      </c>
      <c r="F5966" t="s">
        <v>4076</v>
      </c>
    </row>
    <row r="5967" spans="1:6" x14ac:dyDescent="0.25">
      <c r="A5967">
        <v>4847</v>
      </c>
      <c r="B5967" t="s">
        <v>4072</v>
      </c>
      <c r="C5967">
        <v>5</v>
      </c>
      <c r="D5967" t="s">
        <v>4087</v>
      </c>
      <c r="E5967" t="s">
        <v>4088</v>
      </c>
      <c r="F5967" t="s">
        <v>4075</v>
      </c>
    </row>
    <row r="5968" spans="1:6" x14ac:dyDescent="0.25">
      <c r="A5968">
        <v>4847</v>
      </c>
      <c r="B5968" t="s">
        <v>4072</v>
      </c>
      <c r="C5968">
        <v>15</v>
      </c>
      <c r="D5968" t="s">
        <v>4080</v>
      </c>
      <c r="E5968" t="s">
        <v>4081</v>
      </c>
      <c r="F5968" t="s">
        <v>4076</v>
      </c>
    </row>
    <row r="5969" spans="1:6" x14ac:dyDescent="0.25">
      <c r="A5969">
        <v>4848</v>
      </c>
      <c r="B5969" t="s">
        <v>4072</v>
      </c>
      <c r="C5969">
        <v>5</v>
      </c>
      <c r="D5969" t="s">
        <v>4087</v>
      </c>
      <c r="E5969" t="s">
        <v>4088</v>
      </c>
      <c r="F5969" t="s">
        <v>4075</v>
      </c>
    </row>
    <row r="5970" spans="1:6" x14ac:dyDescent="0.25">
      <c r="A5970">
        <v>4848</v>
      </c>
      <c r="B5970" t="s">
        <v>4072</v>
      </c>
      <c r="C5970">
        <v>15</v>
      </c>
      <c r="D5970" t="s">
        <v>4080</v>
      </c>
      <c r="E5970" t="s">
        <v>4081</v>
      </c>
      <c r="F5970" t="s">
        <v>4076</v>
      </c>
    </row>
    <row r="5971" spans="1:6" x14ac:dyDescent="0.25">
      <c r="A5971">
        <v>4849</v>
      </c>
      <c r="B5971" t="s">
        <v>4092</v>
      </c>
      <c r="C5971">
        <v>24</v>
      </c>
      <c r="D5971" t="s">
        <v>2760</v>
      </c>
      <c r="E5971" t="s">
        <v>4108</v>
      </c>
      <c r="F5971" t="s">
        <v>4075</v>
      </c>
    </row>
    <row r="5972" spans="1:6" x14ac:dyDescent="0.25">
      <c r="A5972">
        <v>4849</v>
      </c>
      <c r="B5972" t="s">
        <v>4092</v>
      </c>
      <c r="C5972">
        <v>29</v>
      </c>
      <c r="D5972" t="s">
        <v>2760</v>
      </c>
      <c r="E5972" t="s">
        <v>4108</v>
      </c>
      <c r="F5972" t="s">
        <v>4076</v>
      </c>
    </row>
    <row r="5973" spans="1:6" x14ac:dyDescent="0.25">
      <c r="A5973">
        <v>4850</v>
      </c>
      <c r="B5973" t="s">
        <v>4072</v>
      </c>
      <c r="C5973">
        <v>6</v>
      </c>
      <c r="D5973" t="s">
        <v>4073</v>
      </c>
      <c r="E5973" t="s">
        <v>4074</v>
      </c>
      <c r="F5973" t="s">
        <v>4075</v>
      </c>
    </row>
    <row r="5974" spans="1:6" x14ac:dyDescent="0.25">
      <c r="A5974">
        <v>4850</v>
      </c>
      <c r="B5974" t="s">
        <v>4072</v>
      </c>
      <c r="C5974">
        <v>19</v>
      </c>
      <c r="D5974" t="s">
        <v>4073</v>
      </c>
      <c r="E5974" t="s">
        <v>4074</v>
      </c>
      <c r="F5974" t="s">
        <v>4076</v>
      </c>
    </row>
    <row r="5975" spans="1:6" x14ac:dyDescent="0.25">
      <c r="A5975">
        <v>4851</v>
      </c>
      <c r="B5975" t="s">
        <v>4072</v>
      </c>
      <c r="C5975">
        <v>3</v>
      </c>
      <c r="D5975" t="s">
        <v>4085</v>
      </c>
      <c r="E5975" t="s">
        <v>4086</v>
      </c>
      <c r="F5975" t="s">
        <v>4075</v>
      </c>
    </row>
    <row r="5976" spans="1:6" x14ac:dyDescent="0.25">
      <c r="A5976">
        <v>4851</v>
      </c>
      <c r="B5976" t="s">
        <v>4072</v>
      </c>
      <c r="C5976">
        <v>15</v>
      </c>
      <c r="D5976" t="s">
        <v>4080</v>
      </c>
      <c r="E5976" t="s">
        <v>4081</v>
      </c>
      <c r="F5976" t="s">
        <v>4076</v>
      </c>
    </row>
    <row r="5977" spans="1:6" x14ac:dyDescent="0.25">
      <c r="A5977">
        <v>4852</v>
      </c>
      <c r="B5977" t="s">
        <v>4072</v>
      </c>
      <c r="C5977">
        <v>4</v>
      </c>
      <c r="D5977" t="s">
        <v>4077</v>
      </c>
      <c r="E5977" t="s">
        <v>4078</v>
      </c>
      <c r="F5977" t="s">
        <v>4075</v>
      </c>
    </row>
    <row r="5978" spans="1:6" x14ac:dyDescent="0.25">
      <c r="A5978">
        <v>4852</v>
      </c>
      <c r="B5978" t="s">
        <v>4072</v>
      </c>
      <c r="C5978">
        <v>16</v>
      </c>
      <c r="D5978" t="s">
        <v>4077</v>
      </c>
      <c r="E5978" t="s">
        <v>4078</v>
      </c>
      <c r="F5978" t="s">
        <v>4076</v>
      </c>
    </row>
    <row r="5979" spans="1:6" x14ac:dyDescent="0.25">
      <c r="A5979">
        <v>4853</v>
      </c>
      <c r="B5979" t="s">
        <v>4072</v>
      </c>
      <c r="C5979">
        <v>5</v>
      </c>
      <c r="D5979" t="s">
        <v>4087</v>
      </c>
      <c r="E5979" t="s">
        <v>4088</v>
      </c>
      <c r="F5979" t="s">
        <v>4075</v>
      </c>
    </row>
    <row r="5980" spans="1:6" x14ac:dyDescent="0.25">
      <c r="A5980">
        <v>4853</v>
      </c>
      <c r="B5980" t="s">
        <v>4072</v>
      </c>
      <c r="C5980">
        <v>15</v>
      </c>
      <c r="D5980" t="s">
        <v>4080</v>
      </c>
      <c r="E5980" t="s">
        <v>4081</v>
      </c>
      <c r="F5980" t="s">
        <v>4076</v>
      </c>
    </row>
    <row r="5981" spans="1:6" x14ac:dyDescent="0.25">
      <c r="A5981">
        <v>4854</v>
      </c>
      <c r="B5981" t="s">
        <v>4072</v>
      </c>
      <c r="C5981">
        <v>3</v>
      </c>
      <c r="D5981" t="s">
        <v>4085</v>
      </c>
      <c r="E5981" t="s">
        <v>4086</v>
      </c>
      <c r="F5981" t="s">
        <v>4075</v>
      </c>
    </row>
    <row r="5982" spans="1:6" x14ac:dyDescent="0.25">
      <c r="A5982">
        <v>4854</v>
      </c>
      <c r="B5982" t="s">
        <v>4072</v>
      </c>
      <c r="C5982">
        <v>15</v>
      </c>
      <c r="D5982" t="s">
        <v>4080</v>
      </c>
      <c r="E5982" t="s">
        <v>4081</v>
      </c>
      <c r="F5982" t="s">
        <v>4076</v>
      </c>
    </row>
    <row r="5983" spans="1:6" x14ac:dyDescent="0.25">
      <c r="A5983">
        <v>4855</v>
      </c>
      <c r="B5983" t="s">
        <v>4072</v>
      </c>
      <c r="C5983">
        <v>5</v>
      </c>
      <c r="D5983" t="s">
        <v>4087</v>
      </c>
      <c r="E5983" t="s">
        <v>4088</v>
      </c>
      <c r="F5983" t="s">
        <v>4075</v>
      </c>
    </row>
    <row r="5984" spans="1:6" x14ac:dyDescent="0.25">
      <c r="A5984">
        <v>4855</v>
      </c>
      <c r="B5984" t="s">
        <v>4072</v>
      </c>
      <c r="C5984">
        <v>15</v>
      </c>
      <c r="D5984" t="s">
        <v>4080</v>
      </c>
      <c r="E5984" t="s">
        <v>4081</v>
      </c>
      <c r="F5984" t="s">
        <v>4076</v>
      </c>
    </row>
    <row r="5985" spans="1:6" x14ac:dyDescent="0.25">
      <c r="A5985">
        <v>4856</v>
      </c>
      <c r="B5985" t="s">
        <v>4072</v>
      </c>
      <c r="C5985">
        <v>2</v>
      </c>
      <c r="D5985" t="s">
        <v>4082</v>
      </c>
      <c r="E5985" t="s">
        <v>4083</v>
      </c>
      <c r="F5985" t="s">
        <v>4075</v>
      </c>
    </row>
    <row r="5986" spans="1:6" x14ac:dyDescent="0.25">
      <c r="A5986">
        <v>4856</v>
      </c>
      <c r="B5986" t="s">
        <v>4072</v>
      </c>
      <c r="C5986">
        <v>17</v>
      </c>
      <c r="D5986" t="s">
        <v>4082</v>
      </c>
      <c r="E5986" t="s">
        <v>4084</v>
      </c>
      <c r="F5986" t="s">
        <v>4076</v>
      </c>
    </row>
    <row r="5987" spans="1:6" x14ac:dyDescent="0.25">
      <c r="A5987">
        <v>4865</v>
      </c>
      <c r="B5987" t="s">
        <v>4092</v>
      </c>
      <c r="C5987">
        <v>24</v>
      </c>
      <c r="D5987" t="s">
        <v>2760</v>
      </c>
      <c r="E5987" t="s">
        <v>4108</v>
      </c>
      <c r="F5987" t="s">
        <v>4075</v>
      </c>
    </row>
    <row r="5988" spans="1:6" x14ac:dyDescent="0.25">
      <c r="A5988">
        <v>4865</v>
      </c>
      <c r="B5988" t="s">
        <v>4092</v>
      </c>
      <c r="C5988">
        <v>29</v>
      </c>
      <c r="D5988" t="s">
        <v>2760</v>
      </c>
      <c r="E5988" t="s">
        <v>4108</v>
      </c>
      <c r="F5988" t="s">
        <v>4076</v>
      </c>
    </row>
    <row r="5989" spans="1:6" x14ac:dyDescent="0.25">
      <c r="A5989">
        <v>4865</v>
      </c>
      <c r="B5989" t="s">
        <v>4092</v>
      </c>
      <c r="C5989">
        <v>49</v>
      </c>
      <c r="D5989" t="s">
        <v>2760</v>
      </c>
      <c r="E5989" t="s">
        <v>4108</v>
      </c>
      <c r="F5989" t="s">
        <v>4079</v>
      </c>
    </row>
    <row r="5990" spans="1:6" x14ac:dyDescent="0.25">
      <c r="A5990">
        <v>4866</v>
      </c>
      <c r="B5990" t="s">
        <v>4072</v>
      </c>
      <c r="C5990">
        <v>6</v>
      </c>
      <c r="D5990" t="s">
        <v>4073</v>
      </c>
      <c r="E5990" t="s">
        <v>4074</v>
      </c>
      <c r="F5990" t="s">
        <v>4075</v>
      </c>
    </row>
    <row r="5991" spans="1:6" x14ac:dyDescent="0.25">
      <c r="A5991">
        <v>4866</v>
      </c>
      <c r="B5991" t="s">
        <v>4072</v>
      </c>
      <c r="C5991">
        <v>19</v>
      </c>
      <c r="D5991" t="s">
        <v>4073</v>
      </c>
      <c r="E5991" t="s">
        <v>4074</v>
      </c>
      <c r="F5991" t="s">
        <v>4076</v>
      </c>
    </row>
    <row r="5992" spans="1:6" x14ac:dyDescent="0.25">
      <c r="A5992">
        <v>4867</v>
      </c>
      <c r="B5992" t="s">
        <v>4072</v>
      </c>
      <c r="C5992">
        <v>10</v>
      </c>
      <c r="D5992" t="s">
        <v>4095</v>
      </c>
      <c r="E5992" t="s">
        <v>4096</v>
      </c>
      <c r="F5992" t="s">
        <v>4075</v>
      </c>
    </row>
    <row r="5993" spans="1:6" x14ac:dyDescent="0.25">
      <c r="A5993">
        <v>4867</v>
      </c>
      <c r="B5993" t="s">
        <v>4072</v>
      </c>
      <c r="C5993">
        <v>13</v>
      </c>
      <c r="D5993" t="s">
        <v>4097</v>
      </c>
      <c r="E5993" t="s">
        <v>4098</v>
      </c>
      <c r="F5993" t="s">
        <v>4076</v>
      </c>
    </row>
    <row r="5994" spans="1:6" x14ac:dyDescent="0.25">
      <c r="A5994">
        <v>4868</v>
      </c>
      <c r="B5994" t="s">
        <v>4072</v>
      </c>
      <c r="C5994">
        <v>19</v>
      </c>
      <c r="D5994" t="s">
        <v>4073</v>
      </c>
      <c r="E5994" t="s">
        <v>4074</v>
      </c>
      <c r="F5994" t="s">
        <v>4076</v>
      </c>
    </row>
    <row r="5995" spans="1:6" x14ac:dyDescent="0.25">
      <c r="A5995">
        <v>4869</v>
      </c>
      <c r="B5995" t="s">
        <v>4072</v>
      </c>
      <c r="C5995">
        <v>2</v>
      </c>
      <c r="D5995" t="s">
        <v>4082</v>
      </c>
      <c r="E5995" t="s">
        <v>4083</v>
      </c>
      <c r="F5995" t="s">
        <v>4075</v>
      </c>
    </row>
    <row r="5996" spans="1:6" x14ac:dyDescent="0.25">
      <c r="A5996">
        <v>4869</v>
      </c>
      <c r="B5996" t="s">
        <v>4072</v>
      </c>
      <c r="C5996">
        <v>17</v>
      </c>
      <c r="D5996" t="s">
        <v>4082</v>
      </c>
      <c r="E5996" t="s">
        <v>4084</v>
      </c>
      <c r="F5996" t="s">
        <v>4076</v>
      </c>
    </row>
    <row r="5997" spans="1:6" x14ac:dyDescent="0.25">
      <c r="A5997">
        <v>4870</v>
      </c>
      <c r="B5997" t="s">
        <v>4072</v>
      </c>
      <c r="C5997">
        <v>4</v>
      </c>
      <c r="D5997" t="s">
        <v>4077</v>
      </c>
      <c r="E5997" t="s">
        <v>4078</v>
      </c>
      <c r="F5997" t="s">
        <v>4075</v>
      </c>
    </row>
    <row r="5998" spans="1:6" x14ac:dyDescent="0.25">
      <c r="A5998">
        <v>4870</v>
      </c>
      <c r="B5998" t="s">
        <v>4072</v>
      </c>
      <c r="C5998">
        <v>16</v>
      </c>
      <c r="D5998" t="s">
        <v>4077</v>
      </c>
      <c r="E5998" t="s">
        <v>4078</v>
      </c>
      <c r="F5998" t="s">
        <v>4076</v>
      </c>
    </row>
    <row r="5999" spans="1:6" x14ac:dyDescent="0.25">
      <c r="A5999">
        <v>4871</v>
      </c>
      <c r="B5999" t="s">
        <v>4072</v>
      </c>
      <c r="C5999">
        <v>3</v>
      </c>
      <c r="D5999" t="s">
        <v>4085</v>
      </c>
      <c r="E5999" t="s">
        <v>4086</v>
      </c>
      <c r="F5999" t="s">
        <v>4075</v>
      </c>
    </row>
    <row r="6000" spans="1:6" x14ac:dyDescent="0.25">
      <c r="A6000">
        <v>4871</v>
      </c>
      <c r="B6000" t="s">
        <v>4072</v>
      </c>
      <c r="C6000">
        <v>15</v>
      </c>
      <c r="D6000" t="s">
        <v>4080</v>
      </c>
      <c r="E6000" t="s">
        <v>4081</v>
      </c>
      <c r="F6000" t="s">
        <v>4076</v>
      </c>
    </row>
    <row r="6001" spans="1:6" x14ac:dyDescent="0.25">
      <c r="A6001">
        <v>4872</v>
      </c>
      <c r="B6001" t="s">
        <v>4072</v>
      </c>
      <c r="C6001">
        <v>6</v>
      </c>
      <c r="D6001" t="s">
        <v>4073</v>
      </c>
      <c r="E6001" t="s">
        <v>4074</v>
      </c>
      <c r="F6001" t="s">
        <v>4075</v>
      </c>
    </row>
    <row r="6002" spans="1:6" x14ac:dyDescent="0.25">
      <c r="A6002">
        <v>4872</v>
      </c>
      <c r="B6002" t="s">
        <v>4072</v>
      </c>
      <c r="C6002">
        <v>19</v>
      </c>
      <c r="D6002" t="s">
        <v>4073</v>
      </c>
      <c r="E6002" t="s">
        <v>4074</v>
      </c>
      <c r="F6002" t="s">
        <v>4076</v>
      </c>
    </row>
    <row r="6003" spans="1:6" x14ac:dyDescent="0.25">
      <c r="A6003">
        <v>4873</v>
      </c>
      <c r="B6003" t="s">
        <v>4072</v>
      </c>
      <c r="C6003">
        <v>4</v>
      </c>
      <c r="D6003" t="s">
        <v>4077</v>
      </c>
      <c r="E6003" t="s">
        <v>4078</v>
      </c>
      <c r="F6003" t="s">
        <v>4075</v>
      </c>
    </row>
    <row r="6004" spans="1:6" x14ac:dyDescent="0.25">
      <c r="A6004">
        <v>4873</v>
      </c>
      <c r="B6004" t="s">
        <v>4072</v>
      </c>
      <c r="C6004">
        <v>16</v>
      </c>
      <c r="D6004" t="s">
        <v>4077</v>
      </c>
      <c r="E6004" t="s">
        <v>4078</v>
      </c>
      <c r="F6004" t="s">
        <v>4076</v>
      </c>
    </row>
    <row r="6005" spans="1:6" x14ac:dyDescent="0.25">
      <c r="A6005">
        <v>4888</v>
      </c>
      <c r="B6005" t="s">
        <v>4072</v>
      </c>
      <c r="C6005">
        <v>6</v>
      </c>
      <c r="D6005" t="s">
        <v>4073</v>
      </c>
      <c r="E6005" t="s">
        <v>4074</v>
      </c>
      <c r="F6005" t="s">
        <v>4075</v>
      </c>
    </row>
    <row r="6006" spans="1:6" x14ac:dyDescent="0.25">
      <c r="A6006">
        <v>4888</v>
      </c>
      <c r="B6006" t="s">
        <v>4072</v>
      </c>
      <c r="C6006">
        <v>19</v>
      </c>
      <c r="D6006" t="s">
        <v>4073</v>
      </c>
      <c r="E6006" t="s">
        <v>4074</v>
      </c>
      <c r="F6006" t="s">
        <v>4076</v>
      </c>
    </row>
    <row r="6007" spans="1:6" x14ac:dyDescent="0.25">
      <c r="A6007">
        <v>4889</v>
      </c>
      <c r="B6007" t="s">
        <v>4092</v>
      </c>
      <c r="C6007">
        <v>24</v>
      </c>
      <c r="D6007" t="s">
        <v>2760</v>
      </c>
      <c r="E6007" t="s">
        <v>4108</v>
      </c>
      <c r="F6007" t="s">
        <v>4075</v>
      </c>
    </row>
    <row r="6008" spans="1:6" x14ac:dyDescent="0.25">
      <c r="A6008">
        <v>4890</v>
      </c>
      <c r="B6008" t="s">
        <v>4092</v>
      </c>
      <c r="C6008">
        <v>23</v>
      </c>
      <c r="D6008" t="s">
        <v>2757</v>
      </c>
      <c r="E6008" t="s">
        <v>4093</v>
      </c>
      <c r="F6008" t="s">
        <v>4075</v>
      </c>
    </row>
    <row r="6009" spans="1:6" x14ac:dyDescent="0.25">
      <c r="A6009">
        <v>4890</v>
      </c>
      <c r="B6009" t="s">
        <v>4092</v>
      </c>
      <c r="C6009">
        <v>33</v>
      </c>
      <c r="D6009" t="s">
        <v>4109</v>
      </c>
      <c r="E6009" t="s">
        <v>4110</v>
      </c>
      <c r="F6009" t="s">
        <v>4075</v>
      </c>
    </row>
    <row r="6010" spans="1:6" x14ac:dyDescent="0.25">
      <c r="A6010">
        <v>4891</v>
      </c>
      <c r="B6010" t="s">
        <v>4092</v>
      </c>
      <c r="C6010">
        <v>33</v>
      </c>
      <c r="D6010" t="s">
        <v>4109</v>
      </c>
      <c r="E6010" t="s">
        <v>4110</v>
      </c>
      <c r="F6010" t="s">
        <v>4075</v>
      </c>
    </row>
    <row r="6011" spans="1:6" x14ac:dyDescent="0.25">
      <c r="A6011">
        <v>4892</v>
      </c>
      <c r="B6011" t="s">
        <v>4092</v>
      </c>
      <c r="C6011">
        <v>33</v>
      </c>
      <c r="D6011" t="s">
        <v>4109</v>
      </c>
      <c r="E6011" t="s">
        <v>4110</v>
      </c>
      <c r="F6011" t="s">
        <v>4075</v>
      </c>
    </row>
    <row r="6012" spans="1:6" x14ac:dyDescent="0.25">
      <c r="A6012">
        <v>4904</v>
      </c>
      <c r="B6012" t="s">
        <v>4072</v>
      </c>
      <c r="C6012">
        <v>4</v>
      </c>
      <c r="D6012" t="s">
        <v>4077</v>
      </c>
      <c r="E6012" t="s">
        <v>4078</v>
      </c>
      <c r="F6012" t="s">
        <v>4075</v>
      </c>
    </row>
    <row r="6013" spans="1:6" x14ac:dyDescent="0.25">
      <c r="A6013">
        <v>4904</v>
      </c>
      <c r="B6013" t="s">
        <v>4072</v>
      </c>
      <c r="C6013">
        <v>16</v>
      </c>
      <c r="D6013" t="s">
        <v>4077</v>
      </c>
      <c r="E6013" t="s">
        <v>4078</v>
      </c>
      <c r="F6013" t="s">
        <v>4076</v>
      </c>
    </row>
    <row r="6014" spans="1:6" x14ac:dyDescent="0.25">
      <c r="A6014">
        <v>4905</v>
      </c>
      <c r="B6014" t="s">
        <v>4092</v>
      </c>
      <c r="C6014">
        <v>24</v>
      </c>
      <c r="D6014" t="s">
        <v>2760</v>
      </c>
      <c r="E6014" t="s">
        <v>4108</v>
      </c>
      <c r="F6014" t="s">
        <v>4075</v>
      </c>
    </row>
    <row r="6015" spans="1:6" x14ac:dyDescent="0.25">
      <c r="A6015">
        <v>4905</v>
      </c>
      <c r="B6015" t="s">
        <v>4092</v>
      </c>
      <c r="C6015">
        <v>29</v>
      </c>
      <c r="D6015" t="s">
        <v>2760</v>
      </c>
      <c r="E6015" t="s">
        <v>4108</v>
      </c>
      <c r="F6015" t="s">
        <v>4076</v>
      </c>
    </row>
    <row r="6016" spans="1:6" x14ac:dyDescent="0.25">
      <c r="A6016">
        <v>4913</v>
      </c>
      <c r="B6016" t="s">
        <v>4072</v>
      </c>
      <c r="C6016">
        <v>5</v>
      </c>
      <c r="D6016" t="s">
        <v>4087</v>
      </c>
      <c r="E6016" t="s">
        <v>4088</v>
      </c>
      <c r="F6016" t="s">
        <v>4075</v>
      </c>
    </row>
    <row r="6017" spans="1:6" x14ac:dyDescent="0.25">
      <c r="A6017">
        <v>4913</v>
      </c>
      <c r="B6017" t="s">
        <v>4072</v>
      </c>
      <c r="C6017">
        <v>15</v>
      </c>
      <c r="D6017" t="s">
        <v>4080</v>
      </c>
      <c r="E6017" t="s">
        <v>4081</v>
      </c>
      <c r="F6017" t="s">
        <v>4076</v>
      </c>
    </row>
    <row r="6018" spans="1:6" x14ac:dyDescent="0.25">
      <c r="A6018">
        <v>4915</v>
      </c>
      <c r="B6018" t="s">
        <v>4072</v>
      </c>
      <c r="C6018">
        <v>3</v>
      </c>
      <c r="D6018" t="s">
        <v>4085</v>
      </c>
      <c r="E6018" t="s">
        <v>4086</v>
      </c>
      <c r="F6018" t="s">
        <v>4075</v>
      </c>
    </row>
    <row r="6019" spans="1:6" x14ac:dyDescent="0.25">
      <c r="A6019">
        <v>4915</v>
      </c>
      <c r="B6019" t="s">
        <v>4072</v>
      </c>
      <c r="C6019">
        <v>15</v>
      </c>
      <c r="D6019" t="s">
        <v>4080</v>
      </c>
      <c r="E6019" t="s">
        <v>4081</v>
      </c>
      <c r="F6019" t="s">
        <v>4076</v>
      </c>
    </row>
    <row r="6020" spans="1:6" x14ac:dyDescent="0.25">
      <c r="A6020">
        <v>4916</v>
      </c>
      <c r="B6020" t="s">
        <v>4072</v>
      </c>
      <c r="C6020">
        <v>4</v>
      </c>
      <c r="D6020" t="s">
        <v>4077</v>
      </c>
      <c r="E6020" t="s">
        <v>4078</v>
      </c>
      <c r="F6020" t="s">
        <v>4075</v>
      </c>
    </row>
    <row r="6021" spans="1:6" x14ac:dyDescent="0.25">
      <c r="A6021">
        <v>4916</v>
      </c>
      <c r="B6021" t="s">
        <v>4072</v>
      </c>
      <c r="C6021">
        <v>16</v>
      </c>
      <c r="D6021" t="s">
        <v>4077</v>
      </c>
      <c r="E6021" t="s">
        <v>4078</v>
      </c>
      <c r="F6021" t="s">
        <v>4076</v>
      </c>
    </row>
    <row r="6022" spans="1:6" x14ac:dyDescent="0.25">
      <c r="A6022">
        <v>4917</v>
      </c>
      <c r="B6022" t="s">
        <v>4092</v>
      </c>
      <c r="C6022">
        <v>24</v>
      </c>
      <c r="D6022" t="s">
        <v>2760</v>
      </c>
      <c r="E6022" t="s">
        <v>4108</v>
      </c>
      <c r="F6022" t="s">
        <v>4075</v>
      </c>
    </row>
    <row r="6023" spans="1:6" x14ac:dyDescent="0.25">
      <c r="A6023">
        <v>4917</v>
      </c>
      <c r="B6023" t="s">
        <v>4092</v>
      </c>
      <c r="C6023">
        <v>29</v>
      </c>
      <c r="D6023" t="s">
        <v>2760</v>
      </c>
      <c r="E6023" t="s">
        <v>4108</v>
      </c>
      <c r="F6023" t="s">
        <v>4076</v>
      </c>
    </row>
    <row r="6024" spans="1:6" x14ac:dyDescent="0.25">
      <c r="A6024">
        <v>4918</v>
      </c>
      <c r="B6024" t="s">
        <v>4072</v>
      </c>
      <c r="C6024">
        <v>6</v>
      </c>
      <c r="D6024" t="s">
        <v>4073</v>
      </c>
      <c r="E6024" t="s">
        <v>4074</v>
      </c>
      <c r="F6024" t="s">
        <v>4075</v>
      </c>
    </row>
    <row r="6025" spans="1:6" x14ac:dyDescent="0.25">
      <c r="A6025">
        <v>4918</v>
      </c>
      <c r="B6025" t="s">
        <v>4072</v>
      </c>
      <c r="C6025">
        <v>19</v>
      </c>
      <c r="D6025" t="s">
        <v>4073</v>
      </c>
      <c r="E6025" t="s">
        <v>4074</v>
      </c>
      <c r="F6025" t="s">
        <v>4076</v>
      </c>
    </row>
    <row r="6026" spans="1:6" x14ac:dyDescent="0.25">
      <c r="A6026">
        <v>4919</v>
      </c>
      <c r="B6026" t="s">
        <v>4072</v>
      </c>
      <c r="C6026">
        <v>6</v>
      </c>
      <c r="D6026" t="s">
        <v>4073</v>
      </c>
      <c r="E6026" t="s">
        <v>4074</v>
      </c>
      <c r="F6026" t="s">
        <v>4075</v>
      </c>
    </row>
    <row r="6027" spans="1:6" x14ac:dyDescent="0.25">
      <c r="A6027">
        <v>4919</v>
      </c>
      <c r="B6027" t="s">
        <v>4072</v>
      </c>
      <c r="C6027">
        <v>19</v>
      </c>
      <c r="D6027" t="s">
        <v>4073</v>
      </c>
      <c r="E6027" t="s">
        <v>4074</v>
      </c>
      <c r="F6027" t="s">
        <v>4076</v>
      </c>
    </row>
    <row r="6028" spans="1:6" x14ac:dyDescent="0.25">
      <c r="A6028">
        <v>4920</v>
      </c>
      <c r="B6028" t="s">
        <v>4072</v>
      </c>
      <c r="C6028">
        <v>5</v>
      </c>
      <c r="D6028" t="s">
        <v>4087</v>
      </c>
      <c r="E6028" t="s">
        <v>4088</v>
      </c>
      <c r="F6028" t="s">
        <v>4075</v>
      </c>
    </row>
    <row r="6029" spans="1:6" x14ac:dyDescent="0.25">
      <c r="A6029">
        <v>4920</v>
      </c>
      <c r="B6029" t="s">
        <v>4072</v>
      </c>
      <c r="C6029">
        <v>15</v>
      </c>
      <c r="D6029" t="s">
        <v>4080</v>
      </c>
      <c r="E6029" t="s">
        <v>4081</v>
      </c>
      <c r="F6029" t="s">
        <v>4076</v>
      </c>
    </row>
    <row r="6030" spans="1:6" x14ac:dyDescent="0.25">
      <c r="A6030">
        <v>4921</v>
      </c>
      <c r="B6030" t="s">
        <v>4072</v>
      </c>
      <c r="C6030">
        <v>2</v>
      </c>
      <c r="D6030" t="s">
        <v>4082</v>
      </c>
      <c r="E6030" t="s">
        <v>4083</v>
      </c>
      <c r="F6030" t="s">
        <v>4075</v>
      </c>
    </row>
    <row r="6031" spans="1:6" x14ac:dyDescent="0.25">
      <c r="A6031">
        <v>4921</v>
      </c>
      <c r="B6031" t="s">
        <v>4072</v>
      </c>
      <c r="C6031">
        <v>17</v>
      </c>
      <c r="D6031" t="s">
        <v>4082</v>
      </c>
      <c r="E6031" t="s">
        <v>4084</v>
      </c>
      <c r="F6031" t="s">
        <v>4076</v>
      </c>
    </row>
    <row r="6032" spans="1:6" x14ac:dyDescent="0.25">
      <c r="A6032">
        <v>4922</v>
      </c>
      <c r="B6032" t="s">
        <v>4072</v>
      </c>
      <c r="C6032">
        <v>3</v>
      </c>
      <c r="D6032" t="s">
        <v>4085</v>
      </c>
      <c r="E6032" t="s">
        <v>4086</v>
      </c>
      <c r="F6032" t="s">
        <v>4075</v>
      </c>
    </row>
    <row r="6033" spans="1:6" x14ac:dyDescent="0.25">
      <c r="A6033">
        <v>4922</v>
      </c>
      <c r="B6033" t="s">
        <v>4072</v>
      </c>
      <c r="C6033">
        <v>15</v>
      </c>
      <c r="D6033" t="s">
        <v>4080</v>
      </c>
      <c r="E6033" t="s">
        <v>4081</v>
      </c>
      <c r="F6033" t="s">
        <v>4076</v>
      </c>
    </row>
    <row r="6034" spans="1:6" x14ac:dyDescent="0.25">
      <c r="A6034">
        <v>4923</v>
      </c>
      <c r="B6034" t="s">
        <v>4072</v>
      </c>
      <c r="C6034">
        <v>4</v>
      </c>
      <c r="D6034" t="s">
        <v>4077</v>
      </c>
      <c r="E6034" t="s">
        <v>4078</v>
      </c>
      <c r="F6034" t="s">
        <v>4075</v>
      </c>
    </row>
    <row r="6035" spans="1:6" x14ac:dyDescent="0.25">
      <c r="A6035">
        <v>4923</v>
      </c>
      <c r="B6035" t="s">
        <v>4072</v>
      </c>
      <c r="C6035">
        <v>16</v>
      </c>
      <c r="D6035" t="s">
        <v>4077</v>
      </c>
      <c r="E6035" t="s">
        <v>4078</v>
      </c>
      <c r="F6035" t="s">
        <v>4076</v>
      </c>
    </row>
    <row r="6036" spans="1:6" x14ac:dyDescent="0.25">
      <c r="A6036">
        <v>4924</v>
      </c>
      <c r="B6036" t="s">
        <v>4072</v>
      </c>
      <c r="C6036">
        <v>5</v>
      </c>
      <c r="D6036" t="s">
        <v>4087</v>
      </c>
      <c r="E6036" t="s">
        <v>4088</v>
      </c>
      <c r="F6036" t="s">
        <v>4075</v>
      </c>
    </row>
    <row r="6037" spans="1:6" x14ac:dyDescent="0.25">
      <c r="A6037">
        <v>4924</v>
      </c>
      <c r="B6037" t="s">
        <v>4072</v>
      </c>
      <c r="C6037">
        <v>15</v>
      </c>
      <c r="D6037" t="s">
        <v>4080</v>
      </c>
      <c r="E6037" t="s">
        <v>4081</v>
      </c>
      <c r="F6037" t="s">
        <v>4076</v>
      </c>
    </row>
    <row r="6038" spans="1:6" x14ac:dyDescent="0.25">
      <c r="A6038">
        <v>4925</v>
      </c>
      <c r="B6038" t="s">
        <v>4072</v>
      </c>
      <c r="C6038">
        <v>5</v>
      </c>
      <c r="D6038" t="s">
        <v>4087</v>
      </c>
      <c r="E6038" t="s">
        <v>4088</v>
      </c>
      <c r="F6038" t="s">
        <v>4075</v>
      </c>
    </row>
    <row r="6039" spans="1:6" x14ac:dyDescent="0.25">
      <c r="A6039">
        <v>4925</v>
      </c>
      <c r="B6039" t="s">
        <v>4072</v>
      </c>
      <c r="C6039">
        <v>15</v>
      </c>
      <c r="D6039" t="s">
        <v>4080</v>
      </c>
      <c r="E6039" t="s">
        <v>4081</v>
      </c>
      <c r="F6039" t="s">
        <v>4076</v>
      </c>
    </row>
    <row r="6040" spans="1:6" x14ac:dyDescent="0.25">
      <c r="A6040">
        <v>4926</v>
      </c>
      <c r="B6040" t="s">
        <v>4092</v>
      </c>
      <c r="C6040">
        <v>23</v>
      </c>
      <c r="D6040" t="s">
        <v>2757</v>
      </c>
      <c r="E6040" t="s">
        <v>4093</v>
      </c>
      <c r="F6040" t="s">
        <v>4075</v>
      </c>
    </row>
    <row r="6041" spans="1:6" x14ac:dyDescent="0.25">
      <c r="A6041">
        <v>4926</v>
      </c>
      <c r="B6041" t="s">
        <v>4092</v>
      </c>
      <c r="C6041">
        <v>28</v>
      </c>
      <c r="D6041" t="s">
        <v>2757</v>
      </c>
      <c r="E6041" t="s">
        <v>4093</v>
      </c>
      <c r="F6041" t="s">
        <v>4076</v>
      </c>
    </row>
    <row r="6042" spans="1:6" x14ac:dyDescent="0.25">
      <c r="A6042">
        <v>4927</v>
      </c>
      <c r="B6042" t="s">
        <v>4092</v>
      </c>
      <c r="C6042">
        <v>23</v>
      </c>
      <c r="D6042" t="s">
        <v>2757</v>
      </c>
      <c r="E6042" t="s">
        <v>4093</v>
      </c>
      <c r="F6042" t="s">
        <v>4075</v>
      </c>
    </row>
    <row r="6043" spans="1:6" x14ac:dyDescent="0.25">
      <c r="A6043">
        <v>4928</v>
      </c>
      <c r="B6043" t="s">
        <v>4092</v>
      </c>
      <c r="C6043">
        <v>24</v>
      </c>
      <c r="D6043" t="s">
        <v>2760</v>
      </c>
      <c r="E6043" t="s">
        <v>4108</v>
      </c>
      <c r="F6043" t="s">
        <v>4075</v>
      </c>
    </row>
    <row r="6044" spans="1:6" x14ac:dyDescent="0.25">
      <c r="A6044">
        <v>4928</v>
      </c>
      <c r="B6044" t="s">
        <v>4092</v>
      </c>
      <c r="C6044">
        <v>29</v>
      </c>
      <c r="D6044" t="s">
        <v>2760</v>
      </c>
      <c r="E6044" t="s">
        <v>4108</v>
      </c>
      <c r="F6044" t="s">
        <v>4076</v>
      </c>
    </row>
    <row r="6045" spans="1:6" x14ac:dyDescent="0.25">
      <c r="A6045">
        <v>4929</v>
      </c>
      <c r="B6045" t="s">
        <v>4092</v>
      </c>
      <c r="C6045">
        <v>33</v>
      </c>
      <c r="D6045" t="s">
        <v>4109</v>
      </c>
      <c r="E6045" t="s">
        <v>4110</v>
      </c>
      <c r="F6045" t="s">
        <v>4075</v>
      </c>
    </row>
    <row r="6046" spans="1:6" x14ac:dyDescent="0.25">
      <c r="A6046">
        <v>4929</v>
      </c>
      <c r="B6046" t="s">
        <v>4092</v>
      </c>
      <c r="C6046">
        <v>34</v>
      </c>
      <c r="D6046" t="s">
        <v>4109</v>
      </c>
      <c r="E6046" t="s">
        <v>4110</v>
      </c>
      <c r="F6046" t="s">
        <v>4076</v>
      </c>
    </row>
    <row r="6047" spans="1:6" x14ac:dyDescent="0.25">
      <c r="A6047">
        <v>4930</v>
      </c>
      <c r="B6047" t="s">
        <v>4092</v>
      </c>
      <c r="C6047">
        <v>33</v>
      </c>
      <c r="D6047" t="s">
        <v>4109</v>
      </c>
      <c r="E6047" t="s">
        <v>4110</v>
      </c>
      <c r="F6047" t="s">
        <v>4075</v>
      </c>
    </row>
    <row r="6048" spans="1:6" x14ac:dyDescent="0.25">
      <c r="A6048">
        <v>4930</v>
      </c>
      <c r="B6048" t="s">
        <v>4092</v>
      </c>
      <c r="C6048">
        <v>34</v>
      </c>
      <c r="D6048" t="s">
        <v>4109</v>
      </c>
      <c r="E6048" t="s">
        <v>4110</v>
      </c>
      <c r="F6048" t="s">
        <v>4076</v>
      </c>
    </row>
    <row r="6049" spans="1:6" x14ac:dyDescent="0.25">
      <c r="A6049">
        <v>4931</v>
      </c>
      <c r="B6049" t="s">
        <v>4092</v>
      </c>
      <c r="C6049">
        <v>33</v>
      </c>
      <c r="D6049" t="s">
        <v>4109</v>
      </c>
      <c r="E6049" t="s">
        <v>4110</v>
      </c>
      <c r="F6049" t="s">
        <v>4075</v>
      </c>
    </row>
    <row r="6050" spans="1:6" x14ac:dyDescent="0.25">
      <c r="A6050">
        <v>4931</v>
      </c>
      <c r="B6050" t="s">
        <v>4092</v>
      </c>
      <c r="C6050">
        <v>34</v>
      </c>
      <c r="D6050" t="s">
        <v>4109</v>
      </c>
      <c r="E6050" t="s">
        <v>4110</v>
      </c>
      <c r="F6050" t="s">
        <v>4076</v>
      </c>
    </row>
    <row r="6051" spans="1:6" x14ac:dyDescent="0.25">
      <c r="A6051">
        <v>4932</v>
      </c>
      <c r="B6051" t="s">
        <v>4072</v>
      </c>
      <c r="C6051">
        <v>6</v>
      </c>
      <c r="D6051" t="s">
        <v>4073</v>
      </c>
      <c r="E6051" t="s">
        <v>4074</v>
      </c>
      <c r="F6051" t="s">
        <v>4075</v>
      </c>
    </row>
    <row r="6052" spans="1:6" x14ac:dyDescent="0.25">
      <c r="A6052">
        <v>4932</v>
      </c>
      <c r="B6052" t="s">
        <v>4072</v>
      </c>
      <c r="C6052">
        <v>19</v>
      </c>
      <c r="D6052" t="s">
        <v>4073</v>
      </c>
      <c r="E6052" t="s">
        <v>4074</v>
      </c>
      <c r="F6052" t="s">
        <v>4076</v>
      </c>
    </row>
    <row r="6053" spans="1:6" x14ac:dyDescent="0.25">
      <c r="A6053">
        <v>4933</v>
      </c>
      <c r="B6053" t="s">
        <v>4072</v>
      </c>
      <c r="C6053">
        <v>19</v>
      </c>
      <c r="D6053" t="s">
        <v>4073</v>
      </c>
      <c r="E6053" t="s">
        <v>4074</v>
      </c>
      <c r="F6053" t="s">
        <v>4076</v>
      </c>
    </row>
    <row r="6054" spans="1:6" x14ac:dyDescent="0.25">
      <c r="A6054">
        <v>4934</v>
      </c>
      <c r="B6054" t="s">
        <v>4072</v>
      </c>
      <c r="C6054">
        <v>5</v>
      </c>
      <c r="D6054" t="s">
        <v>4087</v>
      </c>
      <c r="E6054" t="s">
        <v>4088</v>
      </c>
      <c r="F6054" t="s">
        <v>4075</v>
      </c>
    </row>
    <row r="6055" spans="1:6" x14ac:dyDescent="0.25">
      <c r="A6055">
        <v>4934</v>
      </c>
      <c r="B6055" t="s">
        <v>4072</v>
      </c>
      <c r="C6055">
        <v>15</v>
      </c>
      <c r="D6055" t="s">
        <v>4080</v>
      </c>
      <c r="E6055" t="s">
        <v>4081</v>
      </c>
      <c r="F6055" t="s">
        <v>4076</v>
      </c>
    </row>
    <row r="6056" spans="1:6" x14ac:dyDescent="0.25">
      <c r="A6056">
        <v>4935</v>
      </c>
      <c r="B6056" t="s">
        <v>4072</v>
      </c>
      <c r="C6056">
        <v>4</v>
      </c>
      <c r="D6056" t="s">
        <v>4077</v>
      </c>
      <c r="E6056" t="s">
        <v>4078</v>
      </c>
      <c r="F6056" t="s">
        <v>4075</v>
      </c>
    </row>
    <row r="6057" spans="1:6" x14ac:dyDescent="0.25">
      <c r="A6057">
        <v>4935</v>
      </c>
      <c r="B6057" t="s">
        <v>4072</v>
      </c>
      <c r="C6057">
        <v>16</v>
      </c>
      <c r="D6057" t="s">
        <v>4077</v>
      </c>
      <c r="E6057" t="s">
        <v>4078</v>
      </c>
      <c r="F6057" t="s">
        <v>4076</v>
      </c>
    </row>
    <row r="6058" spans="1:6" x14ac:dyDescent="0.25">
      <c r="A6058">
        <v>4936</v>
      </c>
      <c r="B6058" t="s">
        <v>4092</v>
      </c>
      <c r="C6058">
        <v>24</v>
      </c>
      <c r="D6058" t="s">
        <v>2760</v>
      </c>
      <c r="E6058" t="s">
        <v>4108</v>
      </c>
      <c r="F6058" t="s">
        <v>4075</v>
      </c>
    </row>
    <row r="6059" spans="1:6" x14ac:dyDescent="0.25">
      <c r="A6059">
        <v>4937</v>
      </c>
      <c r="B6059" t="s">
        <v>4072</v>
      </c>
      <c r="C6059">
        <v>5</v>
      </c>
      <c r="D6059" t="s">
        <v>4087</v>
      </c>
      <c r="E6059" t="s">
        <v>4088</v>
      </c>
      <c r="F6059" t="s">
        <v>4075</v>
      </c>
    </row>
    <row r="6060" spans="1:6" x14ac:dyDescent="0.25">
      <c r="A6060">
        <v>4937</v>
      </c>
      <c r="B6060" t="s">
        <v>4072</v>
      </c>
      <c r="C6060">
        <v>15</v>
      </c>
      <c r="D6060" t="s">
        <v>4080</v>
      </c>
      <c r="E6060" t="s">
        <v>4081</v>
      </c>
      <c r="F6060" t="s">
        <v>4076</v>
      </c>
    </row>
    <row r="6061" spans="1:6" x14ac:dyDescent="0.25">
      <c r="A6061">
        <v>4938</v>
      </c>
      <c r="B6061" t="s">
        <v>4072</v>
      </c>
      <c r="C6061">
        <v>3</v>
      </c>
      <c r="D6061" t="s">
        <v>4085</v>
      </c>
      <c r="E6061" t="s">
        <v>4086</v>
      </c>
      <c r="F6061" t="s">
        <v>4075</v>
      </c>
    </row>
    <row r="6062" spans="1:6" x14ac:dyDescent="0.25">
      <c r="A6062">
        <v>4938</v>
      </c>
      <c r="B6062" t="s">
        <v>4072</v>
      </c>
      <c r="C6062">
        <v>15</v>
      </c>
      <c r="D6062" t="s">
        <v>4080</v>
      </c>
      <c r="E6062" t="s">
        <v>4081</v>
      </c>
      <c r="F6062" t="s">
        <v>4076</v>
      </c>
    </row>
    <row r="6063" spans="1:6" x14ac:dyDescent="0.25">
      <c r="A6063">
        <v>4939</v>
      </c>
      <c r="B6063" t="s">
        <v>4072</v>
      </c>
      <c r="C6063">
        <v>19</v>
      </c>
      <c r="D6063" t="s">
        <v>4073</v>
      </c>
      <c r="E6063" t="s">
        <v>4074</v>
      </c>
      <c r="F6063" t="s">
        <v>4076</v>
      </c>
    </row>
    <row r="6064" spans="1:6" x14ac:dyDescent="0.25">
      <c r="A6064">
        <v>4940</v>
      </c>
      <c r="B6064" t="s">
        <v>4072</v>
      </c>
      <c r="C6064">
        <v>6</v>
      </c>
      <c r="D6064" t="s">
        <v>4073</v>
      </c>
      <c r="E6064" t="s">
        <v>4074</v>
      </c>
      <c r="F6064" t="s">
        <v>4075</v>
      </c>
    </row>
    <row r="6065" spans="1:6" x14ac:dyDescent="0.25">
      <c r="A6065">
        <v>4940</v>
      </c>
      <c r="B6065" t="s">
        <v>4072</v>
      </c>
      <c r="C6065">
        <v>19</v>
      </c>
      <c r="D6065" t="s">
        <v>4073</v>
      </c>
      <c r="E6065" t="s">
        <v>4074</v>
      </c>
      <c r="F6065" t="s">
        <v>4076</v>
      </c>
    </row>
    <row r="6066" spans="1:6" x14ac:dyDescent="0.25">
      <c r="A6066">
        <v>4941</v>
      </c>
      <c r="B6066" t="s">
        <v>4072</v>
      </c>
      <c r="C6066">
        <v>2</v>
      </c>
      <c r="D6066" t="s">
        <v>4082</v>
      </c>
      <c r="E6066" t="s">
        <v>4083</v>
      </c>
      <c r="F6066" t="s">
        <v>4075</v>
      </c>
    </row>
    <row r="6067" spans="1:6" x14ac:dyDescent="0.25">
      <c r="A6067">
        <v>4941</v>
      </c>
      <c r="B6067" t="s">
        <v>4072</v>
      </c>
      <c r="C6067">
        <v>17</v>
      </c>
      <c r="D6067" t="s">
        <v>4082</v>
      </c>
      <c r="E6067" t="s">
        <v>4084</v>
      </c>
      <c r="F6067" t="s">
        <v>4076</v>
      </c>
    </row>
    <row r="6068" spans="1:6" x14ac:dyDescent="0.25">
      <c r="A6068">
        <v>4942</v>
      </c>
      <c r="B6068" t="s">
        <v>4072</v>
      </c>
      <c r="C6068">
        <v>5</v>
      </c>
      <c r="D6068" t="s">
        <v>4087</v>
      </c>
      <c r="E6068" t="s">
        <v>4088</v>
      </c>
      <c r="F6068" t="s">
        <v>4075</v>
      </c>
    </row>
    <row r="6069" spans="1:6" x14ac:dyDescent="0.25">
      <c r="A6069">
        <v>4942</v>
      </c>
      <c r="B6069" t="s">
        <v>4072</v>
      </c>
      <c r="C6069">
        <v>15</v>
      </c>
      <c r="D6069" t="s">
        <v>4080</v>
      </c>
      <c r="E6069" t="s">
        <v>4081</v>
      </c>
      <c r="F6069" t="s">
        <v>4076</v>
      </c>
    </row>
    <row r="6070" spans="1:6" x14ac:dyDescent="0.25">
      <c r="A6070">
        <v>4943</v>
      </c>
      <c r="B6070" t="s">
        <v>4072</v>
      </c>
      <c r="C6070">
        <v>5</v>
      </c>
      <c r="D6070" t="s">
        <v>4087</v>
      </c>
      <c r="E6070" t="s">
        <v>4088</v>
      </c>
      <c r="F6070" t="s">
        <v>4075</v>
      </c>
    </row>
    <row r="6071" spans="1:6" x14ac:dyDescent="0.25">
      <c r="A6071">
        <v>4943</v>
      </c>
      <c r="B6071" t="s">
        <v>4072</v>
      </c>
      <c r="C6071">
        <v>15</v>
      </c>
      <c r="D6071" t="s">
        <v>4080</v>
      </c>
      <c r="E6071" t="s">
        <v>4081</v>
      </c>
      <c r="F6071" t="s">
        <v>4076</v>
      </c>
    </row>
    <row r="6072" spans="1:6" x14ac:dyDescent="0.25">
      <c r="A6072">
        <v>4944</v>
      </c>
      <c r="B6072" t="s">
        <v>4072</v>
      </c>
      <c r="C6072">
        <v>3</v>
      </c>
      <c r="D6072" t="s">
        <v>4085</v>
      </c>
      <c r="E6072" t="s">
        <v>4086</v>
      </c>
      <c r="F6072" t="s">
        <v>4075</v>
      </c>
    </row>
    <row r="6073" spans="1:6" x14ac:dyDescent="0.25">
      <c r="A6073">
        <v>4945</v>
      </c>
      <c r="B6073" t="s">
        <v>4072</v>
      </c>
      <c r="C6073">
        <v>4</v>
      </c>
      <c r="D6073" t="s">
        <v>4077</v>
      </c>
      <c r="E6073" t="s">
        <v>4078</v>
      </c>
      <c r="F6073" t="s">
        <v>4075</v>
      </c>
    </row>
    <row r="6074" spans="1:6" x14ac:dyDescent="0.25">
      <c r="A6074">
        <v>4945</v>
      </c>
      <c r="B6074" t="s">
        <v>4072</v>
      </c>
      <c r="C6074">
        <v>16</v>
      </c>
      <c r="D6074" t="s">
        <v>4077</v>
      </c>
      <c r="E6074" t="s">
        <v>4078</v>
      </c>
      <c r="F6074" t="s">
        <v>4076</v>
      </c>
    </row>
    <row r="6075" spans="1:6" x14ac:dyDescent="0.25">
      <c r="A6075">
        <v>4946</v>
      </c>
      <c r="B6075" t="s">
        <v>4092</v>
      </c>
      <c r="C6075">
        <v>33</v>
      </c>
      <c r="D6075" t="s">
        <v>4109</v>
      </c>
      <c r="E6075" t="s">
        <v>4110</v>
      </c>
      <c r="F6075" t="s">
        <v>4075</v>
      </c>
    </row>
    <row r="6076" spans="1:6" x14ac:dyDescent="0.25">
      <c r="A6076">
        <v>4946</v>
      </c>
      <c r="B6076" t="s">
        <v>4092</v>
      </c>
      <c r="C6076">
        <v>34</v>
      </c>
      <c r="D6076" t="s">
        <v>4109</v>
      </c>
      <c r="E6076" t="s">
        <v>4110</v>
      </c>
      <c r="F6076" t="s">
        <v>4076</v>
      </c>
    </row>
    <row r="6077" spans="1:6" x14ac:dyDescent="0.25">
      <c r="A6077">
        <v>4947</v>
      </c>
      <c r="B6077" t="s">
        <v>4092</v>
      </c>
      <c r="C6077">
        <v>23</v>
      </c>
      <c r="D6077" t="s">
        <v>2757</v>
      </c>
      <c r="E6077" t="s">
        <v>4093</v>
      </c>
      <c r="F6077" t="s">
        <v>4075</v>
      </c>
    </row>
    <row r="6078" spans="1:6" x14ac:dyDescent="0.25">
      <c r="A6078">
        <v>4947</v>
      </c>
      <c r="B6078" t="s">
        <v>4092</v>
      </c>
      <c r="C6078">
        <v>28</v>
      </c>
      <c r="D6078" t="s">
        <v>2757</v>
      </c>
      <c r="E6078" t="s">
        <v>4093</v>
      </c>
      <c r="F6078" t="s">
        <v>4076</v>
      </c>
    </row>
    <row r="6079" spans="1:6" x14ac:dyDescent="0.25">
      <c r="A6079">
        <v>4948</v>
      </c>
      <c r="B6079" t="s">
        <v>4092</v>
      </c>
      <c r="C6079">
        <v>23</v>
      </c>
      <c r="D6079" t="s">
        <v>2757</v>
      </c>
      <c r="E6079" t="s">
        <v>4093</v>
      </c>
      <c r="F6079" t="s">
        <v>4075</v>
      </c>
    </row>
    <row r="6080" spans="1:6" x14ac:dyDescent="0.25">
      <c r="A6080">
        <v>4948</v>
      </c>
      <c r="B6080" t="s">
        <v>4092</v>
      </c>
      <c r="C6080">
        <v>28</v>
      </c>
      <c r="D6080" t="s">
        <v>2757</v>
      </c>
      <c r="E6080" t="s">
        <v>4093</v>
      </c>
      <c r="F6080" t="s">
        <v>4076</v>
      </c>
    </row>
    <row r="6081" spans="1:6" x14ac:dyDescent="0.25">
      <c r="A6081">
        <v>4962</v>
      </c>
      <c r="B6081" t="s">
        <v>4072</v>
      </c>
      <c r="C6081">
        <v>4</v>
      </c>
      <c r="D6081" t="s">
        <v>4077</v>
      </c>
      <c r="E6081" t="s">
        <v>4078</v>
      </c>
      <c r="F6081" t="s">
        <v>4075</v>
      </c>
    </row>
    <row r="6082" spans="1:6" x14ac:dyDescent="0.25">
      <c r="A6082">
        <v>4962</v>
      </c>
      <c r="B6082" t="s">
        <v>4072</v>
      </c>
      <c r="C6082">
        <v>16</v>
      </c>
      <c r="D6082" t="s">
        <v>4077</v>
      </c>
      <c r="E6082" t="s">
        <v>4078</v>
      </c>
      <c r="F6082" t="s">
        <v>4076</v>
      </c>
    </row>
    <row r="6083" spans="1:6" x14ac:dyDescent="0.25">
      <c r="A6083">
        <v>4963</v>
      </c>
      <c r="B6083" t="s">
        <v>4072</v>
      </c>
      <c r="C6083">
        <v>4</v>
      </c>
      <c r="D6083" t="s">
        <v>4077</v>
      </c>
      <c r="E6083" t="s">
        <v>4078</v>
      </c>
      <c r="F6083" t="s">
        <v>4075</v>
      </c>
    </row>
    <row r="6084" spans="1:6" x14ac:dyDescent="0.25">
      <c r="A6084">
        <v>4963</v>
      </c>
      <c r="B6084" t="s">
        <v>4072</v>
      </c>
      <c r="C6084">
        <v>16</v>
      </c>
      <c r="D6084" t="s">
        <v>4077</v>
      </c>
      <c r="E6084" t="s">
        <v>4078</v>
      </c>
      <c r="F6084" t="s">
        <v>4076</v>
      </c>
    </row>
    <row r="6085" spans="1:6" x14ac:dyDescent="0.25">
      <c r="A6085">
        <v>4964</v>
      </c>
      <c r="B6085" t="s">
        <v>4072</v>
      </c>
      <c r="C6085">
        <v>4</v>
      </c>
      <c r="D6085" t="s">
        <v>4077</v>
      </c>
      <c r="E6085" t="s">
        <v>4078</v>
      </c>
      <c r="F6085" t="s">
        <v>4075</v>
      </c>
    </row>
    <row r="6086" spans="1:6" x14ac:dyDescent="0.25">
      <c r="A6086">
        <v>4964</v>
      </c>
      <c r="B6086" t="s">
        <v>4072</v>
      </c>
      <c r="C6086">
        <v>16</v>
      </c>
      <c r="D6086" t="s">
        <v>4077</v>
      </c>
      <c r="E6086" t="s">
        <v>4078</v>
      </c>
      <c r="F6086" t="s">
        <v>4076</v>
      </c>
    </row>
    <row r="6087" spans="1:6" x14ac:dyDescent="0.25">
      <c r="A6087">
        <v>4965</v>
      </c>
      <c r="B6087" t="s">
        <v>4072</v>
      </c>
      <c r="C6087">
        <v>4</v>
      </c>
      <c r="D6087" t="s">
        <v>4077</v>
      </c>
      <c r="E6087" t="s">
        <v>4078</v>
      </c>
      <c r="F6087" t="s">
        <v>4075</v>
      </c>
    </row>
    <row r="6088" spans="1:6" x14ac:dyDescent="0.25">
      <c r="A6088">
        <v>4965</v>
      </c>
      <c r="B6088" t="s">
        <v>4072</v>
      </c>
      <c r="C6088">
        <v>16</v>
      </c>
      <c r="D6088" t="s">
        <v>4077</v>
      </c>
      <c r="E6088" t="s">
        <v>4078</v>
      </c>
      <c r="F6088" t="s">
        <v>4076</v>
      </c>
    </row>
    <row r="6089" spans="1:6" x14ac:dyDescent="0.25">
      <c r="A6089">
        <v>4966</v>
      </c>
      <c r="B6089" t="s">
        <v>4072</v>
      </c>
      <c r="C6089">
        <v>4</v>
      </c>
      <c r="D6089" t="s">
        <v>4077</v>
      </c>
      <c r="E6089" t="s">
        <v>4078</v>
      </c>
      <c r="F6089" t="s">
        <v>4075</v>
      </c>
    </row>
    <row r="6090" spans="1:6" x14ac:dyDescent="0.25">
      <c r="A6090">
        <v>4966</v>
      </c>
      <c r="B6090" t="s">
        <v>4072</v>
      </c>
      <c r="C6090">
        <v>16</v>
      </c>
      <c r="D6090" t="s">
        <v>4077</v>
      </c>
      <c r="E6090" t="s">
        <v>4078</v>
      </c>
      <c r="F6090" t="s">
        <v>4076</v>
      </c>
    </row>
    <row r="6091" spans="1:6" x14ac:dyDescent="0.25">
      <c r="A6091">
        <v>4966</v>
      </c>
      <c r="B6091" t="s">
        <v>4072</v>
      </c>
      <c r="C6091">
        <v>44</v>
      </c>
      <c r="D6091" t="s">
        <v>4077</v>
      </c>
      <c r="E6091" t="s">
        <v>4078</v>
      </c>
      <c r="F6091" t="s">
        <v>4079</v>
      </c>
    </row>
    <row r="6092" spans="1:6" x14ac:dyDescent="0.25">
      <c r="A6092">
        <v>4967</v>
      </c>
      <c r="B6092" t="s">
        <v>4072</v>
      </c>
      <c r="C6092">
        <v>4</v>
      </c>
      <c r="D6092" t="s">
        <v>4077</v>
      </c>
      <c r="E6092" t="s">
        <v>4078</v>
      </c>
      <c r="F6092" t="s">
        <v>4075</v>
      </c>
    </row>
    <row r="6093" spans="1:6" x14ac:dyDescent="0.25">
      <c r="A6093">
        <v>4967</v>
      </c>
      <c r="B6093" t="s">
        <v>4072</v>
      </c>
      <c r="C6093">
        <v>16</v>
      </c>
      <c r="D6093" t="s">
        <v>4077</v>
      </c>
      <c r="E6093" t="s">
        <v>4078</v>
      </c>
      <c r="F6093" t="s">
        <v>4076</v>
      </c>
    </row>
    <row r="6094" spans="1:6" x14ac:dyDescent="0.25">
      <c r="A6094">
        <v>4967</v>
      </c>
      <c r="B6094" t="s">
        <v>4072</v>
      </c>
      <c r="C6094">
        <v>44</v>
      </c>
      <c r="D6094" t="s">
        <v>4077</v>
      </c>
      <c r="E6094" t="s">
        <v>4078</v>
      </c>
      <c r="F6094" t="s">
        <v>4079</v>
      </c>
    </row>
    <row r="6095" spans="1:6" x14ac:dyDescent="0.25">
      <c r="A6095">
        <v>4968</v>
      </c>
      <c r="B6095" t="s">
        <v>4072</v>
      </c>
      <c r="C6095">
        <v>4</v>
      </c>
      <c r="D6095" t="s">
        <v>4077</v>
      </c>
      <c r="E6095" t="s">
        <v>4078</v>
      </c>
      <c r="F6095" t="s">
        <v>4075</v>
      </c>
    </row>
    <row r="6096" spans="1:6" x14ac:dyDescent="0.25">
      <c r="A6096">
        <v>4968</v>
      </c>
      <c r="B6096" t="s">
        <v>4072</v>
      </c>
      <c r="C6096">
        <v>16</v>
      </c>
      <c r="D6096" t="s">
        <v>4077</v>
      </c>
      <c r="E6096" t="s">
        <v>4078</v>
      </c>
      <c r="F6096" t="s">
        <v>4076</v>
      </c>
    </row>
    <row r="6097" spans="1:6" x14ac:dyDescent="0.25">
      <c r="A6097">
        <v>4968</v>
      </c>
      <c r="B6097" t="s">
        <v>4072</v>
      </c>
      <c r="C6097">
        <v>44</v>
      </c>
      <c r="D6097" t="s">
        <v>4077</v>
      </c>
      <c r="E6097" t="s">
        <v>4078</v>
      </c>
      <c r="F6097" t="s">
        <v>4079</v>
      </c>
    </row>
    <row r="6098" spans="1:6" x14ac:dyDescent="0.25">
      <c r="A6098">
        <v>4969</v>
      </c>
      <c r="B6098" t="s">
        <v>4072</v>
      </c>
      <c r="C6098">
        <v>5</v>
      </c>
      <c r="D6098" t="s">
        <v>4087</v>
      </c>
      <c r="E6098" t="s">
        <v>4088</v>
      </c>
      <c r="F6098" t="s">
        <v>4075</v>
      </c>
    </row>
    <row r="6099" spans="1:6" x14ac:dyDescent="0.25">
      <c r="A6099">
        <v>4969</v>
      </c>
      <c r="B6099" t="s">
        <v>4072</v>
      </c>
      <c r="C6099">
        <v>15</v>
      </c>
      <c r="D6099" t="s">
        <v>4080</v>
      </c>
      <c r="E6099" t="s">
        <v>4081</v>
      </c>
      <c r="F6099" t="s">
        <v>4076</v>
      </c>
    </row>
    <row r="6100" spans="1:6" x14ac:dyDescent="0.25">
      <c r="A6100">
        <v>4969</v>
      </c>
      <c r="B6100" t="s">
        <v>4072</v>
      </c>
      <c r="C6100">
        <v>40</v>
      </c>
      <c r="D6100" t="s">
        <v>4080</v>
      </c>
      <c r="E6100" t="s">
        <v>4081</v>
      </c>
      <c r="F6100" t="s">
        <v>4079</v>
      </c>
    </row>
    <row r="6101" spans="1:6" x14ac:dyDescent="0.25">
      <c r="A6101">
        <v>4970</v>
      </c>
      <c r="B6101" t="s">
        <v>4072</v>
      </c>
      <c r="C6101">
        <v>16</v>
      </c>
      <c r="D6101" t="s">
        <v>4077</v>
      </c>
      <c r="E6101" t="s">
        <v>4078</v>
      </c>
      <c r="F6101" t="s">
        <v>4076</v>
      </c>
    </row>
    <row r="6102" spans="1:6" x14ac:dyDescent="0.25">
      <c r="A6102">
        <v>4971</v>
      </c>
      <c r="B6102" t="s">
        <v>4072</v>
      </c>
      <c r="C6102">
        <v>19</v>
      </c>
      <c r="D6102" t="s">
        <v>4073</v>
      </c>
      <c r="E6102" t="s">
        <v>4074</v>
      </c>
      <c r="F6102" t="s">
        <v>4076</v>
      </c>
    </row>
    <row r="6103" spans="1:6" x14ac:dyDescent="0.25">
      <c r="A6103">
        <v>4971</v>
      </c>
      <c r="B6103" t="s">
        <v>4112</v>
      </c>
      <c r="C6103">
        <v>55</v>
      </c>
      <c r="D6103" t="s">
        <v>4113</v>
      </c>
      <c r="E6103" t="s">
        <v>4114</v>
      </c>
      <c r="F6103" t="s">
        <v>4079</v>
      </c>
    </row>
    <row r="6104" spans="1:6" x14ac:dyDescent="0.25">
      <c r="A6104">
        <v>4972</v>
      </c>
      <c r="B6104" t="s">
        <v>4112</v>
      </c>
      <c r="C6104">
        <v>53</v>
      </c>
      <c r="D6104" t="s">
        <v>2759</v>
      </c>
      <c r="E6104" t="s">
        <v>4117</v>
      </c>
      <c r="F6104" t="s">
        <v>4079</v>
      </c>
    </row>
    <row r="6105" spans="1:6" x14ac:dyDescent="0.25">
      <c r="A6105">
        <v>4973</v>
      </c>
      <c r="B6105" t="s">
        <v>4072</v>
      </c>
      <c r="C6105">
        <v>2</v>
      </c>
      <c r="D6105" t="s">
        <v>4082</v>
      </c>
      <c r="E6105" t="s">
        <v>4083</v>
      </c>
      <c r="F6105" t="s">
        <v>4075</v>
      </c>
    </row>
    <row r="6106" spans="1:6" x14ac:dyDescent="0.25">
      <c r="A6106">
        <v>4973</v>
      </c>
      <c r="B6106" t="s">
        <v>4072</v>
      </c>
      <c r="C6106">
        <v>17</v>
      </c>
      <c r="D6106" t="s">
        <v>4082</v>
      </c>
      <c r="E6106" t="s">
        <v>4084</v>
      </c>
      <c r="F6106" t="s">
        <v>4076</v>
      </c>
    </row>
    <row r="6107" spans="1:6" x14ac:dyDescent="0.25">
      <c r="A6107">
        <v>4973</v>
      </c>
      <c r="B6107" t="s">
        <v>4072</v>
      </c>
      <c r="C6107">
        <v>42</v>
      </c>
      <c r="D6107" t="s">
        <v>4082</v>
      </c>
      <c r="E6107" t="s">
        <v>4083</v>
      </c>
      <c r="F6107" t="s">
        <v>4079</v>
      </c>
    </row>
    <row r="6108" spans="1:6" x14ac:dyDescent="0.25">
      <c r="A6108">
        <v>4974</v>
      </c>
      <c r="B6108" t="s">
        <v>4072</v>
      </c>
      <c r="C6108">
        <v>5</v>
      </c>
      <c r="D6108" t="s">
        <v>4087</v>
      </c>
      <c r="E6108" t="s">
        <v>4088</v>
      </c>
      <c r="F6108" t="s">
        <v>4075</v>
      </c>
    </row>
    <row r="6109" spans="1:6" x14ac:dyDescent="0.25">
      <c r="A6109">
        <v>4974</v>
      </c>
      <c r="B6109" t="s">
        <v>4072</v>
      </c>
      <c r="C6109">
        <v>15</v>
      </c>
      <c r="D6109" t="s">
        <v>4080</v>
      </c>
      <c r="E6109" t="s">
        <v>4081</v>
      </c>
      <c r="F6109" t="s">
        <v>4076</v>
      </c>
    </row>
    <row r="6110" spans="1:6" x14ac:dyDescent="0.25">
      <c r="A6110">
        <v>4974</v>
      </c>
      <c r="B6110" t="s">
        <v>4072</v>
      </c>
      <c r="C6110">
        <v>40</v>
      </c>
      <c r="D6110" t="s">
        <v>4080</v>
      </c>
      <c r="E6110" t="s">
        <v>4081</v>
      </c>
      <c r="F6110" t="s">
        <v>4079</v>
      </c>
    </row>
    <row r="6111" spans="1:6" x14ac:dyDescent="0.25">
      <c r="A6111">
        <v>4975</v>
      </c>
      <c r="B6111" t="s">
        <v>4072</v>
      </c>
      <c r="C6111">
        <v>5</v>
      </c>
      <c r="D6111" t="s">
        <v>4087</v>
      </c>
      <c r="E6111" t="s">
        <v>4088</v>
      </c>
      <c r="F6111" t="s">
        <v>4075</v>
      </c>
    </row>
    <row r="6112" spans="1:6" x14ac:dyDescent="0.25">
      <c r="A6112">
        <v>4975</v>
      </c>
      <c r="B6112" t="s">
        <v>4072</v>
      </c>
      <c r="C6112">
        <v>15</v>
      </c>
      <c r="D6112" t="s">
        <v>4080</v>
      </c>
      <c r="E6112" t="s">
        <v>4081</v>
      </c>
      <c r="F6112" t="s">
        <v>4076</v>
      </c>
    </row>
    <row r="6113" spans="1:6" x14ac:dyDescent="0.25">
      <c r="A6113">
        <v>4975</v>
      </c>
      <c r="B6113" t="s">
        <v>4072</v>
      </c>
      <c r="C6113">
        <v>40</v>
      </c>
      <c r="D6113" t="s">
        <v>4080</v>
      </c>
      <c r="E6113" t="s">
        <v>4081</v>
      </c>
      <c r="F6113" t="s">
        <v>4079</v>
      </c>
    </row>
    <row r="6114" spans="1:6" x14ac:dyDescent="0.25">
      <c r="A6114">
        <v>4976</v>
      </c>
      <c r="B6114" t="s">
        <v>4072</v>
      </c>
      <c r="C6114">
        <v>5</v>
      </c>
      <c r="D6114" t="s">
        <v>4087</v>
      </c>
      <c r="E6114" t="s">
        <v>4088</v>
      </c>
      <c r="F6114" t="s">
        <v>4075</v>
      </c>
    </row>
    <row r="6115" spans="1:6" x14ac:dyDescent="0.25">
      <c r="A6115">
        <v>4976</v>
      </c>
      <c r="B6115" t="s">
        <v>4072</v>
      </c>
      <c r="C6115">
        <v>15</v>
      </c>
      <c r="D6115" t="s">
        <v>4080</v>
      </c>
      <c r="E6115" t="s">
        <v>4081</v>
      </c>
      <c r="F6115" t="s">
        <v>4076</v>
      </c>
    </row>
    <row r="6116" spans="1:6" x14ac:dyDescent="0.25">
      <c r="A6116">
        <v>4976</v>
      </c>
      <c r="B6116" t="s">
        <v>4072</v>
      </c>
      <c r="C6116">
        <v>40</v>
      </c>
      <c r="D6116" t="s">
        <v>4080</v>
      </c>
      <c r="E6116" t="s">
        <v>4081</v>
      </c>
      <c r="F6116" t="s">
        <v>4079</v>
      </c>
    </row>
    <row r="6117" spans="1:6" x14ac:dyDescent="0.25">
      <c r="A6117">
        <v>4977</v>
      </c>
      <c r="B6117" t="s">
        <v>4072</v>
      </c>
      <c r="C6117">
        <v>3</v>
      </c>
      <c r="D6117" t="s">
        <v>4085</v>
      </c>
      <c r="E6117" t="s">
        <v>4086</v>
      </c>
      <c r="F6117" t="s">
        <v>4075</v>
      </c>
    </row>
    <row r="6118" spans="1:6" x14ac:dyDescent="0.25">
      <c r="A6118">
        <v>4977</v>
      </c>
      <c r="B6118" t="s">
        <v>4072</v>
      </c>
      <c r="C6118">
        <v>15</v>
      </c>
      <c r="D6118" t="s">
        <v>4080</v>
      </c>
      <c r="E6118" t="s">
        <v>4081</v>
      </c>
      <c r="F6118" t="s">
        <v>4076</v>
      </c>
    </row>
    <row r="6119" spans="1:6" x14ac:dyDescent="0.25">
      <c r="A6119">
        <v>4977</v>
      </c>
      <c r="B6119" t="s">
        <v>4072</v>
      </c>
      <c r="C6119">
        <v>40</v>
      </c>
      <c r="D6119" t="s">
        <v>4080</v>
      </c>
      <c r="E6119" t="s">
        <v>4081</v>
      </c>
      <c r="F6119" t="s">
        <v>4079</v>
      </c>
    </row>
    <row r="6120" spans="1:6" x14ac:dyDescent="0.25">
      <c r="A6120">
        <v>4978</v>
      </c>
      <c r="B6120" t="s">
        <v>4072</v>
      </c>
      <c r="C6120">
        <v>5</v>
      </c>
      <c r="D6120" t="s">
        <v>4087</v>
      </c>
      <c r="E6120" t="s">
        <v>4088</v>
      </c>
      <c r="F6120" t="s">
        <v>4075</v>
      </c>
    </row>
    <row r="6121" spans="1:6" x14ac:dyDescent="0.25">
      <c r="A6121">
        <v>4978</v>
      </c>
      <c r="B6121" t="s">
        <v>4072</v>
      </c>
      <c r="C6121">
        <v>15</v>
      </c>
      <c r="D6121" t="s">
        <v>4080</v>
      </c>
      <c r="E6121" t="s">
        <v>4081</v>
      </c>
      <c r="F6121" t="s">
        <v>4076</v>
      </c>
    </row>
    <row r="6122" spans="1:6" x14ac:dyDescent="0.25">
      <c r="A6122">
        <v>4978</v>
      </c>
      <c r="B6122" t="s">
        <v>4072</v>
      </c>
      <c r="C6122">
        <v>40</v>
      </c>
      <c r="D6122" t="s">
        <v>4080</v>
      </c>
      <c r="E6122" t="s">
        <v>4081</v>
      </c>
      <c r="F6122" t="s">
        <v>4079</v>
      </c>
    </row>
    <row r="6123" spans="1:6" x14ac:dyDescent="0.25">
      <c r="A6123">
        <v>4979</v>
      </c>
      <c r="B6123" t="s">
        <v>4072</v>
      </c>
      <c r="C6123">
        <v>5</v>
      </c>
      <c r="D6123" t="s">
        <v>4087</v>
      </c>
      <c r="E6123" t="s">
        <v>4088</v>
      </c>
      <c r="F6123" t="s">
        <v>4075</v>
      </c>
    </row>
    <row r="6124" spans="1:6" x14ac:dyDescent="0.25">
      <c r="A6124">
        <v>4979</v>
      </c>
      <c r="B6124" t="s">
        <v>4072</v>
      </c>
      <c r="C6124">
        <v>15</v>
      </c>
      <c r="D6124" t="s">
        <v>4080</v>
      </c>
      <c r="E6124" t="s">
        <v>4081</v>
      </c>
      <c r="F6124" t="s">
        <v>4076</v>
      </c>
    </row>
    <row r="6125" spans="1:6" x14ac:dyDescent="0.25">
      <c r="A6125">
        <v>4979</v>
      </c>
      <c r="B6125" t="s">
        <v>4072</v>
      </c>
      <c r="C6125">
        <v>40</v>
      </c>
      <c r="D6125" t="s">
        <v>4080</v>
      </c>
      <c r="E6125" t="s">
        <v>4081</v>
      </c>
      <c r="F6125" t="s">
        <v>4079</v>
      </c>
    </row>
    <row r="6126" spans="1:6" x14ac:dyDescent="0.25">
      <c r="A6126">
        <v>4981</v>
      </c>
      <c r="B6126" t="s">
        <v>4072</v>
      </c>
      <c r="C6126">
        <v>5</v>
      </c>
      <c r="D6126" t="s">
        <v>4087</v>
      </c>
      <c r="E6126" t="s">
        <v>4088</v>
      </c>
      <c r="F6126" t="s">
        <v>4075</v>
      </c>
    </row>
    <row r="6127" spans="1:6" x14ac:dyDescent="0.25">
      <c r="A6127">
        <v>4981</v>
      </c>
      <c r="B6127" t="s">
        <v>4072</v>
      </c>
      <c r="C6127">
        <v>15</v>
      </c>
      <c r="D6127" t="s">
        <v>4080</v>
      </c>
      <c r="E6127" t="s">
        <v>4081</v>
      </c>
      <c r="F6127" t="s">
        <v>4076</v>
      </c>
    </row>
    <row r="6128" spans="1:6" x14ac:dyDescent="0.25">
      <c r="A6128">
        <v>4981</v>
      </c>
      <c r="B6128" t="s">
        <v>4072</v>
      </c>
      <c r="C6128">
        <v>40</v>
      </c>
      <c r="D6128" t="s">
        <v>4080</v>
      </c>
      <c r="E6128" t="s">
        <v>4081</v>
      </c>
      <c r="F6128" t="s">
        <v>4079</v>
      </c>
    </row>
    <row r="6129" spans="1:6" x14ac:dyDescent="0.25">
      <c r="A6129">
        <v>4982</v>
      </c>
      <c r="B6129" t="s">
        <v>4072</v>
      </c>
      <c r="C6129">
        <v>6</v>
      </c>
      <c r="D6129" t="s">
        <v>4073</v>
      </c>
      <c r="E6129" t="s">
        <v>4074</v>
      </c>
      <c r="F6129" t="s">
        <v>4075</v>
      </c>
    </row>
    <row r="6130" spans="1:6" x14ac:dyDescent="0.25">
      <c r="A6130">
        <v>4982</v>
      </c>
      <c r="B6130" t="s">
        <v>4072</v>
      </c>
      <c r="C6130">
        <v>19</v>
      </c>
      <c r="D6130" t="s">
        <v>4073</v>
      </c>
      <c r="E6130" t="s">
        <v>4074</v>
      </c>
      <c r="F6130" t="s">
        <v>4076</v>
      </c>
    </row>
    <row r="6131" spans="1:6" x14ac:dyDescent="0.25">
      <c r="A6131">
        <v>4982</v>
      </c>
      <c r="B6131" t="s">
        <v>4072</v>
      </c>
      <c r="C6131">
        <v>39</v>
      </c>
      <c r="D6131" t="s">
        <v>4073</v>
      </c>
      <c r="E6131" t="s">
        <v>4074</v>
      </c>
      <c r="F6131" t="s">
        <v>4079</v>
      </c>
    </row>
    <row r="6132" spans="1:6" x14ac:dyDescent="0.25">
      <c r="A6132">
        <v>4986</v>
      </c>
      <c r="B6132" t="s">
        <v>4072</v>
      </c>
      <c r="C6132">
        <v>5</v>
      </c>
      <c r="D6132" t="s">
        <v>4087</v>
      </c>
      <c r="E6132" t="s">
        <v>4088</v>
      </c>
      <c r="F6132" t="s">
        <v>4075</v>
      </c>
    </row>
    <row r="6133" spans="1:6" x14ac:dyDescent="0.25">
      <c r="A6133">
        <v>4986</v>
      </c>
      <c r="B6133" t="s">
        <v>4072</v>
      </c>
      <c r="C6133">
        <v>15</v>
      </c>
      <c r="D6133" t="s">
        <v>4080</v>
      </c>
      <c r="E6133" t="s">
        <v>4081</v>
      </c>
      <c r="F6133" t="s">
        <v>4076</v>
      </c>
    </row>
    <row r="6134" spans="1:6" x14ac:dyDescent="0.25">
      <c r="A6134">
        <v>4986</v>
      </c>
      <c r="B6134" t="s">
        <v>4072</v>
      </c>
      <c r="C6134">
        <v>40</v>
      </c>
      <c r="D6134" t="s">
        <v>4080</v>
      </c>
      <c r="E6134" t="s">
        <v>4081</v>
      </c>
      <c r="F6134" t="s">
        <v>4079</v>
      </c>
    </row>
    <row r="6135" spans="1:6" x14ac:dyDescent="0.25">
      <c r="A6135">
        <v>4987</v>
      </c>
      <c r="B6135" t="s">
        <v>4072</v>
      </c>
      <c r="C6135">
        <v>2</v>
      </c>
      <c r="D6135" t="s">
        <v>4082</v>
      </c>
      <c r="E6135" t="s">
        <v>4083</v>
      </c>
      <c r="F6135" t="s">
        <v>4075</v>
      </c>
    </row>
    <row r="6136" spans="1:6" x14ac:dyDescent="0.25">
      <c r="A6136">
        <v>4987</v>
      </c>
      <c r="B6136" t="s">
        <v>4072</v>
      </c>
      <c r="C6136">
        <v>17</v>
      </c>
      <c r="D6136" t="s">
        <v>4082</v>
      </c>
      <c r="E6136" t="s">
        <v>4084</v>
      </c>
      <c r="F6136" t="s">
        <v>4076</v>
      </c>
    </row>
    <row r="6137" spans="1:6" x14ac:dyDescent="0.25">
      <c r="A6137">
        <v>4987</v>
      </c>
      <c r="B6137" t="s">
        <v>4072</v>
      </c>
      <c r="C6137">
        <v>42</v>
      </c>
      <c r="D6137" t="s">
        <v>4082</v>
      </c>
      <c r="E6137" t="s">
        <v>4083</v>
      </c>
      <c r="F6137" t="s">
        <v>4079</v>
      </c>
    </row>
    <row r="6138" spans="1:6" x14ac:dyDescent="0.25">
      <c r="A6138">
        <v>4988</v>
      </c>
      <c r="B6138" t="s">
        <v>4072</v>
      </c>
      <c r="C6138">
        <v>5</v>
      </c>
      <c r="D6138" t="s">
        <v>4087</v>
      </c>
      <c r="E6138" t="s">
        <v>4088</v>
      </c>
      <c r="F6138" t="s">
        <v>4075</v>
      </c>
    </row>
    <row r="6139" spans="1:6" x14ac:dyDescent="0.25">
      <c r="A6139">
        <v>4988</v>
      </c>
      <c r="B6139" t="s">
        <v>4072</v>
      </c>
      <c r="C6139">
        <v>15</v>
      </c>
      <c r="D6139" t="s">
        <v>4080</v>
      </c>
      <c r="E6139" t="s">
        <v>4081</v>
      </c>
      <c r="F6139" t="s">
        <v>4076</v>
      </c>
    </row>
    <row r="6140" spans="1:6" x14ac:dyDescent="0.25">
      <c r="A6140">
        <v>4988</v>
      </c>
      <c r="B6140" t="s">
        <v>4072</v>
      </c>
      <c r="C6140">
        <v>40</v>
      </c>
      <c r="D6140" t="s">
        <v>4080</v>
      </c>
      <c r="E6140" t="s">
        <v>4081</v>
      </c>
      <c r="F6140" t="s">
        <v>4079</v>
      </c>
    </row>
    <row r="6141" spans="1:6" x14ac:dyDescent="0.25">
      <c r="A6141">
        <v>4989</v>
      </c>
      <c r="B6141" t="s">
        <v>4072</v>
      </c>
      <c r="C6141">
        <v>5</v>
      </c>
      <c r="D6141" t="s">
        <v>4087</v>
      </c>
      <c r="E6141" t="s">
        <v>4088</v>
      </c>
      <c r="F6141" t="s">
        <v>4075</v>
      </c>
    </row>
    <row r="6142" spans="1:6" x14ac:dyDescent="0.25">
      <c r="A6142">
        <v>4989</v>
      </c>
      <c r="B6142" t="s">
        <v>4072</v>
      </c>
      <c r="C6142">
        <v>15</v>
      </c>
      <c r="D6142" t="s">
        <v>4080</v>
      </c>
      <c r="E6142" t="s">
        <v>4081</v>
      </c>
      <c r="F6142" t="s">
        <v>4076</v>
      </c>
    </row>
    <row r="6143" spans="1:6" x14ac:dyDescent="0.25">
      <c r="A6143">
        <v>4989</v>
      </c>
      <c r="B6143" t="s">
        <v>4072</v>
      </c>
      <c r="C6143">
        <v>40</v>
      </c>
      <c r="D6143" t="s">
        <v>4080</v>
      </c>
      <c r="E6143" t="s">
        <v>4081</v>
      </c>
      <c r="F6143" t="s">
        <v>4079</v>
      </c>
    </row>
    <row r="6144" spans="1:6" x14ac:dyDescent="0.25">
      <c r="A6144">
        <v>4990</v>
      </c>
      <c r="B6144" t="s">
        <v>4072</v>
      </c>
      <c r="C6144">
        <v>5</v>
      </c>
      <c r="D6144" t="s">
        <v>4087</v>
      </c>
      <c r="E6144" t="s">
        <v>4088</v>
      </c>
      <c r="F6144" t="s">
        <v>4075</v>
      </c>
    </row>
    <row r="6145" spans="1:6" x14ac:dyDescent="0.25">
      <c r="A6145">
        <v>4990</v>
      </c>
      <c r="B6145" t="s">
        <v>4072</v>
      </c>
      <c r="C6145">
        <v>15</v>
      </c>
      <c r="D6145" t="s">
        <v>4080</v>
      </c>
      <c r="E6145" t="s">
        <v>4081</v>
      </c>
      <c r="F6145" t="s">
        <v>4076</v>
      </c>
    </row>
    <row r="6146" spans="1:6" x14ac:dyDescent="0.25">
      <c r="A6146">
        <v>4990</v>
      </c>
      <c r="B6146" t="s">
        <v>4072</v>
      </c>
      <c r="C6146">
        <v>40</v>
      </c>
      <c r="D6146" t="s">
        <v>4080</v>
      </c>
      <c r="E6146" t="s">
        <v>4081</v>
      </c>
      <c r="F6146" t="s">
        <v>4079</v>
      </c>
    </row>
    <row r="6147" spans="1:6" x14ac:dyDescent="0.25">
      <c r="A6147">
        <v>4991</v>
      </c>
      <c r="B6147" t="s">
        <v>4072</v>
      </c>
      <c r="C6147">
        <v>5</v>
      </c>
      <c r="D6147" t="s">
        <v>4087</v>
      </c>
      <c r="E6147" t="s">
        <v>4088</v>
      </c>
      <c r="F6147" t="s">
        <v>4075</v>
      </c>
    </row>
    <row r="6148" spans="1:6" x14ac:dyDescent="0.25">
      <c r="A6148">
        <v>4991</v>
      </c>
      <c r="B6148" t="s">
        <v>4072</v>
      </c>
      <c r="C6148">
        <v>15</v>
      </c>
      <c r="D6148" t="s">
        <v>4080</v>
      </c>
      <c r="E6148" t="s">
        <v>4081</v>
      </c>
      <c r="F6148" t="s">
        <v>4076</v>
      </c>
    </row>
    <row r="6149" spans="1:6" x14ac:dyDescent="0.25">
      <c r="A6149">
        <v>4991</v>
      </c>
      <c r="B6149" t="s">
        <v>4072</v>
      </c>
      <c r="C6149">
        <v>40</v>
      </c>
      <c r="D6149" t="s">
        <v>4080</v>
      </c>
      <c r="E6149" t="s">
        <v>4081</v>
      </c>
      <c r="F6149" t="s">
        <v>4079</v>
      </c>
    </row>
    <row r="6150" spans="1:6" x14ac:dyDescent="0.25">
      <c r="A6150">
        <v>4992</v>
      </c>
      <c r="B6150" t="s">
        <v>4072</v>
      </c>
      <c r="C6150">
        <v>5</v>
      </c>
      <c r="D6150" t="s">
        <v>4087</v>
      </c>
      <c r="E6150" t="s">
        <v>4088</v>
      </c>
      <c r="F6150" t="s">
        <v>4075</v>
      </c>
    </row>
    <row r="6151" spans="1:6" x14ac:dyDescent="0.25">
      <c r="A6151">
        <v>4992</v>
      </c>
      <c r="B6151" t="s">
        <v>4072</v>
      </c>
      <c r="C6151">
        <v>15</v>
      </c>
      <c r="D6151" t="s">
        <v>4080</v>
      </c>
      <c r="E6151" t="s">
        <v>4081</v>
      </c>
      <c r="F6151" t="s">
        <v>4076</v>
      </c>
    </row>
    <row r="6152" spans="1:6" x14ac:dyDescent="0.25">
      <c r="A6152">
        <v>4992</v>
      </c>
      <c r="B6152" t="s">
        <v>4072</v>
      </c>
      <c r="C6152">
        <v>40</v>
      </c>
      <c r="D6152" t="s">
        <v>4080</v>
      </c>
      <c r="E6152" t="s">
        <v>4081</v>
      </c>
      <c r="F6152" t="s">
        <v>4079</v>
      </c>
    </row>
    <row r="6153" spans="1:6" x14ac:dyDescent="0.25">
      <c r="A6153">
        <v>4993</v>
      </c>
      <c r="B6153" t="s">
        <v>4072</v>
      </c>
      <c r="C6153">
        <v>5</v>
      </c>
      <c r="D6153" t="s">
        <v>4087</v>
      </c>
      <c r="E6153" t="s">
        <v>4088</v>
      </c>
      <c r="F6153" t="s">
        <v>4075</v>
      </c>
    </row>
    <row r="6154" spans="1:6" x14ac:dyDescent="0.25">
      <c r="A6154">
        <v>4993</v>
      </c>
      <c r="B6154" t="s">
        <v>4072</v>
      </c>
      <c r="C6154">
        <v>15</v>
      </c>
      <c r="D6154" t="s">
        <v>4080</v>
      </c>
      <c r="E6154" t="s">
        <v>4081</v>
      </c>
      <c r="F6154" t="s">
        <v>4076</v>
      </c>
    </row>
    <row r="6155" spans="1:6" x14ac:dyDescent="0.25">
      <c r="A6155">
        <v>4993</v>
      </c>
      <c r="B6155" t="s">
        <v>4072</v>
      </c>
      <c r="C6155">
        <v>40</v>
      </c>
      <c r="D6155" t="s">
        <v>4080</v>
      </c>
      <c r="E6155" t="s">
        <v>4081</v>
      </c>
      <c r="F6155" t="s">
        <v>4079</v>
      </c>
    </row>
    <row r="6156" spans="1:6" x14ac:dyDescent="0.25">
      <c r="A6156">
        <v>4994</v>
      </c>
      <c r="B6156" t="s">
        <v>4072</v>
      </c>
      <c r="C6156">
        <v>6</v>
      </c>
      <c r="D6156" t="s">
        <v>4073</v>
      </c>
      <c r="E6156" t="s">
        <v>4074</v>
      </c>
      <c r="F6156" t="s">
        <v>4075</v>
      </c>
    </row>
    <row r="6157" spans="1:6" x14ac:dyDescent="0.25">
      <c r="A6157">
        <v>4994</v>
      </c>
      <c r="B6157" t="s">
        <v>4072</v>
      </c>
      <c r="C6157">
        <v>19</v>
      </c>
      <c r="D6157" t="s">
        <v>4073</v>
      </c>
      <c r="E6157" t="s">
        <v>4074</v>
      </c>
      <c r="F6157" t="s">
        <v>4076</v>
      </c>
    </row>
    <row r="6158" spans="1:6" x14ac:dyDescent="0.25">
      <c r="A6158">
        <v>4994</v>
      </c>
      <c r="B6158" t="s">
        <v>4072</v>
      </c>
      <c r="C6158">
        <v>39</v>
      </c>
      <c r="D6158" t="s">
        <v>4073</v>
      </c>
      <c r="E6158" t="s">
        <v>4074</v>
      </c>
      <c r="F6158" t="s">
        <v>4079</v>
      </c>
    </row>
    <row r="6159" spans="1:6" x14ac:dyDescent="0.25">
      <c r="A6159">
        <v>4995</v>
      </c>
      <c r="B6159" t="s">
        <v>4072</v>
      </c>
      <c r="C6159">
        <v>5</v>
      </c>
      <c r="D6159" t="s">
        <v>4087</v>
      </c>
      <c r="E6159" t="s">
        <v>4088</v>
      </c>
      <c r="F6159" t="s">
        <v>4075</v>
      </c>
    </row>
    <row r="6160" spans="1:6" x14ac:dyDescent="0.25">
      <c r="A6160">
        <v>4995</v>
      </c>
      <c r="B6160" t="s">
        <v>4072</v>
      </c>
      <c r="C6160">
        <v>15</v>
      </c>
      <c r="D6160" t="s">
        <v>4080</v>
      </c>
      <c r="E6160" t="s">
        <v>4081</v>
      </c>
      <c r="F6160" t="s">
        <v>4076</v>
      </c>
    </row>
    <row r="6161" spans="1:6" x14ac:dyDescent="0.25">
      <c r="A6161">
        <v>4995</v>
      </c>
      <c r="B6161" t="s">
        <v>4072</v>
      </c>
      <c r="C6161">
        <v>40</v>
      </c>
      <c r="D6161" t="s">
        <v>4080</v>
      </c>
      <c r="E6161" t="s">
        <v>4081</v>
      </c>
      <c r="F6161" t="s">
        <v>4079</v>
      </c>
    </row>
    <row r="6162" spans="1:6" x14ac:dyDescent="0.25">
      <c r="A6162">
        <v>4996</v>
      </c>
      <c r="B6162" t="s">
        <v>4072</v>
      </c>
      <c r="C6162">
        <v>5</v>
      </c>
      <c r="D6162" t="s">
        <v>4087</v>
      </c>
      <c r="E6162" t="s">
        <v>4088</v>
      </c>
      <c r="F6162" t="s">
        <v>4075</v>
      </c>
    </row>
    <row r="6163" spans="1:6" x14ac:dyDescent="0.25">
      <c r="A6163">
        <v>4996</v>
      </c>
      <c r="B6163" t="s">
        <v>4072</v>
      </c>
      <c r="C6163">
        <v>15</v>
      </c>
      <c r="D6163" t="s">
        <v>4080</v>
      </c>
      <c r="E6163" t="s">
        <v>4081</v>
      </c>
      <c r="F6163" t="s">
        <v>4076</v>
      </c>
    </row>
    <row r="6164" spans="1:6" x14ac:dyDescent="0.25">
      <c r="A6164">
        <v>4996</v>
      </c>
      <c r="B6164" t="s">
        <v>4072</v>
      </c>
      <c r="C6164">
        <v>40</v>
      </c>
      <c r="D6164" t="s">
        <v>4080</v>
      </c>
      <c r="E6164" t="s">
        <v>4081</v>
      </c>
      <c r="F6164" t="s">
        <v>4079</v>
      </c>
    </row>
    <row r="6165" spans="1:6" x14ac:dyDescent="0.25">
      <c r="A6165">
        <v>4997</v>
      </c>
      <c r="B6165" t="s">
        <v>4072</v>
      </c>
      <c r="C6165">
        <v>3</v>
      </c>
      <c r="D6165" t="s">
        <v>4085</v>
      </c>
      <c r="E6165" t="s">
        <v>4086</v>
      </c>
      <c r="F6165" t="s">
        <v>4075</v>
      </c>
    </row>
    <row r="6166" spans="1:6" x14ac:dyDescent="0.25">
      <c r="A6166">
        <v>4997</v>
      </c>
      <c r="B6166" t="s">
        <v>4072</v>
      </c>
      <c r="C6166">
        <v>15</v>
      </c>
      <c r="D6166" t="s">
        <v>4080</v>
      </c>
      <c r="E6166" t="s">
        <v>4081</v>
      </c>
      <c r="F6166" t="s">
        <v>4076</v>
      </c>
    </row>
    <row r="6167" spans="1:6" x14ac:dyDescent="0.25">
      <c r="A6167">
        <v>4997</v>
      </c>
      <c r="B6167" t="s">
        <v>4072</v>
      </c>
      <c r="C6167">
        <v>40</v>
      </c>
      <c r="D6167" t="s">
        <v>4080</v>
      </c>
      <c r="E6167" t="s">
        <v>4081</v>
      </c>
      <c r="F6167" t="s">
        <v>4079</v>
      </c>
    </row>
    <row r="6168" spans="1:6" x14ac:dyDescent="0.25">
      <c r="A6168">
        <v>4998</v>
      </c>
      <c r="B6168" t="s">
        <v>4072</v>
      </c>
      <c r="C6168">
        <v>5</v>
      </c>
      <c r="D6168" t="s">
        <v>4087</v>
      </c>
      <c r="E6168" t="s">
        <v>4088</v>
      </c>
      <c r="F6168" t="s">
        <v>4075</v>
      </c>
    </row>
    <row r="6169" spans="1:6" x14ac:dyDescent="0.25">
      <c r="A6169">
        <v>4998</v>
      </c>
      <c r="B6169" t="s">
        <v>4072</v>
      </c>
      <c r="C6169">
        <v>15</v>
      </c>
      <c r="D6169" t="s">
        <v>4080</v>
      </c>
      <c r="E6169" t="s">
        <v>4081</v>
      </c>
      <c r="F6169" t="s">
        <v>4076</v>
      </c>
    </row>
    <row r="6170" spans="1:6" x14ac:dyDescent="0.25">
      <c r="A6170">
        <v>4998</v>
      </c>
      <c r="B6170" t="s">
        <v>4072</v>
      </c>
      <c r="C6170">
        <v>40</v>
      </c>
      <c r="D6170" t="s">
        <v>4080</v>
      </c>
      <c r="E6170" t="s">
        <v>4081</v>
      </c>
      <c r="F6170" t="s">
        <v>4079</v>
      </c>
    </row>
    <row r="6171" spans="1:6" x14ac:dyDescent="0.25">
      <c r="A6171">
        <v>4999</v>
      </c>
      <c r="B6171" t="s">
        <v>4072</v>
      </c>
      <c r="C6171">
        <v>5</v>
      </c>
      <c r="D6171" t="s">
        <v>4087</v>
      </c>
      <c r="E6171" t="s">
        <v>4088</v>
      </c>
      <c r="F6171" t="s">
        <v>4075</v>
      </c>
    </row>
    <row r="6172" spans="1:6" x14ac:dyDescent="0.25">
      <c r="A6172">
        <v>4999</v>
      </c>
      <c r="B6172" t="s">
        <v>4072</v>
      </c>
      <c r="C6172">
        <v>15</v>
      </c>
      <c r="D6172" t="s">
        <v>4080</v>
      </c>
      <c r="E6172" t="s">
        <v>4081</v>
      </c>
      <c r="F6172" t="s">
        <v>4076</v>
      </c>
    </row>
    <row r="6173" spans="1:6" x14ac:dyDescent="0.25">
      <c r="A6173">
        <v>4999</v>
      </c>
      <c r="B6173" t="s">
        <v>4072</v>
      </c>
      <c r="C6173">
        <v>40</v>
      </c>
      <c r="D6173" t="s">
        <v>4080</v>
      </c>
      <c r="E6173" t="s">
        <v>4081</v>
      </c>
      <c r="F6173" t="s">
        <v>4079</v>
      </c>
    </row>
    <row r="6174" spans="1:6" x14ac:dyDescent="0.25">
      <c r="A6174">
        <v>5000</v>
      </c>
      <c r="B6174" t="s">
        <v>4072</v>
      </c>
      <c r="C6174">
        <v>2</v>
      </c>
      <c r="D6174" t="s">
        <v>4082</v>
      </c>
      <c r="E6174" t="s">
        <v>4083</v>
      </c>
      <c r="F6174" t="s">
        <v>4075</v>
      </c>
    </row>
    <row r="6175" spans="1:6" x14ac:dyDescent="0.25">
      <c r="A6175">
        <v>5000</v>
      </c>
      <c r="B6175" t="s">
        <v>4072</v>
      </c>
      <c r="C6175">
        <v>17</v>
      </c>
      <c r="D6175" t="s">
        <v>4082</v>
      </c>
      <c r="E6175" t="s">
        <v>4084</v>
      </c>
      <c r="F6175" t="s">
        <v>4076</v>
      </c>
    </row>
    <row r="6176" spans="1:6" x14ac:dyDescent="0.25">
      <c r="A6176">
        <v>5000</v>
      </c>
      <c r="B6176" t="s">
        <v>4072</v>
      </c>
      <c r="C6176">
        <v>42</v>
      </c>
      <c r="D6176" t="s">
        <v>4082</v>
      </c>
      <c r="E6176" t="s">
        <v>4083</v>
      </c>
      <c r="F6176" t="s">
        <v>4079</v>
      </c>
    </row>
    <row r="6177" spans="1:6" x14ac:dyDescent="0.25">
      <c r="A6177">
        <v>5001</v>
      </c>
      <c r="B6177" t="s">
        <v>4072</v>
      </c>
      <c r="C6177">
        <v>2</v>
      </c>
      <c r="D6177" t="s">
        <v>4082</v>
      </c>
      <c r="E6177" t="s">
        <v>4083</v>
      </c>
      <c r="F6177" t="s">
        <v>4075</v>
      </c>
    </row>
    <row r="6178" spans="1:6" x14ac:dyDescent="0.25">
      <c r="A6178">
        <v>5001</v>
      </c>
      <c r="B6178" t="s">
        <v>4072</v>
      </c>
      <c r="C6178">
        <v>17</v>
      </c>
      <c r="D6178" t="s">
        <v>4082</v>
      </c>
      <c r="E6178" t="s">
        <v>4084</v>
      </c>
      <c r="F6178" t="s">
        <v>4076</v>
      </c>
    </row>
    <row r="6179" spans="1:6" x14ac:dyDescent="0.25">
      <c r="A6179">
        <v>5001</v>
      </c>
      <c r="B6179" t="s">
        <v>4072</v>
      </c>
      <c r="C6179">
        <v>42</v>
      </c>
      <c r="D6179" t="s">
        <v>4082</v>
      </c>
      <c r="E6179" t="s">
        <v>4083</v>
      </c>
      <c r="F6179" t="s">
        <v>4079</v>
      </c>
    </row>
    <row r="6180" spans="1:6" x14ac:dyDescent="0.25">
      <c r="A6180">
        <v>5002</v>
      </c>
      <c r="B6180" t="s">
        <v>4072</v>
      </c>
      <c r="C6180">
        <v>5</v>
      </c>
      <c r="D6180" t="s">
        <v>4087</v>
      </c>
      <c r="E6180" t="s">
        <v>4088</v>
      </c>
      <c r="F6180" t="s">
        <v>4075</v>
      </c>
    </row>
    <row r="6181" spans="1:6" x14ac:dyDescent="0.25">
      <c r="A6181">
        <v>5002</v>
      </c>
      <c r="B6181" t="s">
        <v>4072</v>
      </c>
      <c r="C6181">
        <v>15</v>
      </c>
      <c r="D6181" t="s">
        <v>4080</v>
      </c>
      <c r="E6181" t="s">
        <v>4081</v>
      </c>
      <c r="F6181" t="s">
        <v>4076</v>
      </c>
    </row>
    <row r="6182" spans="1:6" x14ac:dyDescent="0.25">
      <c r="A6182">
        <v>5002</v>
      </c>
      <c r="B6182" t="s">
        <v>4072</v>
      </c>
      <c r="C6182">
        <v>40</v>
      </c>
      <c r="D6182" t="s">
        <v>4080</v>
      </c>
      <c r="E6182" t="s">
        <v>4081</v>
      </c>
      <c r="F6182" t="s">
        <v>4079</v>
      </c>
    </row>
    <row r="6183" spans="1:6" x14ac:dyDescent="0.25">
      <c r="A6183">
        <v>5003</v>
      </c>
      <c r="B6183" t="s">
        <v>4072</v>
      </c>
      <c r="C6183">
        <v>5</v>
      </c>
      <c r="D6183" t="s">
        <v>4087</v>
      </c>
      <c r="E6183" t="s">
        <v>4088</v>
      </c>
      <c r="F6183" t="s">
        <v>4075</v>
      </c>
    </row>
    <row r="6184" spans="1:6" x14ac:dyDescent="0.25">
      <c r="A6184">
        <v>5003</v>
      </c>
      <c r="B6184" t="s">
        <v>4072</v>
      </c>
      <c r="C6184">
        <v>15</v>
      </c>
      <c r="D6184" t="s">
        <v>4080</v>
      </c>
      <c r="E6184" t="s">
        <v>4081</v>
      </c>
      <c r="F6184" t="s">
        <v>4076</v>
      </c>
    </row>
    <row r="6185" spans="1:6" x14ac:dyDescent="0.25">
      <c r="A6185">
        <v>5003</v>
      </c>
      <c r="B6185" t="s">
        <v>4072</v>
      </c>
      <c r="C6185">
        <v>40</v>
      </c>
      <c r="D6185" t="s">
        <v>4080</v>
      </c>
      <c r="E6185" t="s">
        <v>4081</v>
      </c>
      <c r="F6185" t="s">
        <v>4079</v>
      </c>
    </row>
    <row r="6186" spans="1:6" x14ac:dyDescent="0.25">
      <c r="A6186">
        <v>5004</v>
      </c>
      <c r="B6186" t="s">
        <v>4072</v>
      </c>
      <c r="C6186">
        <v>5</v>
      </c>
      <c r="D6186" t="s">
        <v>4087</v>
      </c>
      <c r="E6186" t="s">
        <v>4088</v>
      </c>
      <c r="F6186" t="s">
        <v>4075</v>
      </c>
    </row>
    <row r="6187" spans="1:6" x14ac:dyDescent="0.25">
      <c r="A6187">
        <v>5004</v>
      </c>
      <c r="B6187" t="s">
        <v>4072</v>
      </c>
      <c r="C6187">
        <v>15</v>
      </c>
      <c r="D6187" t="s">
        <v>4080</v>
      </c>
      <c r="E6187" t="s">
        <v>4081</v>
      </c>
      <c r="F6187" t="s">
        <v>4076</v>
      </c>
    </row>
    <row r="6188" spans="1:6" x14ac:dyDescent="0.25">
      <c r="A6188">
        <v>5004</v>
      </c>
      <c r="B6188" t="s">
        <v>4072</v>
      </c>
      <c r="C6188">
        <v>40</v>
      </c>
      <c r="D6188" t="s">
        <v>4080</v>
      </c>
      <c r="E6188" t="s">
        <v>4081</v>
      </c>
      <c r="F6188" t="s">
        <v>4079</v>
      </c>
    </row>
    <row r="6189" spans="1:6" x14ac:dyDescent="0.25">
      <c r="A6189">
        <v>5005</v>
      </c>
      <c r="B6189" t="s">
        <v>4072</v>
      </c>
      <c r="C6189">
        <v>3</v>
      </c>
      <c r="D6189" t="s">
        <v>4085</v>
      </c>
      <c r="E6189" t="s">
        <v>4086</v>
      </c>
      <c r="F6189" t="s">
        <v>4075</v>
      </c>
    </row>
    <row r="6190" spans="1:6" x14ac:dyDescent="0.25">
      <c r="A6190">
        <v>5005</v>
      </c>
      <c r="B6190" t="s">
        <v>4072</v>
      </c>
      <c r="C6190">
        <v>15</v>
      </c>
      <c r="D6190" t="s">
        <v>4080</v>
      </c>
      <c r="E6190" t="s">
        <v>4081</v>
      </c>
      <c r="F6190" t="s">
        <v>4076</v>
      </c>
    </row>
    <row r="6191" spans="1:6" x14ac:dyDescent="0.25">
      <c r="A6191">
        <v>5005</v>
      </c>
      <c r="B6191" t="s">
        <v>4072</v>
      </c>
      <c r="C6191">
        <v>40</v>
      </c>
      <c r="D6191" t="s">
        <v>4080</v>
      </c>
      <c r="E6191" t="s">
        <v>4081</v>
      </c>
      <c r="F6191" t="s">
        <v>4079</v>
      </c>
    </row>
    <row r="6192" spans="1:6" x14ac:dyDescent="0.25">
      <c r="A6192">
        <v>5006</v>
      </c>
      <c r="B6192" t="s">
        <v>4072</v>
      </c>
      <c r="C6192">
        <v>5</v>
      </c>
      <c r="D6192" t="s">
        <v>4087</v>
      </c>
      <c r="E6192" t="s">
        <v>4088</v>
      </c>
      <c r="F6192" t="s">
        <v>4075</v>
      </c>
    </row>
    <row r="6193" spans="1:6" x14ac:dyDescent="0.25">
      <c r="A6193">
        <v>5006</v>
      </c>
      <c r="B6193" t="s">
        <v>4072</v>
      </c>
      <c r="C6193">
        <v>15</v>
      </c>
      <c r="D6193" t="s">
        <v>4080</v>
      </c>
      <c r="E6193" t="s">
        <v>4081</v>
      </c>
      <c r="F6193" t="s">
        <v>4076</v>
      </c>
    </row>
    <row r="6194" spans="1:6" x14ac:dyDescent="0.25">
      <c r="A6194">
        <v>5006</v>
      </c>
      <c r="B6194" t="s">
        <v>4072</v>
      </c>
      <c r="C6194">
        <v>40</v>
      </c>
      <c r="D6194" t="s">
        <v>4080</v>
      </c>
      <c r="E6194" t="s">
        <v>4081</v>
      </c>
      <c r="F6194" t="s">
        <v>4079</v>
      </c>
    </row>
    <row r="6195" spans="1:6" x14ac:dyDescent="0.25">
      <c r="A6195">
        <v>5007</v>
      </c>
      <c r="B6195" t="s">
        <v>4072</v>
      </c>
      <c r="C6195">
        <v>6</v>
      </c>
      <c r="D6195" t="s">
        <v>4073</v>
      </c>
      <c r="E6195" t="s">
        <v>4074</v>
      </c>
      <c r="F6195" t="s">
        <v>4075</v>
      </c>
    </row>
    <row r="6196" spans="1:6" x14ac:dyDescent="0.25">
      <c r="A6196">
        <v>5007</v>
      </c>
      <c r="B6196" t="s">
        <v>4072</v>
      </c>
      <c r="C6196">
        <v>19</v>
      </c>
      <c r="D6196" t="s">
        <v>4073</v>
      </c>
      <c r="E6196" t="s">
        <v>4074</v>
      </c>
      <c r="F6196" t="s">
        <v>4076</v>
      </c>
    </row>
    <row r="6197" spans="1:6" x14ac:dyDescent="0.25">
      <c r="A6197">
        <v>5008</v>
      </c>
      <c r="B6197" t="s">
        <v>4092</v>
      </c>
      <c r="C6197">
        <v>23</v>
      </c>
      <c r="D6197" t="s">
        <v>2757</v>
      </c>
      <c r="E6197" t="s">
        <v>4093</v>
      </c>
      <c r="F6197" t="s">
        <v>4075</v>
      </c>
    </row>
    <row r="6198" spans="1:6" x14ac:dyDescent="0.25">
      <c r="A6198">
        <v>5008</v>
      </c>
      <c r="B6198" t="s">
        <v>4092</v>
      </c>
      <c r="C6198">
        <v>33</v>
      </c>
      <c r="D6198" t="s">
        <v>4109</v>
      </c>
      <c r="E6198" t="s">
        <v>4110</v>
      </c>
      <c r="F6198" t="s">
        <v>4075</v>
      </c>
    </row>
    <row r="6199" spans="1:6" x14ac:dyDescent="0.25">
      <c r="A6199">
        <v>5009</v>
      </c>
      <c r="B6199" t="s">
        <v>4072</v>
      </c>
      <c r="C6199">
        <v>2</v>
      </c>
      <c r="D6199" t="s">
        <v>4082</v>
      </c>
      <c r="E6199" t="s">
        <v>4083</v>
      </c>
      <c r="F6199" t="s">
        <v>4075</v>
      </c>
    </row>
    <row r="6200" spans="1:6" x14ac:dyDescent="0.25">
      <c r="A6200">
        <v>5009</v>
      </c>
      <c r="B6200" t="s">
        <v>4072</v>
      </c>
      <c r="C6200">
        <v>17</v>
      </c>
      <c r="D6200" t="s">
        <v>4082</v>
      </c>
      <c r="E6200" t="s">
        <v>4084</v>
      </c>
      <c r="F6200" t="s">
        <v>4076</v>
      </c>
    </row>
    <row r="6201" spans="1:6" x14ac:dyDescent="0.25">
      <c r="A6201">
        <v>5009</v>
      </c>
      <c r="B6201" t="s">
        <v>4072</v>
      </c>
      <c r="C6201">
        <v>42</v>
      </c>
      <c r="D6201" t="s">
        <v>4082</v>
      </c>
      <c r="E6201" t="s">
        <v>4083</v>
      </c>
      <c r="F6201" t="s">
        <v>4079</v>
      </c>
    </row>
    <row r="6202" spans="1:6" x14ac:dyDescent="0.25">
      <c r="A6202">
        <v>5010</v>
      </c>
      <c r="B6202" t="s">
        <v>4072</v>
      </c>
      <c r="C6202">
        <v>5</v>
      </c>
      <c r="D6202" t="s">
        <v>4087</v>
      </c>
      <c r="E6202" t="s">
        <v>4088</v>
      </c>
      <c r="F6202" t="s">
        <v>4075</v>
      </c>
    </row>
    <row r="6203" spans="1:6" x14ac:dyDescent="0.25">
      <c r="A6203">
        <v>5010</v>
      </c>
      <c r="B6203" t="s">
        <v>4072</v>
      </c>
      <c r="C6203">
        <v>15</v>
      </c>
      <c r="D6203" t="s">
        <v>4080</v>
      </c>
      <c r="E6203" t="s">
        <v>4081</v>
      </c>
      <c r="F6203" t="s">
        <v>4076</v>
      </c>
    </row>
    <row r="6204" spans="1:6" x14ac:dyDescent="0.25">
      <c r="A6204">
        <v>5010</v>
      </c>
      <c r="B6204" t="s">
        <v>4072</v>
      </c>
      <c r="C6204">
        <v>40</v>
      </c>
      <c r="D6204" t="s">
        <v>4080</v>
      </c>
      <c r="E6204" t="s">
        <v>4081</v>
      </c>
      <c r="F6204" t="s">
        <v>4079</v>
      </c>
    </row>
    <row r="6205" spans="1:6" x14ac:dyDescent="0.25">
      <c r="A6205">
        <v>5011</v>
      </c>
      <c r="B6205" t="s">
        <v>4072</v>
      </c>
      <c r="C6205">
        <v>5</v>
      </c>
      <c r="D6205" t="s">
        <v>4087</v>
      </c>
      <c r="E6205" t="s">
        <v>4088</v>
      </c>
      <c r="F6205" t="s">
        <v>4075</v>
      </c>
    </row>
    <row r="6206" spans="1:6" x14ac:dyDescent="0.25">
      <c r="A6206">
        <v>5011</v>
      </c>
      <c r="B6206" t="s">
        <v>4072</v>
      </c>
      <c r="C6206">
        <v>15</v>
      </c>
      <c r="D6206" t="s">
        <v>4080</v>
      </c>
      <c r="E6206" t="s">
        <v>4081</v>
      </c>
      <c r="F6206" t="s">
        <v>4076</v>
      </c>
    </row>
    <row r="6207" spans="1:6" x14ac:dyDescent="0.25">
      <c r="A6207">
        <v>5011</v>
      </c>
      <c r="B6207" t="s">
        <v>4072</v>
      </c>
      <c r="C6207">
        <v>40</v>
      </c>
      <c r="D6207" t="s">
        <v>4080</v>
      </c>
      <c r="E6207" t="s">
        <v>4081</v>
      </c>
      <c r="F6207" t="s">
        <v>4079</v>
      </c>
    </row>
    <row r="6208" spans="1:6" x14ac:dyDescent="0.25">
      <c r="A6208">
        <v>5012</v>
      </c>
      <c r="B6208" t="s">
        <v>4072</v>
      </c>
      <c r="C6208">
        <v>5</v>
      </c>
      <c r="D6208" t="s">
        <v>4087</v>
      </c>
      <c r="E6208" t="s">
        <v>4088</v>
      </c>
      <c r="F6208" t="s">
        <v>4075</v>
      </c>
    </row>
    <row r="6209" spans="1:6" x14ac:dyDescent="0.25">
      <c r="A6209">
        <v>5012</v>
      </c>
      <c r="B6209" t="s">
        <v>4072</v>
      </c>
      <c r="C6209">
        <v>15</v>
      </c>
      <c r="D6209" t="s">
        <v>4080</v>
      </c>
      <c r="E6209" t="s">
        <v>4081</v>
      </c>
      <c r="F6209" t="s">
        <v>4076</v>
      </c>
    </row>
    <row r="6210" spans="1:6" x14ac:dyDescent="0.25">
      <c r="A6210">
        <v>5012</v>
      </c>
      <c r="B6210" t="s">
        <v>4072</v>
      </c>
      <c r="C6210">
        <v>40</v>
      </c>
      <c r="D6210" t="s">
        <v>4080</v>
      </c>
      <c r="E6210" t="s">
        <v>4081</v>
      </c>
      <c r="F6210" t="s">
        <v>4079</v>
      </c>
    </row>
    <row r="6211" spans="1:6" x14ac:dyDescent="0.25">
      <c r="A6211">
        <v>5013</v>
      </c>
      <c r="B6211" t="s">
        <v>4072</v>
      </c>
      <c r="C6211">
        <v>3</v>
      </c>
      <c r="D6211" t="s">
        <v>4085</v>
      </c>
      <c r="E6211" t="s">
        <v>4086</v>
      </c>
      <c r="F6211" t="s">
        <v>4075</v>
      </c>
    </row>
    <row r="6212" spans="1:6" x14ac:dyDescent="0.25">
      <c r="A6212">
        <v>5013</v>
      </c>
      <c r="B6212" t="s">
        <v>4072</v>
      </c>
      <c r="C6212">
        <v>15</v>
      </c>
      <c r="D6212" t="s">
        <v>4080</v>
      </c>
      <c r="E6212" t="s">
        <v>4081</v>
      </c>
      <c r="F6212" t="s">
        <v>4076</v>
      </c>
    </row>
    <row r="6213" spans="1:6" x14ac:dyDescent="0.25">
      <c r="A6213">
        <v>5013</v>
      </c>
      <c r="B6213" t="s">
        <v>4072</v>
      </c>
      <c r="C6213">
        <v>40</v>
      </c>
      <c r="D6213" t="s">
        <v>4080</v>
      </c>
      <c r="E6213" t="s">
        <v>4081</v>
      </c>
      <c r="F6213" t="s">
        <v>4079</v>
      </c>
    </row>
    <row r="6214" spans="1:6" x14ac:dyDescent="0.25">
      <c r="A6214">
        <v>5014</v>
      </c>
      <c r="B6214" t="s">
        <v>4072</v>
      </c>
      <c r="C6214">
        <v>5</v>
      </c>
      <c r="D6214" t="s">
        <v>4087</v>
      </c>
      <c r="E6214" t="s">
        <v>4088</v>
      </c>
      <c r="F6214" t="s">
        <v>4075</v>
      </c>
    </row>
    <row r="6215" spans="1:6" x14ac:dyDescent="0.25">
      <c r="A6215">
        <v>5014</v>
      </c>
      <c r="B6215" t="s">
        <v>4072</v>
      </c>
      <c r="C6215">
        <v>15</v>
      </c>
      <c r="D6215" t="s">
        <v>4080</v>
      </c>
      <c r="E6215" t="s">
        <v>4081</v>
      </c>
      <c r="F6215" t="s">
        <v>4076</v>
      </c>
    </row>
    <row r="6216" spans="1:6" x14ac:dyDescent="0.25">
      <c r="A6216">
        <v>5014</v>
      </c>
      <c r="B6216" t="s">
        <v>4072</v>
      </c>
      <c r="C6216">
        <v>40</v>
      </c>
      <c r="D6216" t="s">
        <v>4080</v>
      </c>
      <c r="E6216" t="s">
        <v>4081</v>
      </c>
      <c r="F6216" t="s">
        <v>4079</v>
      </c>
    </row>
    <row r="6217" spans="1:6" x14ac:dyDescent="0.25">
      <c r="A6217">
        <v>5015</v>
      </c>
      <c r="B6217" t="s">
        <v>4092</v>
      </c>
      <c r="C6217">
        <v>33</v>
      </c>
      <c r="D6217" t="s">
        <v>4109</v>
      </c>
      <c r="E6217" t="s">
        <v>4110</v>
      </c>
      <c r="F6217" t="s">
        <v>4075</v>
      </c>
    </row>
    <row r="6218" spans="1:6" x14ac:dyDescent="0.25">
      <c r="A6218">
        <v>5016</v>
      </c>
      <c r="B6218" t="s">
        <v>4092</v>
      </c>
      <c r="C6218">
        <v>33</v>
      </c>
      <c r="D6218" t="s">
        <v>4109</v>
      </c>
      <c r="E6218" t="s">
        <v>4110</v>
      </c>
      <c r="F6218" t="s">
        <v>4075</v>
      </c>
    </row>
    <row r="6219" spans="1:6" x14ac:dyDescent="0.25">
      <c r="A6219">
        <v>5017</v>
      </c>
      <c r="B6219" t="s">
        <v>4072</v>
      </c>
      <c r="C6219">
        <v>15</v>
      </c>
      <c r="D6219" t="s">
        <v>4080</v>
      </c>
      <c r="E6219" t="s">
        <v>4081</v>
      </c>
      <c r="F6219" t="s">
        <v>4076</v>
      </c>
    </row>
    <row r="6220" spans="1:6" x14ac:dyDescent="0.25">
      <c r="A6220">
        <v>5017</v>
      </c>
      <c r="B6220" t="s">
        <v>4072</v>
      </c>
      <c r="C6220">
        <v>40</v>
      </c>
      <c r="D6220" t="s">
        <v>4080</v>
      </c>
      <c r="E6220" t="s">
        <v>4081</v>
      </c>
      <c r="F6220" t="s">
        <v>4079</v>
      </c>
    </row>
    <row r="6221" spans="1:6" x14ac:dyDescent="0.25">
      <c r="A6221">
        <v>5018</v>
      </c>
      <c r="B6221" t="s">
        <v>4072</v>
      </c>
      <c r="C6221">
        <v>6</v>
      </c>
      <c r="D6221" t="s">
        <v>4073</v>
      </c>
      <c r="E6221" t="s">
        <v>4074</v>
      </c>
      <c r="F6221" t="s">
        <v>4075</v>
      </c>
    </row>
    <row r="6222" spans="1:6" x14ac:dyDescent="0.25">
      <c r="A6222">
        <v>5018</v>
      </c>
      <c r="B6222" t="s">
        <v>4072</v>
      </c>
      <c r="C6222">
        <v>19</v>
      </c>
      <c r="D6222" t="s">
        <v>4073</v>
      </c>
      <c r="E6222" t="s">
        <v>4074</v>
      </c>
      <c r="F6222" t="s">
        <v>4076</v>
      </c>
    </row>
    <row r="6223" spans="1:6" x14ac:dyDescent="0.25">
      <c r="A6223">
        <v>5020</v>
      </c>
      <c r="B6223" t="s">
        <v>4072</v>
      </c>
      <c r="C6223">
        <v>5</v>
      </c>
      <c r="D6223" t="s">
        <v>4087</v>
      </c>
      <c r="E6223" t="s">
        <v>4088</v>
      </c>
      <c r="F6223" t="s">
        <v>4075</v>
      </c>
    </row>
    <row r="6224" spans="1:6" x14ac:dyDescent="0.25">
      <c r="A6224">
        <v>5020</v>
      </c>
      <c r="B6224" t="s">
        <v>4072</v>
      </c>
      <c r="C6224">
        <v>15</v>
      </c>
      <c r="D6224" t="s">
        <v>4080</v>
      </c>
      <c r="E6224" t="s">
        <v>4081</v>
      </c>
      <c r="F6224" t="s">
        <v>4076</v>
      </c>
    </row>
    <row r="6225" spans="1:6" x14ac:dyDescent="0.25">
      <c r="A6225">
        <v>5020</v>
      </c>
      <c r="B6225" t="s">
        <v>4072</v>
      </c>
      <c r="C6225">
        <v>40</v>
      </c>
      <c r="D6225" t="s">
        <v>4080</v>
      </c>
      <c r="E6225" t="s">
        <v>4081</v>
      </c>
      <c r="F6225" t="s">
        <v>4079</v>
      </c>
    </row>
    <row r="6226" spans="1:6" x14ac:dyDescent="0.25">
      <c r="A6226">
        <v>5021</v>
      </c>
      <c r="B6226" t="s">
        <v>4072</v>
      </c>
      <c r="C6226">
        <v>2</v>
      </c>
      <c r="D6226" t="s">
        <v>4082</v>
      </c>
      <c r="E6226" t="s">
        <v>4083</v>
      </c>
      <c r="F6226" t="s">
        <v>4075</v>
      </c>
    </row>
    <row r="6227" spans="1:6" x14ac:dyDescent="0.25">
      <c r="A6227">
        <v>5021</v>
      </c>
      <c r="B6227" t="s">
        <v>4072</v>
      </c>
      <c r="C6227">
        <v>17</v>
      </c>
      <c r="D6227" t="s">
        <v>4082</v>
      </c>
      <c r="E6227" t="s">
        <v>4084</v>
      </c>
      <c r="F6227" t="s">
        <v>4076</v>
      </c>
    </row>
    <row r="6228" spans="1:6" x14ac:dyDescent="0.25">
      <c r="A6228">
        <v>5021</v>
      </c>
      <c r="B6228" t="s">
        <v>4072</v>
      </c>
      <c r="C6228">
        <v>42</v>
      </c>
      <c r="D6228" t="s">
        <v>4082</v>
      </c>
      <c r="E6228" t="s">
        <v>4083</v>
      </c>
      <c r="F6228" t="s">
        <v>4079</v>
      </c>
    </row>
    <row r="6229" spans="1:6" x14ac:dyDescent="0.25">
      <c r="A6229">
        <v>5022</v>
      </c>
      <c r="B6229" t="s">
        <v>4072</v>
      </c>
      <c r="C6229">
        <v>5</v>
      </c>
      <c r="D6229" t="s">
        <v>4087</v>
      </c>
      <c r="E6229" t="s">
        <v>4088</v>
      </c>
      <c r="F6229" t="s">
        <v>4075</v>
      </c>
    </row>
    <row r="6230" spans="1:6" x14ac:dyDescent="0.25">
      <c r="A6230">
        <v>5022</v>
      </c>
      <c r="B6230" t="s">
        <v>4072</v>
      </c>
      <c r="C6230">
        <v>15</v>
      </c>
      <c r="D6230" t="s">
        <v>4080</v>
      </c>
      <c r="E6230" t="s">
        <v>4081</v>
      </c>
      <c r="F6230" t="s">
        <v>4076</v>
      </c>
    </row>
    <row r="6231" spans="1:6" x14ac:dyDescent="0.25">
      <c r="A6231">
        <v>5022</v>
      </c>
      <c r="B6231" t="s">
        <v>4072</v>
      </c>
      <c r="C6231">
        <v>40</v>
      </c>
      <c r="D6231" t="s">
        <v>4080</v>
      </c>
      <c r="E6231" t="s">
        <v>4081</v>
      </c>
      <c r="F6231" t="s">
        <v>4079</v>
      </c>
    </row>
    <row r="6232" spans="1:6" x14ac:dyDescent="0.25">
      <c r="A6232">
        <v>5023</v>
      </c>
      <c r="B6232" t="s">
        <v>4072</v>
      </c>
      <c r="C6232">
        <v>5</v>
      </c>
      <c r="D6232" t="s">
        <v>4087</v>
      </c>
      <c r="E6232" t="s">
        <v>4088</v>
      </c>
      <c r="F6232" t="s">
        <v>4075</v>
      </c>
    </row>
    <row r="6233" spans="1:6" x14ac:dyDescent="0.25">
      <c r="A6233">
        <v>5023</v>
      </c>
      <c r="B6233" t="s">
        <v>4072</v>
      </c>
      <c r="C6233">
        <v>15</v>
      </c>
      <c r="D6233" t="s">
        <v>4080</v>
      </c>
      <c r="E6233" t="s">
        <v>4081</v>
      </c>
      <c r="F6233" t="s">
        <v>4076</v>
      </c>
    </row>
    <row r="6234" spans="1:6" x14ac:dyDescent="0.25">
      <c r="A6234">
        <v>5023</v>
      </c>
      <c r="B6234" t="s">
        <v>4072</v>
      </c>
      <c r="C6234">
        <v>40</v>
      </c>
      <c r="D6234" t="s">
        <v>4080</v>
      </c>
      <c r="E6234" t="s">
        <v>4081</v>
      </c>
      <c r="F6234" t="s">
        <v>4079</v>
      </c>
    </row>
    <row r="6235" spans="1:6" x14ac:dyDescent="0.25">
      <c r="A6235">
        <v>5024</v>
      </c>
      <c r="B6235" t="s">
        <v>4072</v>
      </c>
      <c r="C6235">
        <v>5</v>
      </c>
      <c r="D6235" t="s">
        <v>4087</v>
      </c>
      <c r="E6235" t="s">
        <v>4088</v>
      </c>
      <c r="F6235" t="s">
        <v>4075</v>
      </c>
    </row>
    <row r="6236" spans="1:6" x14ac:dyDescent="0.25">
      <c r="A6236">
        <v>5024</v>
      </c>
      <c r="B6236" t="s">
        <v>4072</v>
      </c>
      <c r="C6236">
        <v>15</v>
      </c>
      <c r="D6236" t="s">
        <v>4080</v>
      </c>
      <c r="E6236" t="s">
        <v>4081</v>
      </c>
      <c r="F6236" t="s">
        <v>4076</v>
      </c>
    </row>
    <row r="6237" spans="1:6" x14ac:dyDescent="0.25">
      <c r="A6237">
        <v>5024</v>
      </c>
      <c r="B6237" t="s">
        <v>4072</v>
      </c>
      <c r="C6237">
        <v>40</v>
      </c>
      <c r="D6237" t="s">
        <v>4080</v>
      </c>
      <c r="E6237" t="s">
        <v>4081</v>
      </c>
      <c r="F6237" t="s">
        <v>4079</v>
      </c>
    </row>
    <row r="6238" spans="1:6" x14ac:dyDescent="0.25">
      <c r="A6238">
        <v>5025</v>
      </c>
      <c r="B6238" t="s">
        <v>4072</v>
      </c>
      <c r="C6238">
        <v>5</v>
      </c>
      <c r="D6238" t="s">
        <v>4087</v>
      </c>
      <c r="E6238" t="s">
        <v>4088</v>
      </c>
      <c r="F6238" t="s">
        <v>4075</v>
      </c>
    </row>
    <row r="6239" spans="1:6" x14ac:dyDescent="0.25">
      <c r="A6239">
        <v>5025</v>
      </c>
      <c r="B6239" t="s">
        <v>4072</v>
      </c>
      <c r="C6239">
        <v>15</v>
      </c>
      <c r="D6239" t="s">
        <v>4080</v>
      </c>
      <c r="E6239" t="s">
        <v>4081</v>
      </c>
      <c r="F6239" t="s">
        <v>4076</v>
      </c>
    </row>
    <row r="6240" spans="1:6" x14ac:dyDescent="0.25">
      <c r="A6240">
        <v>5025</v>
      </c>
      <c r="B6240" t="s">
        <v>4072</v>
      </c>
      <c r="C6240">
        <v>40</v>
      </c>
      <c r="D6240" t="s">
        <v>4080</v>
      </c>
      <c r="E6240" t="s">
        <v>4081</v>
      </c>
      <c r="F6240" t="s">
        <v>4079</v>
      </c>
    </row>
    <row r="6241" spans="1:6" x14ac:dyDescent="0.25">
      <c r="A6241">
        <v>5027</v>
      </c>
      <c r="B6241" t="s">
        <v>4072</v>
      </c>
      <c r="C6241">
        <v>4</v>
      </c>
      <c r="D6241" t="s">
        <v>4077</v>
      </c>
      <c r="E6241" t="s">
        <v>4078</v>
      </c>
      <c r="F6241" t="s">
        <v>4075</v>
      </c>
    </row>
    <row r="6242" spans="1:6" x14ac:dyDescent="0.25">
      <c r="A6242">
        <v>5027</v>
      </c>
      <c r="B6242" t="s">
        <v>4072</v>
      </c>
      <c r="C6242">
        <v>16</v>
      </c>
      <c r="D6242" t="s">
        <v>4077</v>
      </c>
      <c r="E6242" t="s">
        <v>4078</v>
      </c>
      <c r="F6242" t="s">
        <v>4076</v>
      </c>
    </row>
    <row r="6243" spans="1:6" x14ac:dyDescent="0.25">
      <c r="A6243">
        <v>5027</v>
      </c>
      <c r="B6243" t="s">
        <v>4072</v>
      </c>
      <c r="C6243">
        <v>44</v>
      </c>
      <c r="D6243" t="s">
        <v>4077</v>
      </c>
      <c r="E6243" t="s">
        <v>4078</v>
      </c>
      <c r="F6243" t="s">
        <v>4079</v>
      </c>
    </row>
    <row r="6244" spans="1:6" x14ac:dyDescent="0.25">
      <c r="A6244">
        <v>5028</v>
      </c>
      <c r="B6244" t="s">
        <v>4092</v>
      </c>
      <c r="C6244">
        <v>24</v>
      </c>
      <c r="D6244" t="s">
        <v>2760</v>
      </c>
      <c r="E6244" t="s">
        <v>4108</v>
      </c>
      <c r="F6244" t="s">
        <v>4075</v>
      </c>
    </row>
    <row r="6245" spans="1:6" x14ac:dyDescent="0.25">
      <c r="A6245">
        <v>5028</v>
      </c>
      <c r="B6245" t="s">
        <v>4092</v>
      </c>
      <c r="C6245">
        <v>29</v>
      </c>
      <c r="D6245" t="s">
        <v>2760</v>
      </c>
      <c r="E6245" t="s">
        <v>4108</v>
      </c>
      <c r="F6245" t="s">
        <v>4076</v>
      </c>
    </row>
    <row r="6246" spans="1:6" x14ac:dyDescent="0.25">
      <c r="A6246">
        <v>5028</v>
      </c>
      <c r="B6246" t="s">
        <v>4092</v>
      </c>
      <c r="C6246">
        <v>49</v>
      </c>
      <c r="D6246" t="s">
        <v>2760</v>
      </c>
      <c r="E6246" t="s">
        <v>4108</v>
      </c>
      <c r="F6246" t="s">
        <v>4079</v>
      </c>
    </row>
    <row r="6247" spans="1:6" x14ac:dyDescent="0.25">
      <c r="A6247">
        <v>5029</v>
      </c>
      <c r="B6247" t="s">
        <v>4072</v>
      </c>
      <c r="C6247">
        <v>5</v>
      </c>
      <c r="D6247" t="s">
        <v>4087</v>
      </c>
      <c r="E6247" t="s">
        <v>4088</v>
      </c>
      <c r="F6247" t="s">
        <v>4075</v>
      </c>
    </row>
    <row r="6248" spans="1:6" x14ac:dyDescent="0.25">
      <c r="A6248">
        <v>5029</v>
      </c>
      <c r="B6248" t="s">
        <v>4072</v>
      </c>
      <c r="C6248">
        <v>15</v>
      </c>
      <c r="D6248" t="s">
        <v>4080</v>
      </c>
      <c r="E6248" t="s">
        <v>4081</v>
      </c>
      <c r="F6248" t="s">
        <v>4076</v>
      </c>
    </row>
    <row r="6249" spans="1:6" x14ac:dyDescent="0.25">
      <c r="A6249">
        <v>5029</v>
      </c>
      <c r="B6249" t="s">
        <v>4072</v>
      </c>
      <c r="C6249">
        <v>40</v>
      </c>
      <c r="D6249" t="s">
        <v>4080</v>
      </c>
      <c r="E6249" t="s">
        <v>4081</v>
      </c>
      <c r="F6249" t="s">
        <v>4079</v>
      </c>
    </row>
    <row r="6250" spans="1:6" x14ac:dyDescent="0.25">
      <c r="A6250">
        <v>5030</v>
      </c>
      <c r="B6250" t="s">
        <v>4072</v>
      </c>
      <c r="C6250">
        <v>5</v>
      </c>
      <c r="D6250" t="s">
        <v>4087</v>
      </c>
      <c r="E6250" t="s">
        <v>4088</v>
      </c>
      <c r="F6250" t="s">
        <v>4075</v>
      </c>
    </row>
    <row r="6251" spans="1:6" x14ac:dyDescent="0.25">
      <c r="A6251">
        <v>5030</v>
      </c>
      <c r="B6251" t="s">
        <v>4072</v>
      </c>
      <c r="C6251">
        <v>15</v>
      </c>
      <c r="D6251" t="s">
        <v>4080</v>
      </c>
      <c r="E6251" t="s">
        <v>4081</v>
      </c>
      <c r="F6251" t="s">
        <v>4076</v>
      </c>
    </row>
    <row r="6252" spans="1:6" x14ac:dyDescent="0.25">
      <c r="A6252">
        <v>5030</v>
      </c>
      <c r="B6252" t="s">
        <v>4072</v>
      </c>
      <c r="C6252">
        <v>40</v>
      </c>
      <c r="D6252" t="s">
        <v>4080</v>
      </c>
      <c r="E6252" t="s">
        <v>4081</v>
      </c>
      <c r="F6252" t="s">
        <v>4079</v>
      </c>
    </row>
    <row r="6253" spans="1:6" x14ac:dyDescent="0.25">
      <c r="A6253">
        <v>5031</v>
      </c>
      <c r="B6253" t="s">
        <v>4072</v>
      </c>
      <c r="C6253">
        <v>5</v>
      </c>
      <c r="D6253" t="s">
        <v>4087</v>
      </c>
      <c r="E6253" t="s">
        <v>4088</v>
      </c>
      <c r="F6253" t="s">
        <v>4075</v>
      </c>
    </row>
    <row r="6254" spans="1:6" x14ac:dyDescent="0.25">
      <c r="A6254">
        <v>5031</v>
      </c>
      <c r="B6254" t="s">
        <v>4072</v>
      </c>
      <c r="C6254">
        <v>15</v>
      </c>
      <c r="D6254" t="s">
        <v>4080</v>
      </c>
      <c r="E6254" t="s">
        <v>4081</v>
      </c>
      <c r="F6254" t="s">
        <v>4076</v>
      </c>
    </row>
    <row r="6255" spans="1:6" x14ac:dyDescent="0.25">
      <c r="A6255">
        <v>5031</v>
      </c>
      <c r="B6255" t="s">
        <v>4072</v>
      </c>
      <c r="C6255">
        <v>40</v>
      </c>
      <c r="D6255" t="s">
        <v>4080</v>
      </c>
      <c r="E6255" t="s">
        <v>4081</v>
      </c>
      <c r="F6255" t="s">
        <v>4079</v>
      </c>
    </row>
    <row r="6256" spans="1:6" x14ac:dyDescent="0.25">
      <c r="A6256">
        <v>5032</v>
      </c>
      <c r="B6256" t="s">
        <v>4072</v>
      </c>
      <c r="C6256">
        <v>3</v>
      </c>
      <c r="D6256" t="s">
        <v>4085</v>
      </c>
      <c r="E6256" t="s">
        <v>4086</v>
      </c>
      <c r="F6256" t="s">
        <v>4075</v>
      </c>
    </row>
    <row r="6257" spans="1:6" x14ac:dyDescent="0.25">
      <c r="A6257">
        <v>5032</v>
      </c>
      <c r="B6257" t="s">
        <v>4072</v>
      </c>
      <c r="C6257">
        <v>15</v>
      </c>
      <c r="D6257" t="s">
        <v>4080</v>
      </c>
      <c r="E6257" t="s">
        <v>4081</v>
      </c>
      <c r="F6257" t="s">
        <v>4076</v>
      </c>
    </row>
    <row r="6258" spans="1:6" x14ac:dyDescent="0.25">
      <c r="A6258">
        <v>5032</v>
      </c>
      <c r="B6258" t="s">
        <v>4072</v>
      </c>
      <c r="C6258">
        <v>40</v>
      </c>
      <c r="D6258" t="s">
        <v>4080</v>
      </c>
      <c r="E6258" t="s">
        <v>4081</v>
      </c>
      <c r="F6258" t="s">
        <v>4079</v>
      </c>
    </row>
    <row r="6259" spans="1:6" x14ac:dyDescent="0.25">
      <c r="A6259">
        <v>5033</v>
      </c>
      <c r="B6259" t="s">
        <v>4072</v>
      </c>
      <c r="C6259">
        <v>2</v>
      </c>
      <c r="D6259" t="s">
        <v>4082</v>
      </c>
      <c r="E6259" t="s">
        <v>4083</v>
      </c>
      <c r="F6259" t="s">
        <v>4075</v>
      </c>
    </row>
    <row r="6260" spans="1:6" x14ac:dyDescent="0.25">
      <c r="A6260">
        <v>5033</v>
      </c>
      <c r="B6260" t="s">
        <v>4072</v>
      </c>
      <c r="C6260">
        <v>17</v>
      </c>
      <c r="D6260" t="s">
        <v>4082</v>
      </c>
      <c r="E6260" t="s">
        <v>4084</v>
      </c>
      <c r="F6260" t="s">
        <v>4076</v>
      </c>
    </row>
    <row r="6261" spans="1:6" x14ac:dyDescent="0.25">
      <c r="A6261">
        <v>5033</v>
      </c>
      <c r="B6261" t="s">
        <v>4072</v>
      </c>
      <c r="C6261">
        <v>42</v>
      </c>
      <c r="D6261" t="s">
        <v>4082</v>
      </c>
      <c r="E6261" t="s">
        <v>4083</v>
      </c>
      <c r="F6261" t="s">
        <v>4079</v>
      </c>
    </row>
    <row r="6262" spans="1:6" x14ac:dyDescent="0.25">
      <c r="A6262">
        <v>5034</v>
      </c>
      <c r="B6262" t="s">
        <v>4072</v>
      </c>
      <c r="C6262">
        <v>5</v>
      </c>
      <c r="D6262" t="s">
        <v>4087</v>
      </c>
      <c r="E6262" t="s">
        <v>4088</v>
      </c>
      <c r="F6262" t="s">
        <v>4075</v>
      </c>
    </row>
    <row r="6263" spans="1:6" x14ac:dyDescent="0.25">
      <c r="A6263">
        <v>5034</v>
      </c>
      <c r="B6263" t="s">
        <v>4072</v>
      </c>
      <c r="C6263">
        <v>15</v>
      </c>
      <c r="D6263" t="s">
        <v>4080</v>
      </c>
      <c r="E6263" t="s">
        <v>4081</v>
      </c>
      <c r="F6263" t="s">
        <v>4076</v>
      </c>
    </row>
    <row r="6264" spans="1:6" x14ac:dyDescent="0.25">
      <c r="A6264">
        <v>5034</v>
      </c>
      <c r="B6264" t="s">
        <v>4072</v>
      </c>
      <c r="C6264">
        <v>40</v>
      </c>
      <c r="D6264" t="s">
        <v>4080</v>
      </c>
      <c r="E6264" t="s">
        <v>4081</v>
      </c>
      <c r="F6264" t="s">
        <v>4079</v>
      </c>
    </row>
    <row r="6265" spans="1:6" x14ac:dyDescent="0.25">
      <c r="A6265">
        <v>5035</v>
      </c>
      <c r="B6265" t="s">
        <v>4072</v>
      </c>
      <c r="C6265">
        <v>6</v>
      </c>
      <c r="D6265" t="s">
        <v>4073</v>
      </c>
      <c r="E6265" t="s">
        <v>4074</v>
      </c>
      <c r="F6265" t="s">
        <v>4075</v>
      </c>
    </row>
    <row r="6266" spans="1:6" x14ac:dyDescent="0.25">
      <c r="A6266">
        <v>5035</v>
      </c>
      <c r="B6266" t="s">
        <v>4072</v>
      </c>
      <c r="C6266">
        <v>19</v>
      </c>
      <c r="D6266" t="s">
        <v>4073</v>
      </c>
      <c r="E6266" t="s">
        <v>4074</v>
      </c>
      <c r="F6266" t="s">
        <v>4076</v>
      </c>
    </row>
    <row r="6267" spans="1:6" x14ac:dyDescent="0.25">
      <c r="A6267">
        <v>5035</v>
      </c>
      <c r="B6267" t="s">
        <v>4112</v>
      </c>
      <c r="C6267">
        <v>54</v>
      </c>
      <c r="D6267" t="s">
        <v>4122</v>
      </c>
      <c r="E6267" t="s">
        <v>4123</v>
      </c>
      <c r="F6267" t="s">
        <v>4079</v>
      </c>
    </row>
    <row r="6268" spans="1:6" x14ac:dyDescent="0.25">
      <c r="A6268">
        <v>5036</v>
      </c>
      <c r="B6268" t="s">
        <v>4072</v>
      </c>
      <c r="C6268">
        <v>6</v>
      </c>
      <c r="D6268" t="s">
        <v>4073</v>
      </c>
      <c r="E6268" t="s">
        <v>4074</v>
      </c>
      <c r="F6268" t="s">
        <v>4075</v>
      </c>
    </row>
    <row r="6269" spans="1:6" x14ac:dyDescent="0.25">
      <c r="A6269">
        <v>5036</v>
      </c>
      <c r="B6269" t="s">
        <v>4072</v>
      </c>
      <c r="C6269">
        <v>19</v>
      </c>
      <c r="D6269" t="s">
        <v>4073</v>
      </c>
      <c r="E6269" t="s">
        <v>4074</v>
      </c>
      <c r="F6269" t="s">
        <v>4076</v>
      </c>
    </row>
    <row r="6270" spans="1:6" x14ac:dyDescent="0.25">
      <c r="A6270">
        <v>5036</v>
      </c>
      <c r="B6270" t="s">
        <v>4072</v>
      </c>
      <c r="C6270">
        <v>39</v>
      </c>
      <c r="D6270" t="s">
        <v>4073</v>
      </c>
      <c r="E6270" t="s">
        <v>4074</v>
      </c>
      <c r="F6270" t="s">
        <v>4079</v>
      </c>
    </row>
    <row r="6271" spans="1:6" x14ac:dyDescent="0.25">
      <c r="A6271">
        <v>5037</v>
      </c>
      <c r="B6271" t="s">
        <v>4072</v>
      </c>
      <c r="C6271">
        <v>5</v>
      </c>
      <c r="D6271" t="s">
        <v>4087</v>
      </c>
      <c r="E6271" t="s">
        <v>4088</v>
      </c>
      <c r="F6271" t="s">
        <v>4075</v>
      </c>
    </row>
    <row r="6272" spans="1:6" x14ac:dyDescent="0.25">
      <c r="A6272">
        <v>5037</v>
      </c>
      <c r="B6272" t="s">
        <v>4072</v>
      </c>
      <c r="C6272">
        <v>15</v>
      </c>
      <c r="D6272" t="s">
        <v>4080</v>
      </c>
      <c r="E6272" t="s">
        <v>4081</v>
      </c>
      <c r="F6272" t="s">
        <v>4076</v>
      </c>
    </row>
    <row r="6273" spans="1:6" x14ac:dyDescent="0.25">
      <c r="A6273">
        <v>5038</v>
      </c>
      <c r="B6273" t="s">
        <v>4072</v>
      </c>
      <c r="C6273">
        <v>4</v>
      </c>
      <c r="D6273" t="s">
        <v>4077</v>
      </c>
      <c r="E6273" t="s">
        <v>4078</v>
      </c>
      <c r="F6273" t="s">
        <v>4075</v>
      </c>
    </row>
    <row r="6274" spans="1:6" x14ac:dyDescent="0.25">
      <c r="A6274">
        <v>5038</v>
      </c>
      <c r="B6274" t="s">
        <v>4072</v>
      </c>
      <c r="C6274">
        <v>16</v>
      </c>
      <c r="D6274" t="s">
        <v>4077</v>
      </c>
      <c r="E6274" t="s">
        <v>4078</v>
      </c>
      <c r="F6274" t="s">
        <v>4076</v>
      </c>
    </row>
    <row r="6275" spans="1:6" x14ac:dyDescent="0.25">
      <c r="A6275">
        <v>5039</v>
      </c>
      <c r="B6275" t="s">
        <v>4092</v>
      </c>
      <c r="C6275">
        <v>24</v>
      </c>
      <c r="D6275" t="s">
        <v>2760</v>
      </c>
      <c r="E6275" t="s">
        <v>4108</v>
      </c>
      <c r="F6275" t="s">
        <v>4075</v>
      </c>
    </row>
    <row r="6276" spans="1:6" x14ac:dyDescent="0.25">
      <c r="A6276">
        <v>5039</v>
      </c>
      <c r="B6276" t="s">
        <v>4092</v>
      </c>
      <c r="C6276">
        <v>29</v>
      </c>
      <c r="D6276" t="s">
        <v>2760</v>
      </c>
      <c r="E6276" t="s">
        <v>4108</v>
      </c>
      <c r="F6276" t="s">
        <v>4076</v>
      </c>
    </row>
    <row r="6277" spans="1:6" x14ac:dyDescent="0.25">
      <c r="A6277">
        <v>5040</v>
      </c>
      <c r="B6277" t="s">
        <v>4092</v>
      </c>
      <c r="C6277">
        <v>23</v>
      </c>
      <c r="D6277" t="s">
        <v>2757</v>
      </c>
      <c r="E6277" t="s">
        <v>4093</v>
      </c>
      <c r="F6277" t="s">
        <v>4075</v>
      </c>
    </row>
    <row r="6278" spans="1:6" x14ac:dyDescent="0.25">
      <c r="A6278">
        <v>5040</v>
      </c>
      <c r="B6278" t="s">
        <v>4092</v>
      </c>
      <c r="C6278">
        <v>28</v>
      </c>
      <c r="D6278" t="s">
        <v>2757</v>
      </c>
      <c r="E6278" t="s">
        <v>4093</v>
      </c>
      <c r="F6278" t="s">
        <v>4076</v>
      </c>
    </row>
    <row r="6279" spans="1:6" x14ac:dyDescent="0.25">
      <c r="A6279">
        <v>5041</v>
      </c>
      <c r="B6279" t="s">
        <v>4092</v>
      </c>
      <c r="C6279">
        <v>24</v>
      </c>
      <c r="D6279" t="s">
        <v>2760</v>
      </c>
      <c r="E6279" t="s">
        <v>4108</v>
      </c>
      <c r="F6279" t="s">
        <v>4075</v>
      </c>
    </row>
    <row r="6280" spans="1:6" x14ac:dyDescent="0.25">
      <c r="A6280">
        <v>5041</v>
      </c>
      <c r="B6280" t="s">
        <v>4092</v>
      </c>
      <c r="C6280">
        <v>29</v>
      </c>
      <c r="D6280" t="s">
        <v>2760</v>
      </c>
      <c r="E6280" t="s">
        <v>4108</v>
      </c>
      <c r="F6280" t="s">
        <v>4076</v>
      </c>
    </row>
    <row r="6281" spans="1:6" x14ac:dyDescent="0.25">
      <c r="A6281">
        <v>5042</v>
      </c>
      <c r="B6281" t="s">
        <v>4092</v>
      </c>
      <c r="C6281">
        <v>23</v>
      </c>
      <c r="D6281" t="s">
        <v>2757</v>
      </c>
      <c r="E6281" t="s">
        <v>4093</v>
      </c>
      <c r="F6281" t="s">
        <v>4075</v>
      </c>
    </row>
    <row r="6282" spans="1:6" x14ac:dyDescent="0.25">
      <c r="A6282">
        <v>5042</v>
      </c>
      <c r="B6282" t="s">
        <v>4092</v>
      </c>
      <c r="C6282">
        <v>28</v>
      </c>
      <c r="D6282" t="s">
        <v>2757</v>
      </c>
      <c r="E6282" t="s">
        <v>4093</v>
      </c>
      <c r="F6282" t="s">
        <v>4076</v>
      </c>
    </row>
    <row r="6283" spans="1:6" x14ac:dyDescent="0.25">
      <c r="A6283">
        <v>5043</v>
      </c>
      <c r="B6283" t="s">
        <v>4072</v>
      </c>
      <c r="C6283">
        <v>4</v>
      </c>
      <c r="D6283" t="s">
        <v>4077</v>
      </c>
      <c r="E6283" t="s">
        <v>4078</v>
      </c>
      <c r="F6283" t="s">
        <v>4075</v>
      </c>
    </row>
    <row r="6284" spans="1:6" x14ac:dyDescent="0.25">
      <c r="A6284">
        <v>5043</v>
      </c>
      <c r="B6284" t="s">
        <v>4072</v>
      </c>
      <c r="C6284">
        <v>16</v>
      </c>
      <c r="D6284" t="s">
        <v>4077</v>
      </c>
      <c r="E6284" t="s">
        <v>4078</v>
      </c>
      <c r="F6284" t="s">
        <v>4076</v>
      </c>
    </row>
    <row r="6285" spans="1:6" x14ac:dyDescent="0.25">
      <c r="A6285">
        <v>5044</v>
      </c>
      <c r="B6285" t="s">
        <v>4092</v>
      </c>
      <c r="C6285">
        <v>24</v>
      </c>
      <c r="D6285" t="s">
        <v>2760</v>
      </c>
      <c r="E6285" t="s">
        <v>4108</v>
      </c>
      <c r="F6285" t="s">
        <v>4075</v>
      </c>
    </row>
    <row r="6286" spans="1:6" x14ac:dyDescent="0.25">
      <c r="A6286">
        <v>5044</v>
      </c>
      <c r="B6286" t="s">
        <v>4092</v>
      </c>
      <c r="C6286">
        <v>29</v>
      </c>
      <c r="D6286" t="s">
        <v>2760</v>
      </c>
      <c r="E6286" t="s">
        <v>4108</v>
      </c>
      <c r="F6286" t="s">
        <v>4076</v>
      </c>
    </row>
    <row r="6287" spans="1:6" x14ac:dyDescent="0.25">
      <c r="A6287">
        <v>5045</v>
      </c>
      <c r="B6287" t="s">
        <v>4072</v>
      </c>
      <c r="C6287">
        <v>4</v>
      </c>
      <c r="D6287" t="s">
        <v>4077</v>
      </c>
      <c r="E6287" t="s">
        <v>4078</v>
      </c>
      <c r="F6287" t="s">
        <v>4075</v>
      </c>
    </row>
    <row r="6288" spans="1:6" x14ac:dyDescent="0.25">
      <c r="A6288">
        <v>5045</v>
      </c>
      <c r="B6288" t="s">
        <v>4072</v>
      </c>
      <c r="C6288">
        <v>16</v>
      </c>
      <c r="D6288" t="s">
        <v>4077</v>
      </c>
      <c r="E6288" t="s">
        <v>4078</v>
      </c>
      <c r="F6288" t="s">
        <v>4076</v>
      </c>
    </row>
    <row r="6289" spans="1:6" x14ac:dyDescent="0.25">
      <c r="A6289">
        <v>5046</v>
      </c>
      <c r="B6289" t="s">
        <v>4072</v>
      </c>
      <c r="C6289">
        <v>5</v>
      </c>
      <c r="D6289" t="s">
        <v>4087</v>
      </c>
      <c r="E6289" t="s">
        <v>4088</v>
      </c>
      <c r="F6289" t="s">
        <v>4075</v>
      </c>
    </row>
    <row r="6290" spans="1:6" x14ac:dyDescent="0.25">
      <c r="A6290">
        <v>5046</v>
      </c>
      <c r="B6290" t="s">
        <v>4072</v>
      </c>
      <c r="C6290">
        <v>15</v>
      </c>
      <c r="D6290" t="s">
        <v>4080</v>
      </c>
      <c r="E6290" t="s">
        <v>4081</v>
      </c>
      <c r="F6290" t="s">
        <v>4076</v>
      </c>
    </row>
    <row r="6291" spans="1:6" x14ac:dyDescent="0.25">
      <c r="A6291">
        <v>5047</v>
      </c>
      <c r="B6291" t="s">
        <v>4072</v>
      </c>
      <c r="C6291">
        <v>3</v>
      </c>
      <c r="D6291" t="s">
        <v>4085</v>
      </c>
      <c r="E6291" t="s">
        <v>4086</v>
      </c>
      <c r="F6291" t="s">
        <v>4075</v>
      </c>
    </row>
    <row r="6292" spans="1:6" x14ac:dyDescent="0.25">
      <c r="A6292">
        <v>5047</v>
      </c>
      <c r="B6292" t="s">
        <v>4072</v>
      </c>
      <c r="C6292">
        <v>15</v>
      </c>
      <c r="D6292" t="s">
        <v>4080</v>
      </c>
      <c r="E6292" t="s">
        <v>4081</v>
      </c>
      <c r="F6292" t="s">
        <v>4076</v>
      </c>
    </row>
    <row r="6293" spans="1:6" x14ac:dyDescent="0.25">
      <c r="A6293">
        <v>5048</v>
      </c>
      <c r="B6293" t="s">
        <v>4072</v>
      </c>
      <c r="C6293">
        <v>4</v>
      </c>
      <c r="D6293" t="s">
        <v>4077</v>
      </c>
      <c r="E6293" t="s">
        <v>4078</v>
      </c>
      <c r="F6293" t="s">
        <v>4075</v>
      </c>
    </row>
    <row r="6294" spans="1:6" x14ac:dyDescent="0.25">
      <c r="A6294">
        <v>5048</v>
      </c>
      <c r="B6294" t="s">
        <v>4072</v>
      </c>
      <c r="C6294">
        <v>16</v>
      </c>
      <c r="D6294" t="s">
        <v>4077</v>
      </c>
      <c r="E6294" t="s">
        <v>4078</v>
      </c>
      <c r="F6294" t="s">
        <v>4076</v>
      </c>
    </row>
    <row r="6295" spans="1:6" x14ac:dyDescent="0.25">
      <c r="A6295">
        <v>5049</v>
      </c>
      <c r="B6295" t="s">
        <v>4072</v>
      </c>
      <c r="C6295">
        <v>5</v>
      </c>
      <c r="D6295" t="s">
        <v>4087</v>
      </c>
      <c r="E6295" t="s">
        <v>4088</v>
      </c>
      <c r="F6295" t="s">
        <v>4075</v>
      </c>
    </row>
    <row r="6296" spans="1:6" x14ac:dyDescent="0.25">
      <c r="A6296">
        <v>5049</v>
      </c>
      <c r="B6296" t="s">
        <v>4072</v>
      </c>
      <c r="C6296">
        <v>15</v>
      </c>
      <c r="D6296" t="s">
        <v>4080</v>
      </c>
      <c r="E6296" t="s">
        <v>4081</v>
      </c>
      <c r="F6296" t="s">
        <v>4076</v>
      </c>
    </row>
    <row r="6297" spans="1:6" x14ac:dyDescent="0.25">
      <c r="A6297">
        <v>5050</v>
      </c>
      <c r="B6297" t="s">
        <v>4072</v>
      </c>
      <c r="C6297">
        <v>5</v>
      </c>
      <c r="D6297" t="s">
        <v>4087</v>
      </c>
      <c r="E6297" t="s">
        <v>4088</v>
      </c>
      <c r="F6297" t="s">
        <v>4075</v>
      </c>
    </row>
    <row r="6298" spans="1:6" x14ac:dyDescent="0.25">
      <c r="A6298">
        <v>5050</v>
      </c>
      <c r="B6298" t="s">
        <v>4072</v>
      </c>
      <c r="C6298">
        <v>15</v>
      </c>
      <c r="D6298" t="s">
        <v>4080</v>
      </c>
      <c r="E6298" t="s">
        <v>4081</v>
      </c>
      <c r="F6298" t="s">
        <v>4076</v>
      </c>
    </row>
    <row r="6299" spans="1:6" x14ac:dyDescent="0.25">
      <c r="A6299">
        <v>5051</v>
      </c>
      <c r="B6299" t="s">
        <v>4072</v>
      </c>
      <c r="C6299">
        <v>16</v>
      </c>
      <c r="D6299" t="s">
        <v>4077</v>
      </c>
      <c r="E6299" t="s">
        <v>4078</v>
      </c>
      <c r="F6299" t="s">
        <v>4076</v>
      </c>
    </row>
    <row r="6300" spans="1:6" x14ac:dyDescent="0.25">
      <c r="A6300">
        <v>5052</v>
      </c>
      <c r="B6300" t="s">
        <v>4072</v>
      </c>
      <c r="C6300">
        <v>16</v>
      </c>
      <c r="D6300" t="s">
        <v>4077</v>
      </c>
      <c r="E6300" t="s">
        <v>4078</v>
      </c>
      <c r="F6300" t="s">
        <v>4076</v>
      </c>
    </row>
    <row r="6301" spans="1:6" x14ac:dyDescent="0.25">
      <c r="A6301">
        <v>5053</v>
      </c>
      <c r="B6301" t="s">
        <v>4072</v>
      </c>
      <c r="C6301">
        <v>2</v>
      </c>
      <c r="D6301" t="s">
        <v>4082</v>
      </c>
      <c r="E6301" t="s">
        <v>4083</v>
      </c>
      <c r="F6301" t="s">
        <v>4075</v>
      </c>
    </row>
    <row r="6302" spans="1:6" x14ac:dyDescent="0.25">
      <c r="A6302">
        <v>5053</v>
      </c>
      <c r="B6302" t="s">
        <v>4072</v>
      </c>
      <c r="C6302">
        <v>17</v>
      </c>
      <c r="D6302" t="s">
        <v>4082</v>
      </c>
      <c r="E6302" t="s">
        <v>4084</v>
      </c>
      <c r="F6302" t="s">
        <v>4076</v>
      </c>
    </row>
    <row r="6303" spans="1:6" x14ac:dyDescent="0.25">
      <c r="A6303">
        <v>5054</v>
      </c>
      <c r="B6303" t="s">
        <v>4072</v>
      </c>
      <c r="C6303">
        <v>1</v>
      </c>
      <c r="D6303" t="s">
        <v>2761</v>
      </c>
      <c r="E6303" t="s">
        <v>4089</v>
      </c>
      <c r="F6303" t="s">
        <v>4075</v>
      </c>
    </row>
    <row r="6304" spans="1:6" x14ac:dyDescent="0.25">
      <c r="A6304">
        <v>5054</v>
      </c>
      <c r="B6304" t="s">
        <v>4072</v>
      </c>
      <c r="C6304">
        <v>38</v>
      </c>
      <c r="D6304" t="s">
        <v>2761</v>
      </c>
      <c r="E6304" t="s">
        <v>4089</v>
      </c>
      <c r="F6304" t="s">
        <v>4076</v>
      </c>
    </row>
    <row r="6305" spans="1:6" x14ac:dyDescent="0.25">
      <c r="A6305">
        <v>5055</v>
      </c>
      <c r="B6305" t="s">
        <v>4072</v>
      </c>
      <c r="C6305">
        <v>10</v>
      </c>
      <c r="D6305" t="s">
        <v>4095</v>
      </c>
      <c r="E6305" t="s">
        <v>4096</v>
      </c>
      <c r="F6305" t="s">
        <v>4075</v>
      </c>
    </row>
    <row r="6306" spans="1:6" x14ac:dyDescent="0.25">
      <c r="A6306">
        <v>5056</v>
      </c>
      <c r="B6306" t="s">
        <v>4072</v>
      </c>
      <c r="C6306">
        <v>10</v>
      </c>
      <c r="D6306" t="s">
        <v>4095</v>
      </c>
      <c r="E6306" t="s">
        <v>4096</v>
      </c>
      <c r="F6306" t="s">
        <v>4075</v>
      </c>
    </row>
    <row r="6307" spans="1:6" x14ac:dyDescent="0.25">
      <c r="A6307">
        <v>5057</v>
      </c>
      <c r="B6307" t="s">
        <v>4072</v>
      </c>
      <c r="C6307">
        <v>3</v>
      </c>
      <c r="D6307" t="s">
        <v>4085</v>
      </c>
      <c r="E6307" t="s">
        <v>4086</v>
      </c>
      <c r="F6307" t="s">
        <v>4075</v>
      </c>
    </row>
    <row r="6308" spans="1:6" x14ac:dyDescent="0.25">
      <c r="A6308">
        <v>5057</v>
      </c>
      <c r="B6308" t="s">
        <v>4072</v>
      </c>
      <c r="C6308">
        <v>15</v>
      </c>
      <c r="D6308" t="s">
        <v>4080</v>
      </c>
      <c r="E6308" t="s">
        <v>4081</v>
      </c>
      <c r="F6308" t="s">
        <v>4076</v>
      </c>
    </row>
    <row r="6309" spans="1:6" x14ac:dyDescent="0.25">
      <c r="A6309">
        <v>5058</v>
      </c>
      <c r="B6309" t="s">
        <v>4072</v>
      </c>
      <c r="C6309">
        <v>3</v>
      </c>
      <c r="D6309" t="s">
        <v>4085</v>
      </c>
      <c r="E6309" t="s">
        <v>4086</v>
      </c>
      <c r="F6309" t="s">
        <v>4075</v>
      </c>
    </row>
    <row r="6310" spans="1:6" x14ac:dyDescent="0.25">
      <c r="A6310">
        <v>5058</v>
      </c>
      <c r="B6310" t="s">
        <v>4072</v>
      </c>
      <c r="C6310">
        <v>15</v>
      </c>
      <c r="D6310" t="s">
        <v>4080</v>
      </c>
      <c r="E6310" t="s">
        <v>4081</v>
      </c>
      <c r="F6310" t="s">
        <v>4076</v>
      </c>
    </row>
    <row r="6311" spans="1:6" x14ac:dyDescent="0.25">
      <c r="A6311">
        <v>5059</v>
      </c>
      <c r="B6311" t="s">
        <v>4072</v>
      </c>
      <c r="C6311">
        <v>4</v>
      </c>
      <c r="D6311" t="s">
        <v>4077</v>
      </c>
      <c r="E6311" t="s">
        <v>4078</v>
      </c>
      <c r="F6311" t="s">
        <v>4075</v>
      </c>
    </row>
    <row r="6312" spans="1:6" x14ac:dyDescent="0.25">
      <c r="A6312">
        <v>5059</v>
      </c>
      <c r="B6312" t="s">
        <v>4072</v>
      </c>
      <c r="C6312">
        <v>16</v>
      </c>
      <c r="D6312" t="s">
        <v>4077</v>
      </c>
      <c r="E6312" t="s">
        <v>4078</v>
      </c>
      <c r="F6312" t="s">
        <v>4076</v>
      </c>
    </row>
    <row r="6313" spans="1:6" x14ac:dyDescent="0.25">
      <c r="A6313">
        <v>5060</v>
      </c>
      <c r="B6313" t="s">
        <v>4072</v>
      </c>
      <c r="C6313">
        <v>6</v>
      </c>
      <c r="D6313" t="s">
        <v>4073</v>
      </c>
      <c r="E6313" t="s">
        <v>4074</v>
      </c>
      <c r="F6313" t="s">
        <v>4075</v>
      </c>
    </row>
    <row r="6314" spans="1:6" x14ac:dyDescent="0.25">
      <c r="A6314">
        <v>5060</v>
      </c>
      <c r="B6314" t="s">
        <v>4072</v>
      </c>
      <c r="C6314">
        <v>19</v>
      </c>
      <c r="D6314" t="s">
        <v>4073</v>
      </c>
      <c r="E6314" t="s">
        <v>4074</v>
      </c>
      <c r="F6314" t="s">
        <v>4076</v>
      </c>
    </row>
    <row r="6315" spans="1:6" x14ac:dyDescent="0.25">
      <c r="A6315">
        <v>5061</v>
      </c>
      <c r="B6315" t="s">
        <v>4072</v>
      </c>
      <c r="C6315">
        <v>5</v>
      </c>
      <c r="D6315" t="s">
        <v>4087</v>
      </c>
      <c r="E6315" t="s">
        <v>4088</v>
      </c>
      <c r="F6315" t="s">
        <v>4075</v>
      </c>
    </row>
    <row r="6316" spans="1:6" x14ac:dyDescent="0.25">
      <c r="A6316">
        <v>5061</v>
      </c>
      <c r="B6316" t="s">
        <v>4072</v>
      </c>
      <c r="C6316">
        <v>15</v>
      </c>
      <c r="D6316" t="s">
        <v>4080</v>
      </c>
      <c r="E6316" t="s">
        <v>4081</v>
      </c>
      <c r="F6316" t="s">
        <v>4076</v>
      </c>
    </row>
    <row r="6317" spans="1:6" x14ac:dyDescent="0.25">
      <c r="A6317">
        <v>5062</v>
      </c>
      <c r="B6317" t="s">
        <v>4092</v>
      </c>
      <c r="C6317">
        <v>24</v>
      </c>
      <c r="D6317" t="s">
        <v>2760</v>
      </c>
      <c r="E6317" t="s">
        <v>4108</v>
      </c>
      <c r="F6317" t="s">
        <v>4075</v>
      </c>
    </row>
    <row r="6318" spans="1:6" x14ac:dyDescent="0.25">
      <c r="A6318">
        <v>5062</v>
      </c>
      <c r="B6318" t="s">
        <v>4092</v>
      </c>
      <c r="C6318">
        <v>29</v>
      </c>
      <c r="D6318" t="s">
        <v>2760</v>
      </c>
      <c r="E6318" t="s">
        <v>4108</v>
      </c>
      <c r="F6318" t="s">
        <v>4076</v>
      </c>
    </row>
    <row r="6319" spans="1:6" x14ac:dyDescent="0.25">
      <c r="A6319">
        <v>5067</v>
      </c>
      <c r="B6319" t="s">
        <v>4072</v>
      </c>
      <c r="C6319">
        <v>5</v>
      </c>
      <c r="D6319" t="s">
        <v>4087</v>
      </c>
      <c r="E6319" t="s">
        <v>4088</v>
      </c>
      <c r="F6319" t="s">
        <v>4075</v>
      </c>
    </row>
    <row r="6320" spans="1:6" x14ac:dyDescent="0.25">
      <c r="A6320">
        <v>5067</v>
      </c>
      <c r="B6320" t="s">
        <v>4072</v>
      </c>
      <c r="C6320">
        <v>15</v>
      </c>
      <c r="D6320" t="s">
        <v>4080</v>
      </c>
      <c r="E6320" t="s">
        <v>4081</v>
      </c>
      <c r="F6320" t="s">
        <v>4076</v>
      </c>
    </row>
    <row r="6321" spans="1:6" x14ac:dyDescent="0.25">
      <c r="A6321">
        <v>5068</v>
      </c>
      <c r="B6321" t="s">
        <v>4072</v>
      </c>
      <c r="C6321">
        <v>5</v>
      </c>
      <c r="D6321" t="s">
        <v>4087</v>
      </c>
      <c r="E6321" t="s">
        <v>4088</v>
      </c>
      <c r="F6321" t="s">
        <v>4075</v>
      </c>
    </row>
    <row r="6322" spans="1:6" x14ac:dyDescent="0.25">
      <c r="A6322">
        <v>5068</v>
      </c>
      <c r="B6322" t="s">
        <v>4072</v>
      </c>
      <c r="C6322">
        <v>15</v>
      </c>
      <c r="D6322" t="s">
        <v>4080</v>
      </c>
      <c r="E6322" t="s">
        <v>4081</v>
      </c>
      <c r="F6322" t="s">
        <v>4076</v>
      </c>
    </row>
    <row r="6323" spans="1:6" x14ac:dyDescent="0.25">
      <c r="A6323">
        <v>5069</v>
      </c>
      <c r="B6323" t="s">
        <v>4072</v>
      </c>
      <c r="C6323">
        <v>5</v>
      </c>
      <c r="D6323" t="s">
        <v>4087</v>
      </c>
      <c r="E6323" t="s">
        <v>4088</v>
      </c>
      <c r="F6323" t="s">
        <v>4075</v>
      </c>
    </row>
    <row r="6324" spans="1:6" x14ac:dyDescent="0.25">
      <c r="A6324">
        <v>5069</v>
      </c>
      <c r="B6324" t="s">
        <v>4072</v>
      </c>
      <c r="C6324">
        <v>15</v>
      </c>
      <c r="D6324" t="s">
        <v>4080</v>
      </c>
      <c r="E6324" t="s">
        <v>4081</v>
      </c>
      <c r="F6324" t="s">
        <v>4076</v>
      </c>
    </row>
    <row r="6325" spans="1:6" x14ac:dyDescent="0.25">
      <c r="A6325">
        <v>5070</v>
      </c>
      <c r="B6325" t="s">
        <v>4072</v>
      </c>
      <c r="C6325">
        <v>4</v>
      </c>
      <c r="D6325" t="s">
        <v>4077</v>
      </c>
      <c r="E6325" t="s">
        <v>4078</v>
      </c>
      <c r="F6325" t="s">
        <v>4075</v>
      </c>
    </row>
    <row r="6326" spans="1:6" x14ac:dyDescent="0.25">
      <c r="A6326">
        <v>5070</v>
      </c>
      <c r="B6326" t="s">
        <v>4072</v>
      </c>
      <c r="C6326">
        <v>16</v>
      </c>
      <c r="D6326" t="s">
        <v>4077</v>
      </c>
      <c r="E6326" t="s">
        <v>4078</v>
      </c>
      <c r="F6326" t="s">
        <v>4076</v>
      </c>
    </row>
    <row r="6327" spans="1:6" x14ac:dyDescent="0.25">
      <c r="A6327">
        <v>5071</v>
      </c>
      <c r="B6327" t="s">
        <v>4072</v>
      </c>
      <c r="C6327">
        <v>3</v>
      </c>
      <c r="D6327" t="s">
        <v>4085</v>
      </c>
      <c r="E6327" t="s">
        <v>4086</v>
      </c>
      <c r="F6327" t="s">
        <v>4075</v>
      </c>
    </row>
    <row r="6328" spans="1:6" x14ac:dyDescent="0.25">
      <c r="A6328">
        <v>5071</v>
      </c>
      <c r="B6328" t="s">
        <v>4072</v>
      </c>
      <c r="C6328">
        <v>15</v>
      </c>
      <c r="D6328" t="s">
        <v>4080</v>
      </c>
      <c r="E6328" t="s">
        <v>4081</v>
      </c>
      <c r="F6328" t="s">
        <v>4076</v>
      </c>
    </row>
    <row r="6329" spans="1:6" x14ac:dyDescent="0.25">
      <c r="A6329">
        <v>5072</v>
      </c>
      <c r="B6329" t="s">
        <v>4072</v>
      </c>
      <c r="C6329">
        <v>2</v>
      </c>
      <c r="D6329" t="s">
        <v>4082</v>
      </c>
      <c r="E6329" t="s">
        <v>4083</v>
      </c>
      <c r="F6329" t="s">
        <v>4075</v>
      </c>
    </row>
    <row r="6330" spans="1:6" x14ac:dyDescent="0.25">
      <c r="A6330">
        <v>5072</v>
      </c>
      <c r="B6330" t="s">
        <v>4072</v>
      </c>
      <c r="C6330">
        <v>17</v>
      </c>
      <c r="D6330" t="s">
        <v>4082</v>
      </c>
      <c r="E6330" t="s">
        <v>4084</v>
      </c>
      <c r="F6330" t="s">
        <v>4076</v>
      </c>
    </row>
    <row r="6331" spans="1:6" x14ac:dyDescent="0.25">
      <c r="A6331">
        <v>5073</v>
      </c>
      <c r="B6331" t="s">
        <v>4072</v>
      </c>
      <c r="C6331">
        <v>4</v>
      </c>
      <c r="D6331" t="s">
        <v>4077</v>
      </c>
      <c r="E6331" t="s">
        <v>4078</v>
      </c>
      <c r="F6331" t="s">
        <v>4075</v>
      </c>
    </row>
    <row r="6332" spans="1:6" x14ac:dyDescent="0.25">
      <c r="A6332">
        <v>5073</v>
      </c>
      <c r="B6332" t="s">
        <v>4072</v>
      </c>
      <c r="C6332">
        <v>16</v>
      </c>
      <c r="D6332" t="s">
        <v>4077</v>
      </c>
      <c r="E6332" t="s">
        <v>4078</v>
      </c>
      <c r="F6332" t="s">
        <v>4076</v>
      </c>
    </row>
    <row r="6333" spans="1:6" x14ac:dyDescent="0.25">
      <c r="A6333">
        <v>5074</v>
      </c>
      <c r="B6333" t="s">
        <v>4092</v>
      </c>
      <c r="C6333">
        <v>33</v>
      </c>
      <c r="D6333" t="s">
        <v>4109</v>
      </c>
      <c r="E6333" t="s">
        <v>4110</v>
      </c>
      <c r="F6333" t="s">
        <v>4075</v>
      </c>
    </row>
    <row r="6334" spans="1:6" x14ac:dyDescent="0.25">
      <c r="A6334">
        <v>5074</v>
      </c>
      <c r="B6334" t="s">
        <v>4092</v>
      </c>
      <c r="C6334">
        <v>34</v>
      </c>
      <c r="D6334" t="s">
        <v>4109</v>
      </c>
      <c r="E6334" t="s">
        <v>4110</v>
      </c>
      <c r="F6334" t="s">
        <v>4076</v>
      </c>
    </row>
    <row r="6335" spans="1:6" x14ac:dyDescent="0.25">
      <c r="A6335">
        <v>5075</v>
      </c>
      <c r="B6335" t="s">
        <v>4072</v>
      </c>
      <c r="C6335">
        <v>6</v>
      </c>
      <c r="D6335" t="s">
        <v>4073</v>
      </c>
      <c r="E6335" t="s">
        <v>4074</v>
      </c>
      <c r="F6335" t="s">
        <v>4075</v>
      </c>
    </row>
    <row r="6336" spans="1:6" x14ac:dyDescent="0.25">
      <c r="A6336">
        <v>5075</v>
      </c>
      <c r="B6336" t="s">
        <v>4072</v>
      </c>
      <c r="C6336">
        <v>19</v>
      </c>
      <c r="D6336" t="s">
        <v>4073</v>
      </c>
      <c r="E6336" t="s">
        <v>4074</v>
      </c>
      <c r="F6336" t="s">
        <v>4076</v>
      </c>
    </row>
    <row r="6337" spans="1:6" x14ac:dyDescent="0.25">
      <c r="A6337">
        <v>5076</v>
      </c>
      <c r="B6337" t="s">
        <v>4072</v>
      </c>
      <c r="C6337">
        <v>2</v>
      </c>
      <c r="D6337" t="s">
        <v>4082</v>
      </c>
      <c r="E6337" t="s">
        <v>4083</v>
      </c>
      <c r="F6337" t="s">
        <v>4075</v>
      </c>
    </row>
    <row r="6338" spans="1:6" x14ac:dyDescent="0.25">
      <c r="A6338">
        <v>5076</v>
      </c>
      <c r="B6338" t="s">
        <v>4072</v>
      </c>
      <c r="C6338">
        <v>17</v>
      </c>
      <c r="D6338" t="s">
        <v>4082</v>
      </c>
      <c r="E6338" t="s">
        <v>4084</v>
      </c>
      <c r="F6338" t="s">
        <v>4076</v>
      </c>
    </row>
    <row r="6339" spans="1:6" x14ac:dyDescent="0.25">
      <c r="A6339">
        <v>5077</v>
      </c>
      <c r="B6339" t="s">
        <v>4072</v>
      </c>
      <c r="C6339">
        <v>5</v>
      </c>
      <c r="D6339" t="s">
        <v>4087</v>
      </c>
      <c r="E6339" t="s">
        <v>4088</v>
      </c>
      <c r="F6339" t="s">
        <v>4075</v>
      </c>
    </row>
    <row r="6340" spans="1:6" x14ac:dyDescent="0.25">
      <c r="A6340">
        <v>5077</v>
      </c>
      <c r="B6340" t="s">
        <v>4072</v>
      </c>
      <c r="C6340">
        <v>15</v>
      </c>
      <c r="D6340" t="s">
        <v>4080</v>
      </c>
      <c r="E6340" t="s">
        <v>4081</v>
      </c>
      <c r="F6340" t="s">
        <v>4076</v>
      </c>
    </row>
    <row r="6341" spans="1:6" x14ac:dyDescent="0.25">
      <c r="A6341">
        <v>5078</v>
      </c>
      <c r="B6341" t="s">
        <v>4072</v>
      </c>
      <c r="C6341">
        <v>3</v>
      </c>
      <c r="D6341" t="s">
        <v>4085</v>
      </c>
      <c r="E6341" t="s">
        <v>4086</v>
      </c>
      <c r="F6341" t="s">
        <v>4075</v>
      </c>
    </row>
    <row r="6342" spans="1:6" x14ac:dyDescent="0.25">
      <c r="A6342">
        <v>5078</v>
      </c>
      <c r="B6342" t="s">
        <v>4072</v>
      </c>
      <c r="C6342">
        <v>15</v>
      </c>
      <c r="D6342" t="s">
        <v>4080</v>
      </c>
      <c r="E6342" t="s">
        <v>4081</v>
      </c>
      <c r="F6342" t="s">
        <v>4076</v>
      </c>
    </row>
    <row r="6343" spans="1:6" x14ac:dyDescent="0.25">
      <c r="A6343">
        <v>5079</v>
      </c>
      <c r="B6343" t="s">
        <v>4072</v>
      </c>
      <c r="C6343">
        <v>4</v>
      </c>
      <c r="D6343" t="s">
        <v>4077</v>
      </c>
      <c r="E6343" t="s">
        <v>4078</v>
      </c>
      <c r="F6343" t="s">
        <v>4075</v>
      </c>
    </row>
    <row r="6344" spans="1:6" x14ac:dyDescent="0.25">
      <c r="A6344">
        <v>5079</v>
      </c>
      <c r="B6344" t="s">
        <v>4072</v>
      </c>
      <c r="C6344">
        <v>16</v>
      </c>
      <c r="D6344" t="s">
        <v>4077</v>
      </c>
      <c r="E6344" t="s">
        <v>4078</v>
      </c>
      <c r="F6344" t="s">
        <v>4076</v>
      </c>
    </row>
    <row r="6345" spans="1:6" x14ac:dyDescent="0.25">
      <c r="A6345">
        <v>5080</v>
      </c>
      <c r="B6345" t="s">
        <v>4092</v>
      </c>
      <c r="C6345">
        <v>23</v>
      </c>
      <c r="D6345" t="s">
        <v>2757</v>
      </c>
      <c r="E6345" t="s">
        <v>4093</v>
      </c>
      <c r="F6345" t="s">
        <v>4075</v>
      </c>
    </row>
    <row r="6346" spans="1:6" x14ac:dyDescent="0.25">
      <c r="A6346">
        <v>5080</v>
      </c>
      <c r="B6346" t="s">
        <v>4092</v>
      </c>
      <c r="C6346">
        <v>28</v>
      </c>
      <c r="D6346" t="s">
        <v>2757</v>
      </c>
      <c r="E6346" t="s">
        <v>4093</v>
      </c>
      <c r="F6346" t="s">
        <v>4076</v>
      </c>
    </row>
    <row r="6347" spans="1:6" x14ac:dyDescent="0.25">
      <c r="A6347">
        <v>5081</v>
      </c>
      <c r="B6347" t="s">
        <v>4092</v>
      </c>
      <c r="C6347">
        <v>33</v>
      </c>
      <c r="D6347" t="s">
        <v>4109</v>
      </c>
      <c r="E6347" t="s">
        <v>4110</v>
      </c>
      <c r="F6347" t="s">
        <v>4075</v>
      </c>
    </row>
    <row r="6348" spans="1:6" x14ac:dyDescent="0.25">
      <c r="A6348">
        <v>5081</v>
      </c>
      <c r="B6348" t="s">
        <v>4092</v>
      </c>
      <c r="C6348">
        <v>34</v>
      </c>
      <c r="D6348" t="s">
        <v>4109</v>
      </c>
      <c r="E6348" t="s">
        <v>4110</v>
      </c>
      <c r="F6348" t="s">
        <v>4076</v>
      </c>
    </row>
    <row r="6349" spans="1:6" x14ac:dyDescent="0.25">
      <c r="A6349">
        <v>5083</v>
      </c>
      <c r="B6349" t="s">
        <v>4072</v>
      </c>
      <c r="C6349">
        <v>2</v>
      </c>
      <c r="D6349" t="s">
        <v>4082</v>
      </c>
      <c r="E6349" t="s">
        <v>4083</v>
      </c>
      <c r="F6349" t="s">
        <v>4075</v>
      </c>
    </row>
    <row r="6350" spans="1:6" x14ac:dyDescent="0.25">
      <c r="A6350">
        <v>5083</v>
      </c>
      <c r="B6350" t="s">
        <v>4072</v>
      </c>
      <c r="C6350">
        <v>17</v>
      </c>
      <c r="D6350" t="s">
        <v>4082</v>
      </c>
      <c r="E6350" t="s">
        <v>4084</v>
      </c>
      <c r="F6350" t="s">
        <v>4076</v>
      </c>
    </row>
    <row r="6351" spans="1:6" x14ac:dyDescent="0.25">
      <c r="A6351">
        <v>5084</v>
      </c>
      <c r="B6351" t="s">
        <v>4072</v>
      </c>
      <c r="C6351">
        <v>2</v>
      </c>
      <c r="D6351" t="s">
        <v>4082</v>
      </c>
      <c r="E6351" t="s">
        <v>4083</v>
      </c>
      <c r="F6351" t="s">
        <v>4075</v>
      </c>
    </row>
    <row r="6352" spans="1:6" x14ac:dyDescent="0.25">
      <c r="A6352">
        <v>5084</v>
      </c>
      <c r="B6352" t="s">
        <v>4072</v>
      </c>
      <c r="C6352">
        <v>17</v>
      </c>
      <c r="D6352" t="s">
        <v>4082</v>
      </c>
      <c r="E6352" t="s">
        <v>4084</v>
      </c>
      <c r="F6352" t="s">
        <v>4076</v>
      </c>
    </row>
    <row r="6353" spans="1:6" x14ac:dyDescent="0.25">
      <c r="A6353">
        <v>5085</v>
      </c>
      <c r="B6353" t="s">
        <v>4072</v>
      </c>
      <c r="C6353">
        <v>3</v>
      </c>
      <c r="D6353" t="s">
        <v>4085</v>
      </c>
      <c r="E6353" t="s">
        <v>4086</v>
      </c>
      <c r="F6353" t="s">
        <v>4075</v>
      </c>
    </row>
    <row r="6354" spans="1:6" x14ac:dyDescent="0.25">
      <c r="A6354">
        <v>5085</v>
      </c>
      <c r="B6354" t="s">
        <v>4072</v>
      </c>
      <c r="C6354">
        <v>15</v>
      </c>
      <c r="D6354" t="s">
        <v>4080</v>
      </c>
      <c r="E6354" t="s">
        <v>4081</v>
      </c>
      <c r="F6354" t="s">
        <v>4076</v>
      </c>
    </row>
    <row r="6355" spans="1:6" x14ac:dyDescent="0.25">
      <c r="A6355">
        <v>5086</v>
      </c>
      <c r="B6355" t="s">
        <v>4072</v>
      </c>
      <c r="C6355">
        <v>6</v>
      </c>
      <c r="D6355" t="s">
        <v>4073</v>
      </c>
      <c r="E6355" t="s">
        <v>4074</v>
      </c>
      <c r="F6355" t="s">
        <v>4075</v>
      </c>
    </row>
    <row r="6356" spans="1:6" x14ac:dyDescent="0.25">
      <c r="A6356">
        <v>5086</v>
      </c>
      <c r="B6356" t="s">
        <v>4072</v>
      </c>
      <c r="C6356">
        <v>19</v>
      </c>
      <c r="D6356" t="s">
        <v>4073</v>
      </c>
      <c r="E6356" t="s">
        <v>4074</v>
      </c>
      <c r="F6356" t="s">
        <v>4076</v>
      </c>
    </row>
    <row r="6357" spans="1:6" x14ac:dyDescent="0.25">
      <c r="A6357">
        <v>5088</v>
      </c>
      <c r="B6357" t="s">
        <v>4072</v>
      </c>
      <c r="C6357">
        <v>4</v>
      </c>
      <c r="D6357" t="s">
        <v>4077</v>
      </c>
      <c r="E6357" t="s">
        <v>4078</v>
      </c>
      <c r="F6357" t="s">
        <v>4075</v>
      </c>
    </row>
    <row r="6358" spans="1:6" x14ac:dyDescent="0.25">
      <c r="A6358">
        <v>5088</v>
      </c>
      <c r="B6358" t="s">
        <v>4072</v>
      </c>
      <c r="C6358">
        <v>16</v>
      </c>
      <c r="D6358" t="s">
        <v>4077</v>
      </c>
      <c r="E6358" t="s">
        <v>4078</v>
      </c>
      <c r="F6358" t="s">
        <v>4076</v>
      </c>
    </row>
    <row r="6359" spans="1:6" x14ac:dyDescent="0.25">
      <c r="A6359">
        <v>5089</v>
      </c>
      <c r="B6359" t="s">
        <v>4092</v>
      </c>
      <c r="C6359">
        <v>24</v>
      </c>
      <c r="D6359" t="s">
        <v>2760</v>
      </c>
      <c r="E6359" t="s">
        <v>4108</v>
      </c>
      <c r="F6359" t="s">
        <v>4075</v>
      </c>
    </row>
    <row r="6360" spans="1:6" x14ac:dyDescent="0.25">
      <c r="A6360">
        <v>5089</v>
      </c>
      <c r="B6360" t="s">
        <v>4092</v>
      </c>
      <c r="C6360">
        <v>29</v>
      </c>
      <c r="D6360" t="s">
        <v>2760</v>
      </c>
      <c r="E6360" t="s">
        <v>4108</v>
      </c>
      <c r="F6360" t="s">
        <v>4076</v>
      </c>
    </row>
    <row r="6361" spans="1:6" x14ac:dyDescent="0.25">
      <c r="A6361">
        <v>5090</v>
      </c>
      <c r="B6361" t="s">
        <v>4072</v>
      </c>
      <c r="C6361">
        <v>35</v>
      </c>
      <c r="D6361" t="s">
        <v>4115</v>
      </c>
      <c r="E6361" t="s">
        <v>4116</v>
      </c>
      <c r="F6361" t="s">
        <v>4075</v>
      </c>
    </row>
    <row r="6362" spans="1:6" x14ac:dyDescent="0.25">
      <c r="A6362">
        <v>5090</v>
      </c>
      <c r="B6362" t="s">
        <v>4072</v>
      </c>
      <c r="C6362">
        <v>36</v>
      </c>
      <c r="D6362" t="s">
        <v>4115</v>
      </c>
      <c r="E6362" t="s">
        <v>4116</v>
      </c>
      <c r="F6362" t="s">
        <v>4076</v>
      </c>
    </row>
    <row r="6363" spans="1:6" x14ac:dyDescent="0.25">
      <c r="A6363">
        <v>5091</v>
      </c>
      <c r="B6363" t="s">
        <v>4072</v>
      </c>
      <c r="C6363">
        <v>4</v>
      </c>
      <c r="D6363" t="s">
        <v>4077</v>
      </c>
      <c r="E6363" t="s">
        <v>4078</v>
      </c>
      <c r="F6363" t="s">
        <v>4075</v>
      </c>
    </row>
    <row r="6364" spans="1:6" x14ac:dyDescent="0.25">
      <c r="A6364">
        <v>5091</v>
      </c>
      <c r="B6364" t="s">
        <v>4072</v>
      </c>
      <c r="C6364">
        <v>16</v>
      </c>
      <c r="D6364" t="s">
        <v>4077</v>
      </c>
      <c r="E6364" t="s">
        <v>4078</v>
      </c>
      <c r="F6364" t="s">
        <v>4076</v>
      </c>
    </row>
    <row r="6365" spans="1:6" x14ac:dyDescent="0.25">
      <c r="A6365">
        <v>5092</v>
      </c>
      <c r="B6365" t="s">
        <v>4072</v>
      </c>
      <c r="C6365">
        <v>3</v>
      </c>
      <c r="D6365" t="s">
        <v>4085</v>
      </c>
      <c r="E6365" t="s">
        <v>4086</v>
      </c>
      <c r="F6365" t="s">
        <v>4075</v>
      </c>
    </row>
    <row r="6366" spans="1:6" x14ac:dyDescent="0.25">
      <c r="A6366">
        <v>5092</v>
      </c>
      <c r="B6366" t="s">
        <v>4072</v>
      </c>
      <c r="C6366">
        <v>15</v>
      </c>
      <c r="D6366" t="s">
        <v>4080</v>
      </c>
      <c r="E6366" t="s">
        <v>4081</v>
      </c>
      <c r="F6366" t="s">
        <v>4076</v>
      </c>
    </row>
    <row r="6367" spans="1:6" x14ac:dyDescent="0.25">
      <c r="A6367">
        <v>5093</v>
      </c>
      <c r="B6367" t="s">
        <v>4092</v>
      </c>
      <c r="C6367">
        <v>33</v>
      </c>
      <c r="D6367" t="s">
        <v>4109</v>
      </c>
      <c r="E6367" t="s">
        <v>4110</v>
      </c>
      <c r="F6367" t="s">
        <v>4075</v>
      </c>
    </row>
    <row r="6368" spans="1:6" x14ac:dyDescent="0.25">
      <c r="A6368">
        <v>5094</v>
      </c>
      <c r="B6368" t="s">
        <v>4072</v>
      </c>
      <c r="C6368">
        <v>2</v>
      </c>
      <c r="D6368" t="s">
        <v>4082</v>
      </c>
      <c r="E6368" t="s">
        <v>4083</v>
      </c>
      <c r="F6368" t="s">
        <v>4075</v>
      </c>
    </row>
    <row r="6369" spans="1:6" x14ac:dyDescent="0.25">
      <c r="A6369">
        <v>5094</v>
      </c>
      <c r="B6369" t="s">
        <v>4072</v>
      </c>
      <c r="C6369">
        <v>17</v>
      </c>
      <c r="D6369" t="s">
        <v>4082</v>
      </c>
      <c r="E6369" t="s">
        <v>4084</v>
      </c>
      <c r="F6369" t="s">
        <v>4076</v>
      </c>
    </row>
    <row r="6370" spans="1:6" x14ac:dyDescent="0.25">
      <c r="A6370">
        <v>5095</v>
      </c>
      <c r="B6370" t="s">
        <v>4072</v>
      </c>
      <c r="C6370">
        <v>4</v>
      </c>
      <c r="D6370" t="s">
        <v>4077</v>
      </c>
      <c r="E6370" t="s">
        <v>4078</v>
      </c>
      <c r="F6370" t="s">
        <v>4075</v>
      </c>
    </row>
    <row r="6371" spans="1:6" x14ac:dyDescent="0.25">
      <c r="A6371">
        <v>5096</v>
      </c>
      <c r="B6371" t="s">
        <v>4072</v>
      </c>
      <c r="C6371">
        <v>5</v>
      </c>
      <c r="D6371" t="s">
        <v>4087</v>
      </c>
      <c r="E6371" t="s">
        <v>4088</v>
      </c>
      <c r="F6371" t="s">
        <v>4075</v>
      </c>
    </row>
    <row r="6372" spans="1:6" x14ac:dyDescent="0.25">
      <c r="A6372">
        <v>5096</v>
      </c>
      <c r="B6372" t="s">
        <v>4072</v>
      </c>
      <c r="C6372">
        <v>15</v>
      </c>
      <c r="D6372" t="s">
        <v>4080</v>
      </c>
      <c r="E6372" t="s">
        <v>4081</v>
      </c>
      <c r="F6372" t="s">
        <v>4076</v>
      </c>
    </row>
    <row r="6373" spans="1:6" x14ac:dyDescent="0.25">
      <c r="A6373">
        <v>5097</v>
      </c>
      <c r="B6373" t="s">
        <v>4072</v>
      </c>
      <c r="C6373">
        <v>6</v>
      </c>
      <c r="D6373" t="s">
        <v>4073</v>
      </c>
      <c r="E6373" t="s">
        <v>4074</v>
      </c>
      <c r="F6373" t="s">
        <v>4075</v>
      </c>
    </row>
    <row r="6374" spans="1:6" x14ac:dyDescent="0.25">
      <c r="A6374">
        <v>5097</v>
      </c>
      <c r="B6374" t="s">
        <v>4072</v>
      </c>
      <c r="C6374">
        <v>19</v>
      </c>
      <c r="D6374" t="s">
        <v>4073</v>
      </c>
      <c r="E6374" t="s">
        <v>4074</v>
      </c>
      <c r="F6374" t="s">
        <v>4076</v>
      </c>
    </row>
    <row r="6375" spans="1:6" x14ac:dyDescent="0.25">
      <c r="A6375">
        <v>5098</v>
      </c>
      <c r="B6375" t="s">
        <v>4072</v>
      </c>
      <c r="C6375">
        <v>2</v>
      </c>
      <c r="D6375" t="s">
        <v>4082</v>
      </c>
      <c r="E6375" t="s">
        <v>4083</v>
      </c>
      <c r="F6375" t="s">
        <v>4075</v>
      </c>
    </row>
    <row r="6376" spans="1:6" x14ac:dyDescent="0.25">
      <c r="A6376">
        <v>5098</v>
      </c>
      <c r="B6376" t="s">
        <v>4072</v>
      </c>
      <c r="C6376">
        <v>17</v>
      </c>
      <c r="D6376" t="s">
        <v>4082</v>
      </c>
      <c r="E6376" t="s">
        <v>4084</v>
      </c>
      <c r="F6376" t="s">
        <v>4076</v>
      </c>
    </row>
    <row r="6377" spans="1:6" x14ac:dyDescent="0.25">
      <c r="A6377">
        <v>5099</v>
      </c>
      <c r="B6377" t="s">
        <v>4072</v>
      </c>
      <c r="C6377">
        <v>1</v>
      </c>
      <c r="D6377" t="s">
        <v>2761</v>
      </c>
      <c r="E6377" t="s">
        <v>4089</v>
      </c>
      <c r="F6377" t="s">
        <v>4075</v>
      </c>
    </row>
    <row r="6378" spans="1:6" x14ac:dyDescent="0.25">
      <c r="A6378">
        <v>5099</v>
      </c>
      <c r="B6378" t="s">
        <v>4072</v>
      </c>
      <c r="C6378">
        <v>38</v>
      </c>
      <c r="D6378" t="s">
        <v>2761</v>
      </c>
      <c r="E6378" t="s">
        <v>4089</v>
      </c>
      <c r="F6378" t="s">
        <v>4076</v>
      </c>
    </row>
    <row r="6379" spans="1:6" x14ac:dyDescent="0.25">
      <c r="A6379">
        <v>5100</v>
      </c>
      <c r="B6379" t="s">
        <v>4072</v>
      </c>
      <c r="C6379">
        <v>5</v>
      </c>
      <c r="D6379" t="s">
        <v>4087</v>
      </c>
      <c r="E6379" t="s">
        <v>4088</v>
      </c>
      <c r="F6379" t="s">
        <v>4075</v>
      </c>
    </row>
    <row r="6380" spans="1:6" x14ac:dyDescent="0.25">
      <c r="A6380">
        <v>5100</v>
      </c>
      <c r="B6380" t="s">
        <v>4072</v>
      </c>
      <c r="C6380">
        <v>15</v>
      </c>
      <c r="D6380" t="s">
        <v>4080</v>
      </c>
      <c r="E6380" t="s">
        <v>4081</v>
      </c>
      <c r="F6380" t="s">
        <v>4076</v>
      </c>
    </row>
    <row r="6381" spans="1:6" x14ac:dyDescent="0.25">
      <c r="A6381">
        <v>5101</v>
      </c>
      <c r="B6381" t="s">
        <v>4072</v>
      </c>
      <c r="C6381">
        <v>4</v>
      </c>
      <c r="D6381" t="s">
        <v>4077</v>
      </c>
      <c r="E6381" t="s">
        <v>4078</v>
      </c>
      <c r="F6381" t="s">
        <v>4075</v>
      </c>
    </row>
    <row r="6382" spans="1:6" x14ac:dyDescent="0.25">
      <c r="A6382">
        <v>5101</v>
      </c>
      <c r="B6382" t="s">
        <v>4072</v>
      </c>
      <c r="C6382">
        <v>16</v>
      </c>
      <c r="D6382" t="s">
        <v>4077</v>
      </c>
      <c r="E6382" t="s">
        <v>4078</v>
      </c>
      <c r="F6382" t="s">
        <v>4076</v>
      </c>
    </row>
    <row r="6383" spans="1:6" x14ac:dyDescent="0.25">
      <c r="A6383">
        <v>5102</v>
      </c>
      <c r="B6383" t="s">
        <v>4072</v>
      </c>
      <c r="C6383">
        <v>6</v>
      </c>
      <c r="D6383" t="s">
        <v>4073</v>
      </c>
      <c r="E6383" t="s">
        <v>4074</v>
      </c>
      <c r="F6383" t="s">
        <v>4075</v>
      </c>
    </row>
    <row r="6384" spans="1:6" x14ac:dyDescent="0.25">
      <c r="A6384">
        <v>5102</v>
      </c>
      <c r="B6384" t="s">
        <v>4072</v>
      </c>
      <c r="C6384">
        <v>19</v>
      </c>
      <c r="D6384" t="s">
        <v>4073</v>
      </c>
      <c r="E6384" t="s">
        <v>4074</v>
      </c>
      <c r="F6384" t="s">
        <v>4076</v>
      </c>
    </row>
    <row r="6385" spans="1:6" x14ac:dyDescent="0.25">
      <c r="A6385">
        <v>5103</v>
      </c>
      <c r="B6385" t="s">
        <v>4092</v>
      </c>
      <c r="C6385">
        <v>24</v>
      </c>
      <c r="D6385" t="s">
        <v>2760</v>
      </c>
      <c r="E6385" t="s">
        <v>4108</v>
      </c>
      <c r="F6385" t="s">
        <v>4075</v>
      </c>
    </row>
    <row r="6386" spans="1:6" x14ac:dyDescent="0.25">
      <c r="A6386">
        <v>5103</v>
      </c>
      <c r="B6386" t="s">
        <v>4092</v>
      </c>
      <c r="C6386">
        <v>29</v>
      </c>
      <c r="D6386" t="s">
        <v>2760</v>
      </c>
      <c r="E6386" t="s">
        <v>4108</v>
      </c>
      <c r="F6386" t="s">
        <v>4076</v>
      </c>
    </row>
    <row r="6387" spans="1:6" x14ac:dyDescent="0.25">
      <c r="A6387">
        <v>5104</v>
      </c>
      <c r="B6387" t="s">
        <v>4072</v>
      </c>
      <c r="C6387">
        <v>3</v>
      </c>
      <c r="D6387" t="s">
        <v>4085</v>
      </c>
      <c r="E6387" t="s">
        <v>4086</v>
      </c>
      <c r="F6387" t="s">
        <v>4075</v>
      </c>
    </row>
    <row r="6388" spans="1:6" x14ac:dyDescent="0.25">
      <c r="A6388">
        <v>5104</v>
      </c>
      <c r="B6388" t="s">
        <v>4072</v>
      </c>
      <c r="C6388">
        <v>15</v>
      </c>
      <c r="D6388" t="s">
        <v>4080</v>
      </c>
      <c r="E6388" t="s">
        <v>4081</v>
      </c>
      <c r="F6388" t="s">
        <v>4076</v>
      </c>
    </row>
    <row r="6389" spans="1:6" x14ac:dyDescent="0.25">
      <c r="A6389">
        <v>5105</v>
      </c>
      <c r="B6389" t="s">
        <v>4072</v>
      </c>
      <c r="C6389">
        <v>6</v>
      </c>
      <c r="D6389" t="s">
        <v>4073</v>
      </c>
      <c r="E6389" t="s">
        <v>4074</v>
      </c>
      <c r="F6389" t="s">
        <v>4075</v>
      </c>
    </row>
    <row r="6390" spans="1:6" x14ac:dyDescent="0.25">
      <c r="A6390">
        <v>5105</v>
      </c>
      <c r="B6390" t="s">
        <v>4072</v>
      </c>
      <c r="C6390">
        <v>19</v>
      </c>
      <c r="D6390" t="s">
        <v>4073</v>
      </c>
      <c r="E6390" t="s">
        <v>4074</v>
      </c>
      <c r="F6390" t="s">
        <v>4076</v>
      </c>
    </row>
    <row r="6391" spans="1:6" x14ac:dyDescent="0.25">
      <c r="A6391">
        <v>5106</v>
      </c>
      <c r="B6391" t="s">
        <v>4072</v>
      </c>
      <c r="C6391">
        <v>2</v>
      </c>
      <c r="D6391" t="s">
        <v>4082</v>
      </c>
      <c r="E6391" t="s">
        <v>4083</v>
      </c>
      <c r="F6391" t="s">
        <v>4075</v>
      </c>
    </row>
    <row r="6392" spans="1:6" x14ac:dyDescent="0.25">
      <c r="A6392">
        <v>5106</v>
      </c>
      <c r="B6392" t="s">
        <v>4072</v>
      </c>
      <c r="C6392">
        <v>17</v>
      </c>
      <c r="D6392" t="s">
        <v>4082</v>
      </c>
      <c r="E6392" t="s">
        <v>4084</v>
      </c>
      <c r="F6392" t="s">
        <v>4076</v>
      </c>
    </row>
    <row r="6393" spans="1:6" x14ac:dyDescent="0.25">
      <c r="A6393">
        <v>5107</v>
      </c>
      <c r="B6393" t="s">
        <v>4072</v>
      </c>
      <c r="C6393">
        <v>1</v>
      </c>
      <c r="D6393" t="s">
        <v>2761</v>
      </c>
      <c r="E6393" t="s">
        <v>4089</v>
      </c>
      <c r="F6393" t="s">
        <v>4075</v>
      </c>
    </row>
    <row r="6394" spans="1:6" x14ac:dyDescent="0.25">
      <c r="A6394">
        <v>5107</v>
      </c>
      <c r="B6394" t="s">
        <v>4072</v>
      </c>
      <c r="C6394">
        <v>38</v>
      </c>
      <c r="D6394" t="s">
        <v>2761</v>
      </c>
      <c r="E6394" t="s">
        <v>4089</v>
      </c>
      <c r="F6394" t="s">
        <v>4076</v>
      </c>
    </row>
    <row r="6395" spans="1:6" x14ac:dyDescent="0.25">
      <c r="A6395">
        <v>5108</v>
      </c>
      <c r="B6395" t="s">
        <v>4072</v>
      </c>
      <c r="C6395">
        <v>2</v>
      </c>
      <c r="D6395" t="s">
        <v>4082</v>
      </c>
      <c r="E6395" t="s">
        <v>4083</v>
      </c>
      <c r="F6395" t="s">
        <v>4075</v>
      </c>
    </row>
    <row r="6396" spans="1:6" x14ac:dyDescent="0.25">
      <c r="A6396">
        <v>5108</v>
      </c>
      <c r="B6396" t="s">
        <v>4072</v>
      </c>
      <c r="C6396">
        <v>17</v>
      </c>
      <c r="D6396" t="s">
        <v>4082</v>
      </c>
      <c r="E6396" t="s">
        <v>4084</v>
      </c>
      <c r="F6396" t="s">
        <v>4076</v>
      </c>
    </row>
    <row r="6397" spans="1:6" x14ac:dyDescent="0.25">
      <c r="A6397">
        <v>5109</v>
      </c>
      <c r="B6397" t="s">
        <v>4072</v>
      </c>
      <c r="C6397">
        <v>3</v>
      </c>
      <c r="D6397" t="s">
        <v>4085</v>
      </c>
      <c r="E6397" t="s">
        <v>4086</v>
      </c>
      <c r="F6397" t="s">
        <v>4075</v>
      </c>
    </row>
    <row r="6398" spans="1:6" x14ac:dyDescent="0.25">
      <c r="A6398">
        <v>5109</v>
      </c>
      <c r="B6398" t="s">
        <v>4072</v>
      </c>
      <c r="C6398">
        <v>15</v>
      </c>
      <c r="D6398" t="s">
        <v>4080</v>
      </c>
      <c r="E6398" t="s">
        <v>4081</v>
      </c>
      <c r="F6398" t="s">
        <v>4076</v>
      </c>
    </row>
    <row r="6399" spans="1:6" x14ac:dyDescent="0.25">
      <c r="A6399">
        <v>5110</v>
      </c>
      <c r="B6399" t="s">
        <v>4072</v>
      </c>
      <c r="C6399">
        <v>5</v>
      </c>
      <c r="D6399" t="s">
        <v>4087</v>
      </c>
      <c r="E6399" t="s">
        <v>4088</v>
      </c>
      <c r="F6399" t="s">
        <v>4075</v>
      </c>
    </row>
    <row r="6400" spans="1:6" x14ac:dyDescent="0.25">
      <c r="A6400">
        <v>5110</v>
      </c>
      <c r="B6400" t="s">
        <v>4072</v>
      </c>
      <c r="C6400">
        <v>15</v>
      </c>
      <c r="D6400" t="s">
        <v>4080</v>
      </c>
      <c r="E6400" t="s">
        <v>4081</v>
      </c>
      <c r="F6400" t="s">
        <v>4076</v>
      </c>
    </row>
    <row r="6401" spans="1:6" x14ac:dyDescent="0.25">
      <c r="A6401">
        <v>5111</v>
      </c>
      <c r="B6401" t="s">
        <v>4072</v>
      </c>
      <c r="C6401">
        <v>5</v>
      </c>
      <c r="D6401" t="s">
        <v>4087</v>
      </c>
      <c r="E6401" t="s">
        <v>4088</v>
      </c>
      <c r="F6401" t="s">
        <v>4075</v>
      </c>
    </row>
    <row r="6402" spans="1:6" x14ac:dyDescent="0.25">
      <c r="A6402">
        <v>5111</v>
      </c>
      <c r="B6402" t="s">
        <v>4072</v>
      </c>
      <c r="C6402">
        <v>15</v>
      </c>
      <c r="D6402" t="s">
        <v>4080</v>
      </c>
      <c r="E6402" t="s">
        <v>4081</v>
      </c>
      <c r="F6402" t="s">
        <v>4076</v>
      </c>
    </row>
    <row r="6403" spans="1:6" x14ac:dyDescent="0.25">
      <c r="A6403">
        <v>5112</v>
      </c>
      <c r="B6403" t="s">
        <v>4072</v>
      </c>
      <c r="C6403">
        <v>4</v>
      </c>
      <c r="D6403" t="s">
        <v>4077</v>
      </c>
      <c r="E6403" t="s">
        <v>4078</v>
      </c>
      <c r="F6403" t="s">
        <v>4075</v>
      </c>
    </row>
    <row r="6404" spans="1:6" x14ac:dyDescent="0.25">
      <c r="A6404">
        <v>5112</v>
      </c>
      <c r="B6404" t="s">
        <v>4072</v>
      </c>
      <c r="C6404">
        <v>16</v>
      </c>
      <c r="D6404" t="s">
        <v>4077</v>
      </c>
      <c r="E6404" t="s">
        <v>4078</v>
      </c>
      <c r="F6404" t="s">
        <v>4076</v>
      </c>
    </row>
    <row r="6405" spans="1:6" x14ac:dyDescent="0.25">
      <c r="A6405">
        <v>5113</v>
      </c>
      <c r="B6405" t="s">
        <v>4072</v>
      </c>
      <c r="C6405">
        <v>5</v>
      </c>
      <c r="D6405" t="s">
        <v>4087</v>
      </c>
      <c r="E6405" t="s">
        <v>4088</v>
      </c>
      <c r="F6405" t="s">
        <v>4075</v>
      </c>
    </row>
    <row r="6406" spans="1:6" x14ac:dyDescent="0.25">
      <c r="A6406">
        <v>5113</v>
      </c>
      <c r="B6406" t="s">
        <v>4072</v>
      </c>
      <c r="C6406">
        <v>15</v>
      </c>
      <c r="D6406" t="s">
        <v>4080</v>
      </c>
      <c r="E6406" t="s">
        <v>4081</v>
      </c>
      <c r="F6406" t="s">
        <v>4076</v>
      </c>
    </row>
    <row r="6407" spans="1:6" x14ac:dyDescent="0.25">
      <c r="A6407">
        <v>5114</v>
      </c>
      <c r="B6407" t="s">
        <v>4072</v>
      </c>
      <c r="C6407">
        <v>6</v>
      </c>
      <c r="D6407" t="s">
        <v>4073</v>
      </c>
      <c r="E6407" t="s">
        <v>4074</v>
      </c>
      <c r="F6407" t="s">
        <v>4075</v>
      </c>
    </row>
    <row r="6408" spans="1:6" x14ac:dyDescent="0.25">
      <c r="A6408">
        <v>5114</v>
      </c>
      <c r="B6408" t="s">
        <v>4072</v>
      </c>
      <c r="C6408">
        <v>19</v>
      </c>
      <c r="D6408" t="s">
        <v>4073</v>
      </c>
      <c r="E6408" t="s">
        <v>4074</v>
      </c>
      <c r="F6408" t="s">
        <v>4076</v>
      </c>
    </row>
    <row r="6409" spans="1:6" x14ac:dyDescent="0.25">
      <c r="A6409">
        <v>5115</v>
      </c>
      <c r="B6409" t="s">
        <v>4072</v>
      </c>
      <c r="C6409">
        <v>6</v>
      </c>
      <c r="D6409" t="s">
        <v>4073</v>
      </c>
      <c r="E6409" t="s">
        <v>4074</v>
      </c>
      <c r="F6409" t="s">
        <v>4075</v>
      </c>
    </row>
    <row r="6410" spans="1:6" x14ac:dyDescent="0.25">
      <c r="A6410">
        <v>5115</v>
      </c>
      <c r="B6410" t="s">
        <v>4072</v>
      </c>
      <c r="C6410">
        <v>19</v>
      </c>
      <c r="D6410" t="s">
        <v>4073</v>
      </c>
      <c r="E6410" t="s">
        <v>4074</v>
      </c>
      <c r="F6410" t="s">
        <v>4076</v>
      </c>
    </row>
    <row r="6411" spans="1:6" x14ac:dyDescent="0.25">
      <c r="A6411">
        <v>5116</v>
      </c>
      <c r="B6411" t="s">
        <v>4072</v>
      </c>
      <c r="C6411">
        <v>5</v>
      </c>
      <c r="D6411" t="s">
        <v>4087</v>
      </c>
      <c r="E6411" t="s">
        <v>4088</v>
      </c>
      <c r="F6411" t="s">
        <v>4075</v>
      </c>
    </row>
    <row r="6412" spans="1:6" x14ac:dyDescent="0.25">
      <c r="A6412">
        <v>5116</v>
      </c>
      <c r="B6412" t="s">
        <v>4072</v>
      </c>
      <c r="C6412">
        <v>15</v>
      </c>
      <c r="D6412" t="s">
        <v>4080</v>
      </c>
      <c r="E6412" t="s">
        <v>4081</v>
      </c>
      <c r="F6412" t="s">
        <v>4076</v>
      </c>
    </row>
    <row r="6413" spans="1:6" x14ac:dyDescent="0.25">
      <c r="A6413">
        <v>5116</v>
      </c>
      <c r="B6413" t="s">
        <v>4072</v>
      </c>
      <c r="C6413">
        <v>40</v>
      </c>
      <c r="D6413" t="s">
        <v>4080</v>
      </c>
      <c r="E6413" t="s">
        <v>4081</v>
      </c>
      <c r="F6413" t="s">
        <v>4079</v>
      </c>
    </row>
    <row r="6414" spans="1:6" x14ac:dyDescent="0.25">
      <c r="A6414">
        <v>5117</v>
      </c>
      <c r="B6414" t="s">
        <v>4072</v>
      </c>
      <c r="C6414">
        <v>2</v>
      </c>
      <c r="D6414" t="s">
        <v>4082</v>
      </c>
      <c r="E6414" t="s">
        <v>4083</v>
      </c>
      <c r="F6414" t="s">
        <v>4075</v>
      </c>
    </row>
    <row r="6415" spans="1:6" x14ac:dyDescent="0.25">
      <c r="A6415">
        <v>5117</v>
      </c>
      <c r="B6415" t="s">
        <v>4072</v>
      </c>
      <c r="C6415">
        <v>17</v>
      </c>
      <c r="D6415" t="s">
        <v>4082</v>
      </c>
      <c r="E6415" t="s">
        <v>4084</v>
      </c>
      <c r="F6415" t="s">
        <v>4076</v>
      </c>
    </row>
    <row r="6416" spans="1:6" x14ac:dyDescent="0.25">
      <c r="A6416">
        <v>5118</v>
      </c>
      <c r="B6416" t="s">
        <v>4092</v>
      </c>
      <c r="C6416">
        <v>33</v>
      </c>
      <c r="D6416" t="s">
        <v>4109</v>
      </c>
      <c r="E6416" t="s">
        <v>4110</v>
      </c>
      <c r="F6416" t="s">
        <v>4075</v>
      </c>
    </row>
    <row r="6417" spans="1:6" x14ac:dyDescent="0.25">
      <c r="A6417">
        <v>5118</v>
      </c>
      <c r="B6417" t="s">
        <v>4092</v>
      </c>
      <c r="C6417">
        <v>34</v>
      </c>
      <c r="D6417" t="s">
        <v>4109</v>
      </c>
      <c r="E6417" t="s">
        <v>4110</v>
      </c>
      <c r="F6417" t="s">
        <v>4076</v>
      </c>
    </row>
    <row r="6418" spans="1:6" x14ac:dyDescent="0.25">
      <c r="A6418">
        <v>5119</v>
      </c>
      <c r="B6418" t="s">
        <v>4072</v>
      </c>
      <c r="C6418">
        <v>6</v>
      </c>
      <c r="D6418" t="s">
        <v>4073</v>
      </c>
      <c r="E6418" t="s">
        <v>4074</v>
      </c>
      <c r="F6418" t="s">
        <v>4075</v>
      </c>
    </row>
    <row r="6419" spans="1:6" x14ac:dyDescent="0.25">
      <c r="A6419">
        <v>5119</v>
      </c>
      <c r="B6419" t="s">
        <v>4072</v>
      </c>
      <c r="C6419">
        <v>19</v>
      </c>
      <c r="D6419" t="s">
        <v>4073</v>
      </c>
      <c r="E6419" t="s">
        <v>4074</v>
      </c>
      <c r="F6419" t="s">
        <v>4076</v>
      </c>
    </row>
    <row r="6420" spans="1:6" x14ac:dyDescent="0.25">
      <c r="A6420">
        <v>5120</v>
      </c>
      <c r="B6420" t="s">
        <v>4072</v>
      </c>
      <c r="C6420">
        <v>2</v>
      </c>
      <c r="D6420" t="s">
        <v>4082</v>
      </c>
      <c r="E6420" t="s">
        <v>4083</v>
      </c>
      <c r="F6420" t="s">
        <v>4075</v>
      </c>
    </row>
    <row r="6421" spans="1:6" x14ac:dyDescent="0.25">
      <c r="A6421">
        <v>5120</v>
      </c>
      <c r="B6421" t="s">
        <v>4072</v>
      </c>
      <c r="C6421">
        <v>17</v>
      </c>
      <c r="D6421" t="s">
        <v>4082</v>
      </c>
      <c r="E6421" t="s">
        <v>4084</v>
      </c>
      <c r="F6421" t="s">
        <v>4076</v>
      </c>
    </row>
    <row r="6422" spans="1:6" x14ac:dyDescent="0.25">
      <c r="A6422">
        <v>5121</v>
      </c>
      <c r="B6422" t="s">
        <v>4072</v>
      </c>
      <c r="C6422">
        <v>2</v>
      </c>
      <c r="D6422" t="s">
        <v>4082</v>
      </c>
      <c r="E6422" t="s">
        <v>4083</v>
      </c>
      <c r="F6422" t="s">
        <v>4075</v>
      </c>
    </row>
    <row r="6423" spans="1:6" x14ac:dyDescent="0.25">
      <c r="A6423">
        <v>5121</v>
      </c>
      <c r="B6423" t="s">
        <v>4072</v>
      </c>
      <c r="C6423">
        <v>17</v>
      </c>
      <c r="D6423" t="s">
        <v>4082</v>
      </c>
      <c r="E6423" t="s">
        <v>4084</v>
      </c>
      <c r="F6423" t="s">
        <v>4076</v>
      </c>
    </row>
    <row r="6424" spans="1:6" x14ac:dyDescent="0.25">
      <c r="A6424">
        <v>5122</v>
      </c>
      <c r="B6424" t="s">
        <v>4072</v>
      </c>
      <c r="C6424">
        <v>1</v>
      </c>
      <c r="D6424" t="s">
        <v>2761</v>
      </c>
      <c r="E6424" t="s">
        <v>4089</v>
      </c>
      <c r="F6424" t="s">
        <v>4075</v>
      </c>
    </row>
    <row r="6425" spans="1:6" x14ac:dyDescent="0.25">
      <c r="A6425">
        <v>5122</v>
      </c>
      <c r="B6425" t="s">
        <v>4072</v>
      </c>
      <c r="C6425">
        <v>38</v>
      </c>
      <c r="D6425" t="s">
        <v>2761</v>
      </c>
      <c r="E6425" t="s">
        <v>4089</v>
      </c>
      <c r="F6425" t="s">
        <v>4076</v>
      </c>
    </row>
    <row r="6426" spans="1:6" x14ac:dyDescent="0.25">
      <c r="A6426">
        <v>5123</v>
      </c>
      <c r="B6426" t="s">
        <v>4072</v>
      </c>
      <c r="C6426">
        <v>5</v>
      </c>
      <c r="D6426" t="s">
        <v>4087</v>
      </c>
      <c r="E6426" t="s">
        <v>4088</v>
      </c>
      <c r="F6426" t="s">
        <v>4075</v>
      </c>
    </row>
    <row r="6427" spans="1:6" x14ac:dyDescent="0.25">
      <c r="A6427">
        <v>5123</v>
      </c>
      <c r="B6427" t="s">
        <v>4072</v>
      </c>
      <c r="C6427">
        <v>15</v>
      </c>
      <c r="D6427" t="s">
        <v>4080</v>
      </c>
      <c r="E6427" t="s">
        <v>4081</v>
      </c>
      <c r="F6427" t="s">
        <v>4076</v>
      </c>
    </row>
    <row r="6428" spans="1:6" x14ac:dyDescent="0.25">
      <c r="A6428">
        <v>5124</v>
      </c>
      <c r="B6428" t="s">
        <v>4072</v>
      </c>
      <c r="C6428">
        <v>5</v>
      </c>
      <c r="D6428" t="s">
        <v>4087</v>
      </c>
      <c r="E6428" t="s">
        <v>4088</v>
      </c>
      <c r="F6428" t="s">
        <v>4075</v>
      </c>
    </row>
    <row r="6429" spans="1:6" x14ac:dyDescent="0.25">
      <c r="A6429">
        <v>5124</v>
      </c>
      <c r="B6429" t="s">
        <v>4072</v>
      </c>
      <c r="C6429">
        <v>15</v>
      </c>
      <c r="D6429" t="s">
        <v>4080</v>
      </c>
      <c r="E6429" t="s">
        <v>4081</v>
      </c>
      <c r="F6429" t="s">
        <v>4076</v>
      </c>
    </row>
    <row r="6430" spans="1:6" x14ac:dyDescent="0.25">
      <c r="A6430">
        <v>5125</v>
      </c>
      <c r="B6430" t="s">
        <v>4072</v>
      </c>
      <c r="C6430">
        <v>4</v>
      </c>
      <c r="D6430" t="s">
        <v>4077</v>
      </c>
      <c r="E6430" t="s">
        <v>4078</v>
      </c>
      <c r="F6430" t="s">
        <v>4075</v>
      </c>
    </row>
    <row r="6431" spans="1:6" x14ac:dyDescent="0.25">
      <c r="A6431">
        <v>5125</v>
      </c>
      <c r="B6431" t="s">
        <v>4072</v>
      </c>
      <c r="C6431">
        <v>16</v>
      </c>
      <c r="D6431" t="s">
        <v>4077</v>
      </c>
      <c r="E6431" t="s">
        <v>4078</v>
      </c>
      <c r="F6431" t="s">
        <v>4076</v>
      </c>
    </row>
    <row r="6432" spans="1:6" x14ac:dyDescent="0.25">
      <c r="A6432">
        <v>5126</v>
      </c>
      <c r="B6432" t="s">
        <v>4072</v>
      </c>
      <c r="C6432">
        <v>19</v>
      </c>
      <c r="D6432" t="s">
        <v>4073</v>
      </c>
      <c r="E6432" t="s">
        <v>4074</v>
      </c>
      <c r="F6432" t="s">
        <v>4076</v>
      </c>
    </row>
    <row r="6433" spans="1:6" x14ac:dyDescent="0.25">
      <c r="A6433">
        <v>5127</v>
      </c>
      <c r="B6433" t="s">
        <v>4092</v>
      </c>
      <c r="C6433">
        <v>24</v>
      </c>
      <c r="D6433" t="s">
        <v>2760</v>
      </c>
      <c r="E6433" t="s">
        <v>4108</v>
      </c>
      <c r="F6433" t="s">
        <v>4075</v>
      </c>
    </row>
    <row r="6434" spans="1:6" x14ac:dyDescent="0.25">
      <c r="A6434">
        <v>5127</v>
      </c>
      <c r="B6434" t="s">
        <v>4092</v>
      </c>
      <c r="C6434">
        <v>29</v>
      </c>
      <c r="D6434" t="s">
        <v>2760</v>
      </c>
      <c r="E6434" t="s">
        <v>4108</v>
      </c>
      <c r="F6434" t="s">
        <v>4076</v>
      </c>
    </row>
    <row r="6435" spans="1:6" x14ac:dyDescent="0.25">
      <c r="A6435">
        <v>5128</v>
      </c>
      <c r="B6435" t="s">
        <v>4092</v>
      </c>
      <c r="C6435">
        <v>24</v>
      </c>
      <c r="D6435" t="s">
        <v>2760</v>
      </c>
      <c r="E6435" t="s">
        <v>4108</v>
      </c>
      <c r="F6435" t="s">
        <v>4075</v>
      </c>
    </row>
    <row r="6436" spans="1:6" x14ac:dyDescent="0.25">
      <c r="A6436">
        <v>5128</v>
      </c>
      <c r="B6436" t="s">
        <v>4092</v>
      </c>
      <c r="C6436">
        <v>29</v>
      </c>
      <c r="D6436" t="s">
        <v>2760</v>
      </c>
      <c r="E6436" t="s">
        <v>4108</v>
      </c>
      <c r="F6436" t="s">
        <v>4076</v>
      </c>
    </row>
    <row r="6437" spans="1:6" x14ac:dyDescent="0.25">
      <c r="A6437">
        <v>5129</v>
      </c>
      <c r="B6437" t="s">
        <v>4092</v>
      </c>
      <c r="C6437">
        <v>24</v>
      </c>
      <c r="D6437" t="s">
        <v>2760</v>
      </c>
      <c r="E6437" t="s">
        <v>4108</v>
      </c>
      <c r="F6437" t="s">
        <v>4075</v>
      </c>
    </row>
    <row r="6438" spans="1:6" x14ac:dyDescent="0.25">
      <c r="A6438">
        <v>5129</v>
      </c>
      <c r="B6438" t="s">
        <v>4092</v>
      </c>
      <c r="C6438">
        <v>29</v>
      </c>
      <c r="D6438" t="s">
        <v>2760</v>
      </c>
      <c r="E6438" t="s">
        <v>4108</v>
      </c>
      <c r="F6438" t="s">
        <v>4076</v>
      </c>
    </row>
    <row r="6439" spans="1:6" x14ac:dyDescent="0.25">
      <c r="A6439">
        <v>5130</v>
      </c>
      <c r="B6439" t="s">
        <v>4072</v>
      </c>
      <c r="C6439">
        <v>6</v>
      </c>
      <c r="D6439" t="s">
        <v>4073</v>
      </c>
      <c r="E6439" t="s">
        <v>4074</v>
      </c>
      <c r="F6439" t="s">
        <v>4075</v>
      </c>
    </row>
    <row r="6440" spans="1:6" x14ac:dyDescent="0.25">
      <c r="A6440">
        <v>5130</v>
      </c>
      <c r="B6440" t="s">
        <v>4072</v>
      </c>
      <c r="C6440">
        <v>19</v>
      </c>
      <c r="D6440" t="s">
        <v>4073</v>
      </c>
      <c r="E6440" t="s">
        <v>4074</v>
      </c>
      <c r="F6440" t="s">
        <v>4076</v>
      </c>
    </row>
    <row r="6441" spans="1:6" x14ac:dyDescent="0.25">
      <c r="A6441">
        <v>5131</v>
      </c>
      <c r="B6441" t="s">
        <v>4072</v>
      </c>
      <c r="C6441">
        <v>5</v>
      </c>
      <c r="D6441" t="s">
        <v>4087</v>
      </c>
      <c r="E6441" t="s">
        <v>4088</v>
      </c>
      <c r="F6441" t="s">
        <v>4075</v>
      </c>
    </row>
    <row r="6442" spans="1:6" x14ac:dyDescent="0.25">
      <c r="A6442">
        <v>5131</v>
      </c>
      <c r="B6442" t="s">
        <v>4072</v>
      </c>
      <c r="C6442">
        <v>15</v>
      </c>
      <c r="D6442" t="s">
        <v>4080</v>
      </c>
      <c r="E6442" t="s">
        <v>4081</v>
      </c>
      <c r="F6442" t="s">
        <v>4076</v>
      </c>
    </row>
    <row r="6443" spans="1:6" x14ac:dyDescent="0.25">
      <c r="A6443">
        <v>5132</v>
      </c>
      <c r="B6443" t="s">
        <v>4072</v>
      </c>
      <c r="C6443">
        <v>5</v>
      </c>
      <c r="D6443" t="s">
        <v>4087</v>
      </c>
      <c r="E6443" t="s">
        <v>4088</v>
      </c>
      <c r="F6443" t="s">
        <v>4075</v>
      </c>
    </row>
    <row r="6444" spans="1:6" x14ac:dyDescent="0.25">
      <c r="A6444">
        <v>5132</v>
      </c>
      <c r="B6444" t="s">
        <v>4072</v>
      </c>
      <c r="C6444">
        <v>15</v>
      </c>
      <c r="D6444" t="s">
        <v>4080</v>
      </c>
      <c r="E6444" t="s">
        <v>4081</v>
      </c>
      <c r="F6444" t="s">
        <v>4076</v>
      </c>
    </row>
    <row r="6445" spans="1:6" x14ac:dyDescent="0.25">
      <c r="A6445">
        <v>5132</v>
      </c>
      <c r="B6445" t="s">
        <v>4072</v>
      </c>
      <c r="C6445">
        <v>40</v>
      </c>
      <c r="D6445" t="s">
        <v>4080</v>
      </c>
      <c r="E6445" t="s">
        <v>4081</v>
      </c>
      <c r="F6445" t="s">
        <v>4079</v>
      </c>
    </row>
    <row r="6446" spans="1:6" x14ac:dyDescent="0.25">
      <c r="A6446">
        <v>5133</v>
      </c>
      <c r="B6446" t="s">
        <v>4092</v>
      </c>
      <c r="C6446">
        <v>24</v>
      </c>
      <c r="D6446" t="s">
        <v>2760</v>
      </c>
      <c r="E6446" t="s">
        <v>4108</v>
      </c>
      <c r="F6446" t="s">
        <v>4075</v>
      </c>
    </row>
    <row r="6447" spans="1:6" x14ac:dyDescent="0.25">
      <c r="A6447">
        <v>5134</v>
      </c>
      <c r="B6447" t="s">
        <v>4092</v>
      </c>
      <c r="C6447">
        <v>24</v>
      </c>
      <c r="D6447" t="s">
        <v>2760</v>
      </c>
      <c r="E6447" t="s">
        <v>4108</v>
      </c>
      <c r="F6447" t="s">
        <v>4075</v>
      </c>
    </row>
    <row r="6448" spans="1:6" x14ac:dyDescent="0.25">
      <c r="A6448">
        <v>5135</v>
      </c>
      <c r="B6448" t="s">
        <v>4072</v>
      </c>
      <c r="C6448">
        <v>3</v>
      </c>
      <c r="D6448" t="s">
        <v>4085</v>
      </c>
      <c r="E6448" t="s">
        <v>4086</v>
      </c>
      <c r="F6448" t="s">
        <v>4075</v>
      </c>
    </row>
    <row r="6449" spans="1:6" x14ac:dyDescent="0.25">
      <c r="A6449">
        <v>5135</v>
      </c>
      <c r="B6449" t="s">
        <v>4072</v>
      </c>
      <c r="C6449">
        <v>15</v>
      </c>
      <c r="D6449" t="s">
        <v>4080</v>
      </c>
      <c r="E6449" t="s">
        <v>4081</v>
      </c>
      <c r="F6449" t="s">
        <v>4076</v>
      </c>
    </row>
    <row r="6450" spans="1:6" x14ac:dyDescent="0.25">
      <c r="A6450">
        <v>5136</v>
      </c>
      <c r="B6450" t="s">
        <v>4072</v>
      </c>
      <c r="C6450">
        <v>5</v>
      </c>
      <c r="D6450" t="s">
        <v>4087</v>
      </c>
      <c r="E6450" t="s">
        <v>4088</v>
      </c>
      <c r="F6450" t="s">
        <v>4075</v>
      </c>
    </row>
    <row r="6451" spans="1:6" x14ac:dyDescent="0.25">
      <c r="A6451">
        <v>5136</v>
      </c>
      <c r="B6451" t="s">
        <v>4072</v>
      </c>
      <c r="C6451">
        <v>15</v>
      </c>
      <c r="D6451" t="s">
        <v>4080</v>
      </c>
      <c r="E6451" t="s">
        <v>4081</v>
      </c>
      <c r="F6451" t="s">
        <v>4076</v>
      </c>
    </row>
    <row r="6452" spans="1:6" x14ac:dyDescent="0.25">
      <c r="A6452">
        <v>5136</v>
      </c>
      <c r="B6452" t="s">
        <v>4072</v>
      </c>
      <c r="C6452">
        <v>40</v>
      </c>
      <c r="D6452" t="s">
        <v>4080</v>
      </c>
      <c r="E6452" t="s">
        <v>4081</v>
      </c>
      <c r="F6452" t="s">
        <v>4079</v>
      </c>
    </row>
    <row r="6453" spans="1:6" x14ac:dyDescent="0.25">
      <c r="A6453">
        <v>5137</v>
      </c>
      <c r="B6453" t="s">
        <v>4072</v>
      </c>
      <c r="C6453">
        <v>6</v>
      </c>
      <c r="D6453" t="s">
        <v>4073</v>
      </c>
      <c r="E6453" t="s">
        <v>4074</v>
      </c>
      <c r="F6453" t="s">
        <v>4075</v>
      </c>
    </row>
    <row r="6454" spans="1:6" x14ac:dyDescent="0.25">
      <c r="A6454">
        <v>5137</v>
      </c>
      <c r="B6454" t="s">
        <v>4072</v>
      </c>
      <c r="C6454">
        <v>19</v>
      </c>
      <c r="D6454" t="s">
        <v>4073</v>
      </c>
      <c r="E6454" t="s">
        <v>4074</v>
      </c>
      <c r="F6454" t="s">
        <v>4076</v>
      </c>
    </row>
    <row r="6455" spans="1:6" x14ac:dyDescent="0.25">
      <c r="A6455">
        <v>5137</v>
      </c>
      <c r="B6455" t="s">
        <v>4072</v>
      </c>
      <c r="C6455">
        <v>39</v>
      </c>
      <c r="D6455" t="s">
        <v>4073</v>
      </c>
      <c r="E6455" t="s">
        <v>4074</v>
      </c>
      <c r="F6455" t="s">
        <v>4079</v>
      </c>
    </row>
    <row r="6456" spans="1:6" x14ac:dyDescent="0.25">
      <c r="A6456">
        <v>5138</v>
      </c>
      <c r="B6456" t="s">
        <v>4072</v>
      </c>
      <c r="C6456">
        <v>4</v>
      </c>
      <c r="D6456" t="s">
        <v>4077</v>
      </c>
      <c r="E6456" t="s">
        <v>4078</v>
      </c>
      <c r="F6456" t="s">
        <v>4075</v>
      </c>
    </row>
    <row r="6457" spans="1:6" x14ac:dyDescent="0.25">
      <c r="A6457">
        <v>5138</v>
      </c>
      <c r="B6457" t="s">
        <v>4072</v>
      </c>
      <c r="C6457">
        <v>16</v>
      </c>
      <c r="D6457" t="s">
        <v>4077</v>
      </c>
      <c r="E6457" t="s">
        <v>4078</v>
      </c>
      <c r="F6457" t="s">
        <v>4076</v>
      </c>
    </row>
    <row r="6458" spans="1:6" x14ac:dyDescent="0.25">
      <c r="A6458">
        <v>5138</v>
      </c>
      <c r="B6458" t="s">
        <v>4072</v>
      </c>
      <c r="C6458">
        <v>44</v>
      </c>
      <c r="D6458" t="s">
        <v>4077</v>
      </c>
      <c r="E6458" t="s">
        <v>4078</v>
      </c>
      <c r="F6458" t="s">
        <v>4079</v>
      </c>
    </row>
    <row r="6459" spans="1:6" x14ac:dyDescent="0.25">
      <c r="A6459">
        <v>5139</v>
      </c>
      <c r="B6459" t="s">
        <v>4072</v>
      </c>
      <c r="C6459">
        <v>6</v>
      </c>
      <c r="D6459" t="s">
        <v>4073</v>
      </c>
      <c r="E6459" t="s">
        <v>4074</v>
      </c>
      <c r="F6459" t="s">
        <v>4075</v>
      </c>
    </row>
    <row r="6460" spans="1:6" x14ac:dyDescent="0.25">
      <c r="A6460">
        <v>5140</v>
      </c>
      <c r="B6460" t="s">
        <v>4072</v>
      </c>
      <c r="C6460">
        <v>5</v>
      </c>
      <c r="D6460" t="s">
        <v>4087</v>
      </c>
      <c r="E6460" t="s">
        <v>4088</v>
      </c>
      <c r="F6460" t="s">
        <v>4075</v>
      </c>
    </row>
    <row r="6461" spans="1:6" x14ac:dyDescent="0.25">
      <c r="A6461">
        <v>5140</v>
      </c>
      <c r="B6461" t="s">
        <v>4072</v>
      </c>
      <c r="C6461">
        <v>15</v>
      </c>
      <c r="D6461" t="s">
        <v>4080</v>
      </c>
      <c r="E6461" t="s">
        <v>4081</v>
      </c>
      <c r="F6461" t="s">
        <v>4076</v>
      </c>
    </row>
    <row r="6462" spans="1:6" x14ac:dyDescent="0.25">
      <c r="A6462">
        <v>5141</v>
      </c>
      <c r="B6462" t="s">
        <v>4072</v>
      </c>
      <c r="C6462">
        <v>10</v>
      </c>
      <c r="D6462" t="s">
        <v>4095</v>
      </c>
      <c r="E6462" t="s">
        <v>4096</v>
      </c>
      <c r="F6462" t="s">
        <v>4075</v>
      </c>
    </row>
    <row r="6463" spans="1:6" x14ac:dyDescent="0.25">
      <c r="A6463">
        <v>5142</v>
      </c>
      <c r="B6463" t="s">
        <v>4092</v>
      </c>
      <c r="C6463">
        <v>24</v>
      </c>
      <c r="D6463" t="s">
        <v>2760</v>
      </c>
      <c r="E6463" t="s">
        <v>4108</v>
      </c>
      <c r="F6463" t="s">
        <v>4075</v>
      </c>
    </row>
    <row r="6464" spans="1:6" x14ac:dyDescent="0.25">
      <c r="A6464">
        <v>5143</v>
      </c>
      <c r="B6464" t="s">
        <v>4072</v>
      </c>
      <c r="C6464">
        <v>5</v>
      </c>
      <c r="D6464" t="s">
        <v>4087</v>
      </c>
      <c r="E6464" t="s">
        <v>4088</v>
      </c>
      <c r="F6464" t="s">
        <v>4075</v>
      </c>
    </row>
    <row r="6465" spans="1:6" x14ac:dyDescent="0.25">
      <c r="A6465">
        <v>5143</v>
      </c>
      <c r="B6465" t="s">
        <v>4072</v>
      </c>
      <c r="C6465">
        <v>15</v>
      </c>
      <c r="D6465" t="s">
        <v>4080</v>
      </c>
      <c r="E6465" t="s">
        <v>4081</v>
      </c>
      <c r="F6465" t="s">
        <v>4076</v>
      </c>
    </row>
    <row r="6466" spans="1:6" x14ac:dyDescent="0.25">
      <c r="A6466">
        <v>5144</v>
      </c>
      <c r="B6466" t="s">
        <v>4092</v>
      </c>
      <c r="C6466">
        <v>33</v>
      </c>
      <c r="D6466" t="s">
        <v>4109</v>
      </c>
      <c r="E6466" t="s">
        <v>4110</v>
      </c>
      <c r="F6466" t="s">
        <v>4075</v>
      </c>
    </row>
    <row r="6467" spans="1:6" x14ac:dyDescent="0.25">
      <c r="A6467">
        <v>5144</v>
      </c>
      <c r="B6467" t="s">
        <v>4092</v>
      </c>
      <c r="C6467">
        <v>34</v>
      </c>
      <c r="D6467" t="s">
        <v>4109</v>
      </c>
      <c r="E6467" t="s">
        <v>4110</v>
      </c>
      <c r="F6467" t="s">
        <v>4076</v>
      </c>
    </row>
    <row r="6468" spans="1:6" x14ac:dyDescent="0.25">
      <c r="A6468">
        <v>5145</v>
      </c>
      <c r="B6468" t="s">
        <v>4072</v>
      </c>
      <c r="C6468">
        <v>3</v>
      </c>
      <c r="D6468" t="s">
        <v>4085</v>
      </c>
      <c r="E6468" t="s">
        <v>4086</v>
      </c>
      <c r="F6468" t="s">
        <v>4075</v>
      </c>
    </row>
    <row r="6469" spans="1:6" x14ac:dyDescent="0.25">
      <c r="A6469">
        <v>5145</v>
      </c>
      <c r="B6469" t="s">
        <v>4072</v>
      </c>
      <c r="C6469">
        <v>15</v>
      </c>
      <c r="D6469" t="s">
        <v>4080</v>
      </c>
      <c r="E6469" t="s">
        <v>4081</v>
      </c>
      <c r="F6469" t="s">
        <v>4076</v>
      </c>
    </row>
    <row r="6470" spans="1:6" x14ac:dyDescent="0.25">
      <c r="A6470">
        <v>5146</v>
      </c>
      <c r="B6470" t="s">
        <v>4072</v>
      </c>
      <c r="C6470">
        <v>5</v>
      </c>
      <c r="D6470" t="s">
        <v>4087</v>
      </c>
      <c r="E6470" t="s">
        <v>4088</v>
      </c>
      <c r="F6470" t="s">
        <v>4075</v>
      </c>
    </row>
    <row r="6471" spans="1:6" x14ac:dyDescent="0.25">
      <c r="A6471">
        <v>5146</v>
      </c>
      <c r="B6471" t="s">
        <v>4072</v>
      </c>
      <c r="C6471">
        <v>15</v>
      </c>
      <c r="D6471" t="s">
        <v>4080</v>
      </c>
      <c r="E6471" t="s">
        <v>4081</v>
      </c>
      <c r="F6471" t="s">
        <v>4076</v>
      </c>
    </row>
    <row r="6472" spans="1:6" x14ac:dyDescent="0.25">
      <c r="A6472">
        <v>5147</v>
      </c>
      <c r="B6472" t="s">
        <v>4072</v>
      </c>
      <c r="C6472">
        <v>19</v>
      </c>
      <c r="D6472" t="s">
        <v>4073</v>
      </c>
      <c r="E6472" t="s">
        <v>4074</v>
      </c>
      <c r="F6472" t="s">
        <v>4076</v>
      </c>
    </row>
    <row r="6473" spans="1:6" x14ac:dyDescent="0.25">
      <c r="A6473">
        <v>5148</v>
      </c>
      <c r="B6473" t="s">
        <v>4072</v>
      </c>
      <c r="C6473">
        <v>2</v>
      </c>
      <c r="D6473" t="s">
        <v>4082</v>
      </c>
      <c r="E6473" t="s">
        <v>4083</v>
      </c>
      <c r="F6473" t="s">
        <v>4075</v>
      </c>
    </row>
    <row r="6474" spans="1:6" x14ac:dyDescent="0.25">
      <c r="A6474">
        <v>5148</v>
      </c>
      <c r="B6474" t="s">
        <v>4072</v>
      </c>
      <c r="C6474">
        <v>3</v>
      </c>
      <c r="D6474" t="s">
        <v>4085</v>
      </c>
      <c r="E6474" t="s">
        <v>4086</v>
      </c>
      <c r="F6474" t="s">
        <v>4075</v>
      </c>
    </row>
    <row r="6475" spans="1:6" x14ac:dyDescent="0.25">
      <c r="A6475">
        <v>5148</v>
      </c>
      <c r="B6475" t="s">
        <v>4072</v>
      </c>
      <c r="C6475">
        <v>15</v>
      </c>
      <c r="D6475" t="s">
        <v>4080</v>
      </c>
      <c r="E6475" t="s">
        <v>4081</v>
      </c>
      <c r="F6475" t="s">
        <v>4076</v>
      </c>
    </row>
    <row r="6476" spans="1:6" x14ac:dyDescent="0.25">
      <c r="A6476">
        <v>5148</v>
      </c>
      <c r="B6476" t="s">
        <v>4072</v>
      </c>
      <c r="C6476">
        <v>17</v>
      </c>
      <c r="D6476" t="s">
        <v>4082</v>
      </c>
      <c r="E6476" t="s">
        <v>4084</v>
      </c>
      <c r="F6476" t="s">
        <v>4076</v>
      </c>
    </row>
    <row r="6477" spans="1:6" x14ac:dyDescent="0.25">
      <c r="A6477">
        <v>5149</v>
      </c>
      <c r="B6477" t="s">
        <v>4072</v>
      </c>
      <c r="C6477">
        <v>5</v>
      </c>
      <c r="D6477" t="s">
        <v>4087</v>
      </c>
      <c r="E6477" t="s">
        <v>4088</v>
      </c>
      <c r="F6477" t="s">
        <v>4075</v>
      </c>
    </row>
    <row r="6478" spans="1:6" x14ac:dyDescent="0.25">
      <c r="A6478">
        <v>5150</v>
      </c>
      <c r="B6478" t="s">
        <v>4072</v>
      </c>
      <c r="C6478">
        <v>5</v>
      </c>
      <c r="D6478" t="s">
        <v>4087</v>
      </c>
      <c r="E6478" t="s">
        <v>4088</v>
      </c>
      <c r="F6478" t="s">
        <v>4075</v>
      </c>
    </row>
    <row r="6479" spans="1:6" x14ac:dyDescent="0.25">
      <c r="A6479">
        <v>5150</v>
      </c>
      <c r="B6479" t="s">
        <v>4072</v>
      </c>
      <c r="C6479">
        <v>15</v>
      </c>
      <c r="D6479" t="s">
        <v>4080</v>
      </c>
      <c r="E6479" t="s">
        <v>4081</v>
      </c>
      <c r="F6479" t="s">
        <v>4076</v>
      </c>
    </row>
    <row r="6480" spans="1:6" x14ac:dyDescent="0.25">
      <c r="A6480">
        <v>5152</v>
      </c>
      <c r="B6480" t="s">
        <v>4072</v>
      </c>
      <c r="C6480">
        <v>6</v>
      </c>
      <c r="D6480" t="s">
        <v>4073</v>
      </c>
      <c r="E6480" t="s">
        <v>4074</v>
      </c>
      <c r="F6480" t="s">
        <v>4075</v>
      </c>
    </row>
    <row r="6481" spans="1:6" x14ac:dyDescent="0.25">
      <c r="A6481">
        <v>5152</v>
      </c>
      <c r="B6481" t="s">
        <v>4072</v>
      </c>
      <c r="C6481">
        <v>19</v>
      </c>
      <c r="D6481" t="s">
        <v>4073</v>
      </c>
      <c r="E6481" t="s">
        <v>4074</v>
      </c>
      <c r="F6481" t="s">
        <v>4076</v>
      </c>
    </row>
    <row r="6482" spans="1:6" x14ac:dyDescent="0.25">
      <c r="A6482">
        <v>5153</v>
      </c>
      <c r="B6482" t="s">
        <v>4072</v>
      </c>
      <c r="C6482">
        <v>2</v>
      </c>
      <c r="D6482" t="s">
        <v>4082</v>
      </c>
      <c r="E6482" t="s">
        <v>4083</v>
      </c>
      <c r="F6482" t="s">
        <v>4075</v>
      </c>
    </row>
    <row r="6483" spans="1:6" x14ac:dyDescent="0.25">
      <c r="A6483">
        <v>5153</v>
      </c>
      <c r="B6483" t="s">
        <v>4072</v>
      </c>
      <c r="C6483">
        <v>17</v>
      </c>
      <c r="D6483" t="s">
        <v>4082</v>
      </c>
      <c r="E6483" t="s">
        <v>4084</v>
      </c>
      <c r="F6483" t="s">
        <v>4076</v>
      </c>
    </row>
    <row r="6484" spans="1:6" x14ac:dyDescent="0.25">
      <c r="A6484">
        <v>5154</v>
      </c>
      <c r="B6484" t="s">
        <v>4072</v>
      </c>
      <c r="C6484">
        <v>4</v>
      </c>
      <c r="D6484" t="s">
        <v>4077</v>
      </c>
      <c r="E6484" t="s">
        <v>4078</v>
      </c>
      <c r="F6484" t="s">
        <v>4075</v>
      </c>
    </row>
    <row r="6485" spans="1:6" x14ac:dyDescent="0.25">
      <c r="A6485">
        <v>5154</v>
      </c>
      <c r="B6485" t="s">
        <v>4072</v>
      </c>
      <c r="C6485">
        <v>16</v>
      </c>
      <c r="D6485" t="s">
        <v>4077</v>
      </c>
      <c r="E6485" t="s">
        <v>4078</v>
      </c>
      <c r="F6485" t="s">
        <v>4076</v>
      </c>
    </row>
    <row r="6486" spans="1:6" x14ac:dyDescent="0.25">
      <c r="A6486">
        <v>5155</v>
      </c>
      <c r="B6486" t="s">
        <v>4072</v>
      </c>
      <c r="C6486">
        <v>3</v>
      </c>
      <c r="D6486" t="s">
        <v>4085</v>
      </c>
      <c r="E6486" t="s">
        <v>4086</v>
      </c>
      <c r="F6486" t="s">
        <v>4075</v>
      </c>
    </row>
    <row r="6487" spans="1:6" x14ac:dyDescent="0.25">
      <c r="A6487">
        <v>5155</v>
      </c>
      <c r="B6487" t="s">
        <v>4072</v>
      </c>
      <c r="C6487">
        <v>15</v>
      </c>
      <c r="D6487" t="s">
        <v>4080</v>
      </c>
      <c r="E6487" t="s">
        <v>4081</v>
      </c>
      <c r="F6487" t="s">
        <v>4076</v>
      </c>
    </row>
    <row r="6488" spans="1:6" x14ac:dyDescent="0.25">
      <c r="A6488">
        <v>5156</v>
      </c>
      <c r="B6488" t="s">
        <v>4072</v>
      </c>
      <c r="C6488">
        <v>5</v>
      </c>
      <c r="D6488" t="s">
        <v>4087</v>
      </c>
      <c r="E6488" t="s">
        <v>4088</v>
      </c>
      <c r="F6488" t="s">
        <v>4075</v>
      </c>
    </row>
    <row r="6489" spans="1:6" x14ac:dyDescent="0.25">
      <c r="A6489">
        <v>5156</v>
      </c>
      <c r="B6489" t="s">
        <v>4072</v>
      </c>
      <c r="C6489">
        <v>15</v>
      </c>
      <c r="D6489" t="s">
        <v>4080</v>
      </c>
      <c r="E6489" t="s">
        <v>4081</v>
      </c>
      <c r="F6489" t="s">
        <v>4076</v>
      </c>
    </row>
    <row r="6490" spans="1:6" x14ac:dyDescent="0.25">
      <c r="A6490">
        <v>5157</v>
      </c>
      <c r="B6490" t="s">
        <v>4072</v>
      </c>
      <c r="C6490">
        <v>6</v>
      </c>
      <c r="D6490" t="s">
        <v>4073</v>
      </c>
      <c r="E6490" t="s">
        <v>4074</v>
      </c>
      <c r="F6490" t="s">
        <v>4075</v>
      </c>
    </row>
    <row r="6491" spans="1:6" x14ac:dyDescent="0.25">
      <c r="A6491">
        <v>5157</v>
      </c>
      <c r="B6491" t="s">
        <v>4072</v>
      </c>
      <c r="C6491">
        <v>19</v>
      </c>
      <c r="D6491" t="s">
        <v>4073</v>
      </c>
      <c r="E6491" t="s">
        <v>4074</v>
      </c>
      <c r="F6491" t="s">
        <v>4076</v>
      </c>
    </row>
    <row r="6492" spans="1:6" x14ac:dyDescent="0.25">
      <c r="A6492">
        <v>5158</v>
      </c>
      <c r="B6492" t="s">
        <v>4092</v>
      </c>
      <c r="C6492">
        <v>23</v>
      </c>
      <c r="D6492" t="s">
        <v>2757</v>
      </c>
      <c r="E6492" t="s">
        <v>4093</v>
      </c>
      <c r="F6492" t="s">
        <v>4075</v>
      </c>
    </row>
    <row r="6493" spans="1:6" x14ac:dyDescent="0.25">
      <c r="A6493">
        <v>5158</v>
      </c>
      <c r="B6493" t="s">
        <v>4092</v>
      </c>
      <c r="C6493">
        <v>28</v>
      </c>
      <c r="D6493" t="s">
        <v>2757</v>
      </c>
      <c r="E6493" t="s">
        <v>4093</v>
      </c>
      <c r="F6493" t="s">
        <v>4076</v>
      </c>
    </row>
    <row r="6494" spans="1:6" x14ac:dyDescent="0.25">
      <c r="A6494">
        <v>5159</v>
      </c>
      <c r="B6494" t="s">
        <v>4092</v>
      </c>
      <c r="C6494">
        <v>33</v>
      </c>
      <c r="D6494" t="s">
        <v>4109</v>
      </c>
      <c r="E6494" t="s">
        <v>4110</v>
      </c>
      <c r="F6494" t="s">
        <v>4075</v>
      </c>
    </row>
    <row r="6495" spans="1:6" x14ac:dyDescent="0.25">
      <c r="A6495">
        <v>5159</v>
      </c>
      <c r="B6495" t="s">
        <v>4092</v>
      </c>
      <c r="C6495">
        <v>34</v>
      </c>
      <c r="D6495" t="s">
        <v>4109</v>
      </c>
      <c r="E6495" t="s">
        <v>4110</v>
      </c>
      <c r="F6495" t="s">
        <v>4076</v>
      </c>
    </row>
    <row r="6496" spans="1:6" x14ac:dyDescent="0.25">
      <c r="A6496">
        <v>5160</v>
      </c>
      <c r="B6496" t="s">
        <v>4092</v>
      </c>
      <c r="C6496">
        <v>24</v>
      </c>
      <c r="D6496" t="s">
        <v>2760</v>
      </c>
      <c r="E6496" t="s">
        <v>4108</v>
      </c>
      <c r="F6496" t="s">
        <v>4075</v>
      </c>
    </row>
    <row r="6497" spans="1:6" x14ac:dyDescent="0.25">
      <c r="A6497">
        <v>5161</v>
      </c>
      <c r="B6497" t="s">
        <v>4092</v>
      </c>
      <c r="C6497">
        <v>24</v>
      </c>
      <c r="D6497" t="s">
        <v>2760</v>
      </c>
      <c r="E6497" t="s">
        <v>4108</v>
      </c>
      <c r="F6497" t="s">
        <v>4075</v>
      </c>
    </row>
    <row r="6498" spans="1:6" x14ac:dyDescent="0.25">
      <c r="A6498">
        <v>5161</v>
      </c>
      <c r="B6498" t="s">
        <v>4092</v>
      </c>
      <c r="C6498">
        <v>29</v>
      </c>
      <c r="D6498" t="s">
        <v>2760</v>
      </c>
      <c r="E6498" t="s">
        <v>4108</v>
      </c>
      <c r="F6498" t="s">
        <v>4076</v>
      </c>
    </row>
    <row r="6499" spans="1:6" x14ac:dyDescent="0.25">
      <c r="A6499">
        <v>5162</v>
      </c>
      <c r="B6499" t="s">
        <v>4092</v>
      </c>
      <c r="C6499">
        <v>23</v>
      </c>
      <c r="D6499" t="s">
        <v>2757</v>
      </c>
      <c r="E6499" t="s">
        <v>4093</v>
      </c>
      <c r="F6499" t="s">
        <v>4075</v>
      </c>
    </row>
    <row r="6500" spans="1:6" x14ac:dyDescent="0.25">
      <c r="A6500">
        <v>5162</v>
      </c>
      <c r="B6500" t="s">
        <v>4092</v>
      </c>
      <c r="C6500">
        <v>28</v>
      </c>
      <c r="D6500" t="s">
        <v>2757</v>
      </c>
      <c r="E6500" t="s">
        <v>4093</v>
      </c>
      <c r="F6500" t="s">
        <v>4076</v>
      </c>
    </row>
    <row r="6501" spans="1:6" x14ac:dyDescent="0.25">
      <c r="A6501">
        <v>5163</v>
      </c>
      <c r="B6501" t="s">
        <v>4092</v>
      </c>
      <c r="C6501">
        <v>23</v>
      </c>
      <c r="D6501" t="s">
        <v>2757</v>
      </c>
      <c r="E6501" t="s">
        <v>4093</v>
      </c>
      <c r="F6501" t="s">
        <v>4075</v>
      </c>
    </row>
    <row r="6502" spans="1:6" x14ac:dyDescent="0.25">
      <c r="A6502">
        <v>5163</v>
      </c>
      <c r="B6502" t="s">
        <v>4092</v>
      </c>
      <c r="C6502">
        <v>28</v>
      </c>
      <c r="D6502" t="s">
        <v>2757</v>
      </c>
      <c r="E6502" t="s">
        <v>4093</v>
      </c>
      <c r="F6502" t="s">
        <v>4076</v>
      </c>
    </row>
    <row r="6503" spans="1:6" x14ac:dyDescent="0.25">
      <c r="A6503">
        <v>5164</v>
      </c>
      <c r="B6503" t="s">
        <v>4092</v>
      </c>
      <c r="C6503">
        <v>33</v>
      </c>
      <c r="D6503" t="s">
        <v>4109</v>
      </c>
      <c r="E6503" t="s">
        <v>4110</v>
      </c>
      <c r="F6503" t="s">
        <v>4075</v>
      </c>
    </row>
    <row r="6504" spans="1:6" x14ac:dyDescent="0.25">
      <c r="A6504">
        <v>5164</v>
      </c>
      <c r="B6504" t="s">
        <v>4092</v>
      </c>
      <c r="C6504">
        <v>34</v>
      </c>
      <c r="D6504" t="s">
        <v>4109</v>
      </c>
      <c r="E6504" t="s">
        <v>4110</v>
      </c>
      <c r="F6504" t="s">
        <v>4076</v>
      </c>
    </row>
    <row r="6505" spans="1:6" x14ac:dyDescent="0.25">
      <c r="A6505">
        <v>5165</v>
      </c>
      <c r="B6505" t="s">
        <v>4092</v>
      </c>
      <c r="C6505">
        <v>33</v>
      </c>
      <c r="D6505" t="s">
        <v>4109</v>
      </c>
      <c r="E6505" t="s">
        <v>4110</v>
      </c>
      <c r="F6505" t="s">
        <v>4075</v>
      </c>
    </row>
    <row r="6506" spans="1:6" x14ac:dyDescent="0.25">
      <c r="A6506">
        <v>5165</v>
      </c>
      <c r="B6506" t="s">
        <v>4092</v>
      </c>
      <c r="C6506">
        <v>34</v>
      </c>
      <c r="D6506" t="s">
        <v>4109</v>
      </c>
      <c r="E6506" t="s">
        <v>4110</v>
      </c>
      <c r="F6506" t="s">
        <v>4076</v>
      </c>
    </row>
    <row r="6507" spans="1:6" x14ac:dyDescent="0.25">
      <c r="A6507">
        <v>5166</v>
      </c>
      <c r="B6507" t="s">
        <v>4092</v>
      </c>
      <c r="C6507">
        <v>33</v>
      </c>
      <c r="D6507" t="s">
        <v>4109</v>
      </c>
      <c r="E6507" t="s">
        <v>4110</v>
      </c>
      <c r="F6507" t="s">
        <v>4075</v>
      </c>
    </row>
    <row r="6508" spans="1:6" x14ac:dyDescent="0.25">
      <c r="A6508">
        <v>5166</v>
      </c>
      <c r="B6508" t="s">
        <v>4092</v>
      </c>
      <c r="C6508">
        <v>34</v>
      </c>
      <c r="D6508" t="s">
        <v>4109</v>
      </c>
      <c r="E6508" t="s">
        <v>4110</v>
      </c>
      <c r="F6508" t="s">
        <v>4076</v>
      </c>
    </row>
    <row r="6509" spans="1:6" x14ac:dyDescent="0.25">
      <c r="A6509">
        <v>5167</v>
      </c>
      <c r="B6509" t="s">
        <v>4072</v>
      </c>
      <c r="C6509">
        <v>6</v>
      </c>
      <c r="D6509" t="s">
        <v>4073</v>
      </c>
      <c r="E6509" t="s">
        <v>4074</v>
      </c>
      <c r="F6509" t="s">
        <v>4075</v>
      </c>
    </row>
    <row r="6510" spans="1:6" x14ac:dyDescent="0.25">
      <c r="A6510">
        <v>5167</v>
      </c>
      <c r="B6510" t="s">
        <v>4072</v>
      </c>
      <c r="C6510">
        <v>19</v>
      </c>
      <c r="D6510" t="s">
        <v>4073</v>
      </c>
      <c r="E6510" t="s">
        <v>4074</v>
      </c>
      <c r="F6510" t="s">
        <v>4076</v>
      </c>
    </row>
    <row r="6511" spans="1:6" x14ac:dyDescent="0.25">
      <c r="A6511">
        <v>5168</v>
      </c>
      <c r="B6511" t="s">
        <v>4072</v>
      </c>
      <c r="C6511">
        <v>2</v>
      </c>
      <c r="D6511" t="s">
        <v>4082</v>
      </c>
      <c r="E6511" t="s">
        <v>4083</v>
      </c>
      <c r="F6511" t="s">
        <v>4075</v>
      </c>
    </row>
    <row r="6512" spans="1:6" x14ac:dyDescent="0.25">
      <c r="A6512">
        <v>5168</v>
      </c>
      <c r="B6512" t="s">
        <v>4072</v>
      </c>
      <c r="C6512">
        <v>17</v>
      </c>
      <c r="D6512" t="s">
        <v>4082</v>
      </c>
      <c r="E6512" t="s">
        <v>4084</v>
      </c>
      <c r="F6512" t="s">
        <v>4076</v>
      </c>
    </row>
    <row r="6513" spans="1:6" x14ac:dyDescent="0.25">
      <c r="A6513">
        <v>5169</v>
      </c>
      <c r="B6513" t="s">
        <v>4072</v>
      </c>
      <c r="C6513">
        <v>2</v>
      </c>
      <c r="D6513" t="s">
        <v>4082</v>
      </c>
      <c r="E6513" t="s">
        <v>4083</v>
      </c>
      <c r="F6513" t="s">
        <v>4075</v>
      </c>
    </row>
    <row r="6514" spans="1:6" x14ac:dyDescent="0.25">
      <c r="A6514">
        <v>5169</v>
      </c>
      <c r="B6514" t="s">
        <v>4072</v>
      </c>
      <c r="C6514">
        <v>17</v>
      </c>
      <c r="D6514" t="s">
        <v>4082</v>
      </c>
      <c r="E6514" t="s">
        <v>4084</v>
      </c>
      <c r="F6514" t="s">
        <v>4076</v>
      </c>
    </row>
    <row r="6515" spans="1:6" x14ac:dyDescent="0.25">
      <c r="A6515">
        <v>5170</v>
      </c>
      <c r="B6515" t="s">
        <v>4072</v>
      </c>
      <c r="C6515">
        <v>4</v>
      </c>
      <c r="D6515" t="s">
        <v>4077</v>
      </c>
      <c r="E6515" t="s">
        <v>4078</v>
      </c>
      <c r="F6515" t="s">
        <v>4075</v>
      </c>
    </row>
    <row r="6516" spans="1:6" x14ac:dyDescent="0.25">
      <c r="A6516">
        <v>5170</v>
      </c>
      <c r="B6516" t="s">
        <v>4072</v>
      </c>
      <c r="C6516">
        <v>16</v>
      </c>
      <c r="D6516" t="s">
        <v>4077</v>
      </c>
      <c r="E6516" t="s">
        <v>4078</v>
      </c>
      <c r="F6516" t="s">
        <v>4076</v>
      </c>
    </row>
    <row r="6517" spans="1:6" x14ac:dyDescent="0.25">
      <c r="A6517">
        <v>5171</v>
      </c>
      <c r="B6517" t="s">
        <v>4072</v>
      </c>
      <c r="C6517">
        <v>4</v>
      </c>
      <c r="D6517" t="s">
        <v>4077</v>
      </c>
      <c r="E6517" t="s">
        <v>4078</v>
      </c>
      <c r="F6517" t="s">
        <v>4075</v>
      </c>
    </row>
    <row r="6518" spans="1:6" x14ac:dyDescent="0.25">
      <c r="A6518">
        <v>5171</v>
      </c>
      <c r="B6518" t="s">
        <v>4072</v>
      </c>
      <c r="C6518">
        <v>16</v>
      </c>
      <c r="D6518" t="s">
        <v>4077</v>
      </c>
      <c r="E6518" t="s">
        <v>4078</v>
      </c>
      <c r="F6518" t="s">
        <v>4076</v>
      </c>
    </row>
    <row r="6519" spans="1:6" x14ac:dyDescent="0.25">
      <c r="A6519">
        <v>5172</v>
      </c>
      <c r="B6519" t="s">
        <v>4072</v>
      </c>
      <c r="C6519">
        <v>5</v>
      </c>
      <c r="D6519" t="s">
        <v>4087</v>
      </c>
      <c r="E6519" t="s">
        <v>4088</v>
      </c>
      <c r="F6519" t="s">
        <v>4075</v>
      </c>
    </row>
    <row r="6520" spans="1:6" x14ac:dyDescent="0.25">
      <c r="A6520">
        <v>5172</v>
      </c>
      <c r="B6520" t="s">
        <v>4072</v>
      </c>
      <c r="C6520">
        <v>15</v>
      </c>
      <c r="D6520" t="s">
        <v>4080</v>
      </c>
      <c r="E6520" t="s">
        <v>4081</v>
      </c>
      <c r="F6520" t="s">
        <v>4076</v>
      </c>
    </row>
    <row r="6521" spans="1:6" x14ac:dyDescent="0.25">
      <c r="A6521">
        <v>5173</v>
      </c>
      <c r="B6521" t="s">
        <v>4072</v>
      </c>
      <c r="C6521">
        <v>19</v>
      </c>
      <c r="D6521" t="s">
        <v>4073</v>
      </c>
      <c r="E6521" t="s">
        <v>4074</v>
      </c>
      <c r="F6521" t="s">
        <v>4076</v>
      </c>
    </row>
    <row r="6522" spans="1:6" x14ac:dyDescent="0.25">
      <c r="A6522">
        <v>5174</v>
      </c>
      <c r="B6522" t="s">
        <v>4072</v>
      </c>
      <c r="C6522">
        <v>4</v>
      </c>
      <c r="D6522" t="s">
        <v>4077</v>
      </c>
      <c r="E6522" t="s">
        <v>4078</v>
      </c>
      <c r="F6522" t="s">
        <v>4075</v>
      </c>
    </row>
    <row r="6523" spans="1:6" x14ac:dyDescent="0.25">
      <c r="A6523">
        <v>5174</v>
      </c>
      <c r="B6523" t="s">
        <v>4072</v>
      </c>
      <c r="C6523">
        <v>16</v>
      </c>
      <c r="D6523" t="s">
        <v>4077</v>
      </c>
      <c r="E6523" t="s">
        <v>4078</v>
      </c>
      <c r="F6523" t="s">
        <v>4076</v>
      </c>
    </row>
    <row r="6524" spans="1:6" x14ac:dyDescent="0.25">
      <c r="A6524">
        <v>5181</v>
      </c>
      <c r="B6524" t="s">
        <v>4092</v>
      </c>
      <c r="C6524">
        <v>24</v>
      </c>
      <c r="D6524" t="s">
        <v>2760</v>
      </c>
      <c r="E6524" t="s">
        <v>4108</v>
      </c>
      <c r="F6524" t="s">
        <v>4075</v>
      </c>
    </row>
    <row r="6525" spans="1:6" x14ac:dyDescent="0.25">
      <c r="A6525">
        <v>5181</v>
      </c>
      <c r="B6525" t="s">
        <v>4092</v>
      </c>
      <c r="C6525">
        <v>29</v>
      </c>
      <c r="D6525" t="s">
        <v>2760</v>
      </c>
      <c r="E6525" t="s">
        <v>4108</v>
      </c>
      <c r="F6525" t="s">
        <v>4076</v>
      </c>
    </row>
    <row r="6526" spans="1:6" x14ac:dyDescent="0.25">
      <c r="A6526">
        <v>5182</v>
      </c>
      <c r="B6526" t="s">
        <v>4072</v>
      </c>
      <c r="C6526">
        <v>1</v>
      </c>
      <c r="D6526" t="s">
        <v>2761</v>
      </c>
      <c r="E6526" t="s">
        <v>4089</v>
      </c>
      <c r="F6526" t="s">
        <v>4075</v>
      </c>
    </row>
    <row r="6527" spans="1:6" x14ac:dyDescent="0.25">
      <c r="A6527">
        <v>5182</v>
      </c>
      <c r="B6527" t="s">
        <v>4072</v>
      </c>
      <c r="C6527">
        <v>38</v>
      </c>
      <c r="D6527" t="s">
        <v>2761</v>
      </c>
      <c r="E6527" t="s">
        <v>4089</v>
      </c>
      <c r="F6527" t="s">
        <v>4076</v>
      </c>
    </row>
    <row r="6528" spans="1:6" x14ac:dyDescent="0.25">
      <c r="A6528">
        <v>5183</v>
      </c>
      <c r="B6528" t="s">
        <v>4072</v>
      </c>
      <c r="C6528">
        <v>6</v>
      </c>
      <c r="D6528" t="s">
        <v>4073</v>
      </c>
      <c r="E6528" t="s">
        <v>4074</v>
      </c>
      <c r="F6528" t="s">
        <v>4075</v>
      </c>
    </row>
    <row r="6529" spans="1:6" x14ac:dyDescent="0.25">
      <c r="A6529">
        <v>5183</v>
      </c>
      <c r="B6529" t="s">
        <v>4072</v>
      </c>
      <c r="C6529">
        <v>19</v>
      </c>
      <c r="D6529" t="s">
        <v>4073</v>
      </c>
      <c r="E6529" t="s">
        <v>4074</v>
      </c>
      <c r="F6529" t="s">
        <v>4076</v>
      </c>
    </row>
    <row r="6530" spans="1:6" x14ac:dyDescent="0.25">
      <c r="A6530">
        <v>5184</v>
      </c>
      <c r="B6530" t="s">
        <v>4072</v>
      </c>
      <c r="C6530">
        <v>6</v>
      </c>
      <c r="D6530" t="s">
        <v>4073</v>
      </c>
      <c r="E6530" t="s">
        <v>4074</v>
      </c>
      <c r="F6530" t="s">
        <v>4075</v>
      </c>
    </row>
    <row r="6531" spans="1:6" x14ac:dyDescent="0.25">
      <c r="A6531">
        <v>5184</v>
      </c>
      <c r="B6531" t="s">
        <v>4072</v>
      </c>
      <c r="C6531">
        <v>19</v>
      </c>
      <c r="D6531" t="s">
        <v>4073</v>
      </c>
      <c r="E6531" t="s">
        <v>4074</v>
      </c>
      <c r="F6531" t="s">
        <v>4076</v>
      </c>
    </row>
    <row r="6532" spans="1:6" x14ac:dyDescent="0.25">
      <c r="A6532">
        <v>5185</v>
      </c>
      <c r="B6532" t="s">
        <v>4072</v>
      </c>
      <c r="C6532">
        <v>6</v>
      </c>
      <c r="D6532" t="s">
        <v>4073</v>
      </c>
      <c r="E6532" t="s">
        <v>4074</v>
      </c>
      <c r="F6532" t="s">
        <v>4075</v>
      </c>
    </row>
    <row r="6533" spans="1:6" x14ac:dyDescent="0.25">
      <c r="A6533">
        <v>5185</v>
      </c>
      <c r="B6533" t="s">
        <v>4072</v>
      </c>
      <c r="C6533">
        <v>19</v>
      </c>
      <c r="D6533" t="s">
        <v>4073</v>
      </c>
      <c r="E6533" t="s">
        <v>4074</v>
      </c>
      <c r="F6533" t="s">
        <v>4076</v>
      </c>
    </row>
    <row r="6534" spans="1:6" x14ac:dyDescent="0.25">
      <c r="A6534">
        <v>5186</v>
      </c>
      <c r="B6534" t="s">
        <v>4072</v>
      </c>
      <c r="C6534">
        <v>6</v>
      </c>
      <c r="D6534" t="s">
        <v>4073</v>
      </c>
      <c r="E6534" t="s">
        <v>4074</v>
      </c>
      <c r="F6534" t="s">
        <v>4075</v>
      </c>
    </row>
    <row r="6535" spans="1:6" x14ac:dyDescent="0.25">
      <c r="A6535">
        <v>5186</v>
      </c>
      <c r="B6535" t="s">
        <v>4072</v>
      </c>
      <c r="C6535">
        <v>19</v>
      </c>
      <c r="D6535" t="s">
        <v>4073</v>
      </c>
      <c r="E6535" t="s">
        <v>4074</v>
      </c>
      <c r="F6535" t="s">
        <v>4076</v>
      </c>
    </row>
    <row r="6536" spans="1:6" x14ac:dyDescent="0.25">
      <c r="A6536">
        <v>5187</v>
      </c>
      <c r="B6536" t="s">
        <v>4072</v>
      </c>
      <c r="C6536">
        <v>6</v>
      </c>
      <c r="D6536" t="s">
        <v>4073</v>
      </c>
      <c r="E6536" t="s">
        <v>4074</v>
      </c>
      <c r="F6536" t="s">
        <v>4075</v>
      </c>
    </row>
    <row r="6537" spans="1:6" x14ac:dyDescent="0.25">
      <c r="A6537">
        <v>5187</v>
      </c>
      <c r="B6537" t="s">
        <v>4072</v>
      </c>
      <c r="C6537">
        <v>19</v>
      </c>
      <c r="D6537" t="s">
        <v>4073</v>
      </c>
      <c r="E6537" t="s">
        <v>4074</v>
      </c>
      <c r="F6537" t="s">
        <v>4076</v>
      </c>
    </row>
    <row r="6538" spans="1:6" x14ac:dyDescent="0.25">
      <c r="A6538">
        <v>5188</v>
      </c>
      <c r="B6538" t="s">
        <v>4072</v>
      </c>
      <c r="C6538">
        <v>6</v>
      </c>
      <c r="D6538" t="s">
        <v>4073</v>
      </c>
      <c r="E6538" t="s">
        <v>4074</v>
      </c>
      <c r="F6538" t="s">
        <v>4075</v>
      </c>
    </row>
    <row r="6539" spans="1:6" x14ac:dyDescent="0.25">
      <c r="A6539">
        <v>5188</v>
      </c>
      <c r="B6539" t="s">
        <v>4072</v>
      </c>
      <c r="C6539">
        <v>19</v>
      </c>
      <c r="D6539" t="s">
        <v>4073</v>
      </c>
      <c r="E6539" t="s">
        <v>4074</v>
      </c>
      <c r="F6539" t="s">
        <v>4076</v>
      </c>
    </row>
    <row r="6540" spans="1:6" x14ac:dyDescent="0.25">
      <c r="A6540">
        <v>5189</v>
      </c>
      <c r="B6540" t="s">
        <v>4072</v>
      </c>
      <c r="C6540">
        <v>19</v>
      </c>
      <c r="D6540" t="s">
        <v>4073</v>
      </c>
      <c r="E6540" t="s">
        <v>4074</v>
      </c>
      <c r="F6540" t="s">
        <v>4076</v>
      </c>
    </row>
    <row r="6541" spans="1:6" x14ac:dyDescent="0.25">
      <c r="A6541">
        <v>5190</v>
      </c>
      <c r="B6541" t="s">
        <v>4072</v>
      </c>
      <c r="C6541">
        <v>6</v>
      </c>
      <c r="D6541" t="s">
        <v>4073</v>
      </c>
      <c r="E6541" t="s">
        <v>4074</v>
      </c>
      <c r="F6541" t="s">
        <v>4075</v>
      </c>
    </row>
    <row r="6542" spans="1:6" x14ac:dyDescent="0.25">
      <c r="A6542">
        <v>5190</v>
      </c>
      <c r="B6542" t="s">
        <v>4072</v>
      </c>
      <c r="C6542">
        <v>19</v>
      </c>
      <c r="D6542" t="s">
        <v>4073</v>
      </c>
      <c r="E6542" t="s">
        <v>4074</v>
      </c>
      <c r="F6542" t="s">
        <v>4076</v>
      </c>
    </row>
    <row r="6543" spans="1:6" x14ac:dyDescent="0.25">
      <c r="A6543">
        <v>5191</v>
      </c>
      <c r="B6543" t="s">
        <v>4072</v>
      </c>
      <c r="C6543">
        <v>5</v>
      </c>
      <c r="D6543" t="s">
        <v>4087</v>
      </c>
      <c r="E6543" t="s">
        <v>4088</v>
      </c>
      <c r="F6543" t="s">
        <v>4075</v>
      </c>
    </row>
    <row r="6544" spans="1:6" x14ac:dyDescent="0.25">
      <c r="A6544">
        <v>5191</v>
      </c>
      <c r="B6544" t="s">
        <v>4072</v>
      </c>
      <c r="C6544">
        <v>15</v>
      </c>
      <c r="D6544" t="s">
        <v>4080</v>
      </c>
      <c r="E6544" t="s">
        <v>4081</v>
      </c>
      <c r="F6544" t="s">
        <v>4076</v>
      </c>
    </row>
    <row r="6545" spans="1:6" x14ac:dyDescent="0.25">
      <c r="A6545">
        <v>5192</v>
      </c>
      <c r="B6545" t="s">
        <v>4072</v>
      </c>
      <c r="C6545">
        <v>6</v>
      </c>
      <c r="D6545" t="s">
        <v>4073</v>
      </c>
      <c r="E6545" t="s">
        <v>4074</v>
      </c>
      <c r="F6545" t="s">
        <v>4075</v>
      </c>
    </row>
    <row r="6546" spans="1:6" x14ac:dyDescent="0.25">
      <c r="A6546">
        <v>5192</v>
      </c>
      <c r="B6546" t="s">
        <v>4072</v>
      </c>
      <c r="C6546">
        <v>19</v>
      </c>
      <c r="D6546" t="s">
        <v>4073</v>
      </c>
      <c r="E6546" t="s">
        <v>4074</v>
      </c>
      <c r="F6546" t="s">
        <v>4076</v>
      </c>
    </row>
    <row r="6547" spans="1:6" x14ac:dyDescent="0.25">
      <c r="A6547">
        <v>5193</v>
      </c>
      <c r="B6547" t="s">
        <v>4072</v>
      </c>
      <c r="C6547">
        <v>6</v>
      </c>
      <c r="D6547" t="s">
        <v>4073</v>
      </c>
      <c r="E6547" t="s">
        <v>4074</v>
      </c>
      <c r="F6547" t="s">
        <v>4075</v>
      </c>
    </row>
    <row r="6548" spans="1:6" x14ac:dyDescent="0.25">
      <c r="A6548">
        <v>5194</v>
      </c>
      <c r="B6548" t="s">
        <v>4092</v>
      </c>
      <c r="C6548">
        <v>33</v>
      </c>
      <c r="D6548" t="s">
        <v>4109</v>
      </c>
      <c r="E6548" t="s">
        <v>4110</v>
      </c>
      <c r="F6548" t="s">
        <v>4075</v>
      </c>
    </row>
    <row r="6549" spans="1:6" x14ac:dyDescent="0.25">
      <c r="A6549">
        <v>5194</v>
      </c>
      <c r="B6549" t="s">
        <v>4092</v>
      </c>
      <c r="C6549">
        <v>34</v>
      </c>
      <c r="D6549" t="s">
        <v>4109</v>
      </c>
      <c r="E6549" t="s">
        <v>4110</v>
      </c>
      <c r="F6549" t="s">
        <v>4076</v>
      </c>
    </row>
    <row r="6550" spans="1:6" x14ac:dyDescent="0.25">
      <c r="A6550">
        <v>5195</v>
      </c>
      <c r="B6550" t="s">
        <v>4072</v>
      </c>
      <c r="C6550">
        <v>6</v>
      </c>
      <c r="D6550" t="s">
        <v>4073</v>
      </c>
      <c r="E6550" t="s">
        <v>4074</v>
      </c>
      <c r="F6550" t="s">
        <v>4075</v>
      </c>
    </row>
    <row r="6551" spans="1:6" x14ac:dyDescent="0.25">
      <c r="A6551">
        <v>5195</v>
      </c>
      <c r="B6551" t="s">
        <v>4072</v>
      </c>
      <c r="C6551">
        <v>19</v>
      </c>
      <c r="D6551" t="s">
        <v>4073</v>
      </c>
      <c r="E6551" t="s">
        <v>4074</v>
      </c>
      <c r="F6551" t="s">
        <v>4076</v>
      </c>
    </row>
    <row r="6552" spans="1:6" x14ac:dyDescent="0.25">
      <c r="A6552">
        <v>5196</v>
      </c>
      <c r="B6552" t="s">
        <v>4072</v>
      </c>
      <c r="C6552">
        <v>19</v>
      </c>
      <c r="D6552" t="s">
        <v>4073</v>
      </c>
      <c r="E6552" t="s">
        <v>4074</v>
      </c>
      <c r="F6552" t="s">
        <v>4076</v>
      </c>
    </row>
    <row r="6553" spans="1:6" x14ac:dyDescent="0.25">
      <c r="A6553">
        <v>5197</v>
      </c>
      <c r="B6553" t="s">
        <v>4092</v>
      </c>
      <c r="C6553">
        <v>24</v>
      </c>
      <c r="D6553" t="s">
        <v>2760</v>
      </c>
      <c r="E6553" t="s">
        <v>4108</v>
      </c>
      <c r="F6553" t="s">
        <v>4075</v>
      </c>
    </row>
    <row r="6554" spans="1:6" x14ac:dyDescent="0.25">
      <c r="A6554">
        <v>5197</v>
      </c>
      <c r="B6554" t="s">
        <v>4092</v>
      </c>
      <c r="C6554">
        <v>29</v>
      </c>
      <c r="D6554" t="s">
        <v>2760</v>
      </c>
      <c r="E6554" t="s">
        <v>4108</v>
      </c>
      <c r="F6554" t="s">
        <v>4076</v>
      </c>
    </row>
    <row r="6555" spans="1:6" x14ac:dyDescent="0.25">
      <c r="A6555">
        <v>5198</v>
      </c>
      <c r="B6555" t="s">
        <v>4092</v>
      </c>
      <c r="C6555">
        <v>24</v>
      </c>
      <c r="D6555" t="s">
        <v>2760</v>
      </c>
      <c r="E6555" t="s">
        <v>4108</v>
      </c>
      <c r="F6555" t="s">
        <v>4075</v>
      </c>
    </row>
    <row r="6556" spans="1:6" x14ac:dyDescent="0.25">
      <c r="A6556">
        <v>5198</v>
      </c>
      <c r="B6556" t="s">
        <v>4092</v>
      </c>
      <c r="C6556">
        <v>29</v>
      </c>
      <c r="D6556" t="s">
        <v>2760</v>
      </c>
      <c r="E6556" t="s">
        <v>4108</v>
      </c>
      <c r="F6556" t="s">
        <v>4076</v>
      </c>
    </row>
    <row r="6557" spans="1:6" x14ac:dyDescent="0.25">
      <c r="A6557">
        <v>5199</v>
      </c>
      <c r="B6557" t="s">
        <v>4072</v>
      </c>
      <c r="C6557">
        <v>19</v>
      </c>
      <c r="D6557" t="s">
        <v>4073</v>
      </c>
      <c r="E6557" t="s">
        <v>4074</v>
      </c>
      <c r="F6557" t="s">
        <v>4076</v>
      </c>
    </row>
    <row r="6558" spans="1:6" x14ac:dyDescent="0.25">
      <c r="A6558">
        <v>5203</v>
      </c>
      <c r="B6558" t="s">
        <v>4072</v>
      </c>
      <c r="C6558">
        <v>2</v>
      </c>
      <c r="D6558" t="s">
        <v>4082</v>
      </c>
      <c r="E6558" t="s">
        <v>4083</v>
      </c>
      <c r="F6558" t="s">
        <v>4075</v>
      </c>
    </row>
    <row r="6559" spans="1:6" x14ac:dyDescent="0.25">
      <c r="A6559">
        <v>5203</v>
      </c>
      <c r="B6559" t="s">
        <v>4072</v>
      </c>
      <c r="C6559">
        <v>4</v>
      </c>
      <c r="D6559" t="s">
        <v>4077</v>
      </c>
      <c r="E6559" t="s">
        <v>4078</v>
      </c>
      <c r="F6559" t="s">
        <v>4075</v>
      </c>
    </row>
    <row r="6560" spans="1:6" x14ac:dyDescent="0.25">
      <c r="A6560">
        <v>5203</v>
      </c>
      <c r="B6560" t="s">
        <v>4072</v>
      </c>
      <c r="C6560">
        <v>5</v>
      </c>
      <c r="D6560" t="s">
        <v>4087</v>
      </c>
      <c r="E6560" t="s">
        <v>4088</v>
      </c>
      <c r="F6560" t="s">
        <v>4075</v>
      </c>
    </row>
    <row r="6561" spans="1:6" x14ac:dyDescent="0.25">
      <c r="A6561">
        <v>5203</v>
      </c>
      <c r="B6561" t="s">
        <v>4072</v>
      </c>
      <c r="C6561">
        <v>15</v>
      </c>
      <c r="D6561" t="s">
        <v>4080</v>
      </c>
      <c r="E6561" t="s">
        <v>4081</v>
      </c>
      <c r="F6561" t="s">
        <v>4076</v>
      </c>
    </row>
    <row r="6562" spans="1:6" x14ac:dyDescent="0.25">
      <c r="A6562">
        <v>5203</v>
      </c>
      <c r="B6562" t="s">
        <v>4072</v>
      </c>
      <c r="C6562">
        <v>16</v>
      </c>
      <c r="D6562" t="s">
        <v>4077</v>
      </c>
      <c r="E6562" t="s">
        <v>4078</v>
      </c>
      <c r="F6562" t="s">
        <v>4076</v>
      </c>
    </row>
    <row r="6563" spans="1:6" x14ac:dyDescent="0.25">
      <c r="A6563">
        <v>5203</v>
      </c>
      <c r="B6563" t="s">
        <v>4072</v>
      </c>
      <c r="C6563">
        <v>17</v>
      </c>
      <c r="D6563" t="s">
        <v>4082</v>
      </c>
      <c r="E6563" t="s">
        <v>4084</v>
      </c>
      <c r="F6563" t="s">
        <v>4076</v>
      </c>
    </row>
    <row r="6564" spans="1:6" x14ac:dyDescent="0.25">
      <c r="A6564">
        <v>5204</v>
      </c>
      <c r="B6564" t="s">
        <v>4072</v>
      </c>
      <c r="C6564">
        <v>6</v>
      </c>
      <c r="D6564" t="s">
        <v>4073</v>
      </c>
      <c r="E6564" t="s">
        <v>4074</v>
      </c>
      <c r="F6564" t="s">
        <v>4075</v>
      </c>
    </row>
    <row r="6565" spans="1:6" x14ac:dyDescent="0.25">
      <c r="A6565">
        <v>5204</v>
      </c>
      <c r="B6565" t="s">
        <v>4072</v>
      </c>
      <c r="C6565">
        <v>19</v>
      </c>
      <c r="D6565" t="s">
        <v>4073</v>
      </c>
      <c r="E6565" t="s">
        <v>4074</v>
      </c>
      <c r="F6565" t="s">
        <v>4076</v>
      </c>
    </row>
    <row r="6566" spans="1:6" x14ac:dyDescent="0.25">
      <c r="A6566">
        <v>5205</v>
      </c>
      <c r="B6566" t="s">
        <v>4072</v>
      </c>
      <c r="C6566">
        <v>2</v>
      </c>
      <c r="D6566" t="s">
        <v>4082</v>
      </c>
      <c r="E6566" t="s">
        <v>4083</v>
      </c>
      <c r="F6566" t="s">
        <v>4075</v>
      </c>
    </row>
    <row r="6567" spans="1:6" x14ac:dyDescent="0.25">
      <c r="A6567">
        <v>5205</v>
      </c>
      <c r="B6567" t="s">
        <v>4072</v>
      </c>
      <c r="C6567">
        <v>17</v>
      </c>
      <c r="D6567" t="s">
        <v>4082</v>
      </c>
      <c r="E6567" t="s">
        <v>4084</v>
      </c>
      <c r="F6567" t="s">
        <v>4076</v>
      </c>
    </row>
    <row r="6568" spans="1:6" x14ac:dyDescent="0.25">
      <c r="A6568">
        <v>5206</v>
      </c>
      <c r="B6568" t="s">
        <v>4072</v>
      </c>
      <c r="C6568">
        <v>5</v>
      </c>
      <c r="D6568" t="s">
        <v>4087</v>
      </c>
      <c r="E6568" t="s">
        <v>4088</v>
      </c>
      <c r="F6568" t="s">
        <v>4075</v>
      </c>
    </row>
    <row r="6569" spans="1:6" x14ac:dyDescent="0.25">
      <c r="A6569">
        <v>5206</v>
      </c>
      <c r="B6569" t="s">
        <v>4072</v>
      </c>
      <c r="C6569">
        <v>15</v>
      </c>
      <c r="D6569" t="s">
        <v>4080</v>
      </c>
      <c r="E6569" t="s">
        <v>4081</v>
      </c>
      <c r="F6569" t="s">
        <v>4076</v>
      </c>
    </row>
    <row r="6570" spans="1:6" x14ac:dyDescent="0.25">
      <c r="A6570">
        <v>5207</v>
      </c>
      <c r="B6570" t="s">
        <v>4072</v>
      </c>
      <c r="C6570">
        <v>5</v>
      </c>
      <c r="D6570" t="s">
        <v>4087</v>
      </c>
      <c r="E6570" t="s">
        <v>4088</v>
      </c>
      <c r="F6570" t="s">
        <v>4075</v>
      </c>
    </row>
    <row r="6571" spans="1:6" x14ac:dyDescent="0.25">
      <c r="A6571">
        <v>5207</v>
      </c>
      <c r="B6571" t="s">
        <v>4072</v>
      </c>
      <c r="C6571">
        <v>15</v>
      </c>
      <c r="D6571" t="s">
        <v>4080</v>
      </c>
      <c r="E6571" t="s">
        <v>4081</v>
      </c>
      <c r="F6571" t="s">
        <v>4076</v>
      </c>
    </row>
    <row r="6572" spans="1:6" x14ac:dyDescent="0.25">
      <c r="A6572">
        <v>5208</v>
      </c>
      <c r="B6572" t="s">
        <v>4072</v>
      </c>
      <c r="C6572">
        <v>5</v>
      </c>
      <c r="D6572" t="s">
        <v>4087</v>
      </c>
      <c r="E6572" t="s">
        <v>4088</v>
      </c>
      <c r="F6572" t="s">
        <v>4075</v>
      </c>
    </row>
    <row r="6573" spans="1:6" x14ac:dyDescent="0.25">
      <c r="A6573">
        <v>5208</v>
      </c>
      <c r="B6573" t="s">
        <v>4072</v>
      </c>
      <c r="C6573">
        <v>15</v>
      </c>
      <c r="D6573" t="s">
        <v>4080</v>
      </c>
      <c r="E6573" t="s">
        <v>4081</v>
      </c>
      <c r="F6573" t="s">
        <v>4076</v>
      </c>
    </row>
    <row r="6574" spans="1:6" x14ac:dyDescent="0.25">
      <c r="A6574">
        <v>5209</v>
      </c>
      <c r="B6574" t="s">
        <v>4072</v>
      </c>
      <c r="C6574">
        <v>5</v>
      </c>
      <c r="D6574" t="s">
        <v>4087</v>
      </c>
      <c r="E6574" t="s">
        <v>4088</v>
      </c>
      <c r="F6574" t="s">
        <v>4075</v>
      </c>
    </row>
    <row r="6575" spans="1:6" x14ac:dyDescent="0.25">
      <c r="A6575">
        <v>5209</v>
      </c>
      <c r="B6575" t="s">
        <v>4072</v>
      </c>
      <c r="C6575">
        <v>15</v>
      </c>
      <c r="D6575" t="s">
        <v>4080</v>
      </c>
      <c r="E6575" t="s">
        <v>4081</v>
      </c>
      <c r="F6575" t="s">
        <v>4076</v>
      </c>
    </row>
    <row r="6576" spans="1:6" x14ac:dyDescent="0.25">
      <c r="A6576">
        <v>5210</v>
      </c>
      <c r="B6576" t="s">
        <v>4092</v>
      </c>
      <c r="C6576">
        <v>24</v>
      </c>
      <c r="D6576" t="s">
        <v>2760</v>
      </c>
      <c r="E6576" t="s">
        <v>4108</v>
      </c>
      <c r="F6576" t="s">
        <v>4075</v>
      </c>
    </row>
    <row r="6577" spans="1:6" x14ac:dyDescent="0.25">
      <c r="A6577">
        <v>5210</v>
      </c>
      <c r="B6577" t="s">
        <v>4092</v>
      </c>
      <c r="C6577">
        <v>29</v>
      </c>
      <c r="D6577" t="s">
        <v>2760</v>
      </c>
      <c r="E6577" t="s">
        <v>4108</v>
      </c>
      <c r="F6577" t="s">
        <v>4076</v>
      </c>
    </row>
    <row r="6578" spans="1:6" x14ac:dyDescent="0.25">
      <c r="A6578">
        <v>5211</v>
      </c>
      <c r="B6578" t="s">
        <v>4092</v>
      </c>
      <c r="C6578">
        <v>24</v>
      </c>
      <c r="D6578" t="s">
        <v>2760</v>
      </c>
      <c r="E6578" t="s">
        <v>4108</v>
      </c>
      <c r="F6578" t="s">
        <v>4075</v>
      </c>
    </row>
    <row r="6579" spans="1:6" x14ac:dyDescent="0.25">
      <c r="A6579">
        <v>5211</v>
      </c>
      <c r="B6579" t="s">
        <v>4092</v>
      </c>
      <c r="C6579">
        <v>29</v>
      </c>
      <c r="D6579" t="s">
        <v>2760</v>
      </c>
      <c r="E6579" t="s">
        <v>4108</v>
      </c>
      <c r="F6579" t="s">
        <v>4076</v>
      </c>
    </row>
    <row r="6580" spans="1:6" x14ac:dyDescent="0.25">
      <c r="A6580">
        <v>5212</v>
      </c>
      <c r="B6580" t="s">
        <v>4092</v>
      </c>
      <c r="C6580">
        <v>24</v>
      </c>
      <c r="D6580" t="s">
        <v>2760</v>
      </c>
      <c r="E6580" t="s">
        <v>4108</v>
      </c>
      <c r="F6580" t="s">
        <v>4075</v>
      </c>
    </row>
    <row r="6581" spans="1:6" x14ac:dyDescent="0.25">
      <c r="A6581">
        <v>5212</v>
      </c>
      <c r="B6581" t="s">
        <v>4092</v>
      </c>
      <c r="C6581">
        <v>29</v>
      </c>
      <c r="D6581" t="s">
        <v>2760</v>
      </c>
      <c r="E6581" t="s">
        <v>4108</v>
      </c>
      <c r="F6581" t="s">
        <v>4076</v>
      </c>
    </row>
    <row r="6582" spans="1:6" x14ac:dyDescent="0.25">
      <c r="A6582">
        <v>5213</v>
      </c>
      <c r="B6582" t="s">
        <v>4072</v>
      </c>
      <c r="C6582">
        <v>6</v>
      </c>
      <c r="D6582" t="s">
        <v>4073</v>
      </c>
      <c r="E6582" t="s">
        <v>4074</v>
      </c>
      <c r="F6582" t="s">
        <v>4075</v>
      </c>
    </row>
    <row r="6583" spans="1:6" x14ac:dyDescent="0.25">
      <c r="A6583">
        <v>5213</v>
      </c>
      <c r="B6583" t="s">
        <v>4072</v>
      </c>
      <c r="C6583">
        <v>19</v>
      </c>
      <c r="D6583" t="s">
        <v>4073</v>
      </c>
      <c r="E6583" t="s">
        <v>4074</v>
      </c>
      <c r="F6583" t="s">
        <v>4076</v>
      </c>
    </row>
    <row r="6584" spans="1:6" x14ac:dyDescent="0.25">
      <c r="A6584">
        <v>5214</v>
      </c>
      <c r="B6584" t="s">
        <v>4072</v>
      </c>
      <c r="C6584">
        <v>5</v>
      </c>
      <c r="D6584" t="s">
        <v>4087</v>
      </c>
      <c r="E6584" t="s">
        <v>4088</v>
      </c>
      <c r="F6584" t="s">
        <v>4075</v>
      </c>
    </row>
    <row r="6585" spans="1:6" x14ac:dyDescent="0.25">
      <c r="A6585">
        <v>5214</v>
      </c>
      <c r="B6585" t="s">
        <v>4072</v>
      </c>
      <c r="C6585">
        <v>15</v>
      </c>
      <c r="D6585" t="s">
        <v>4080</v>
      </c>
      <c r="E6585" t="s">
        <v>4081</v>
      </c>
      <c r="F6585" t="s">
        <v>4076</v>
      </c>
    </row>
    <row r="6586" spans="1:6" x14ac:dyDescent="0.25">
      <c r="A6586">
        <v>5215</v>
      </c>
      <c r="B6586" t="s">
        <v>4072</v>
      </c>
      <c r="C6586">
        <v>5</v>
      </c>
      <c r="D6586" t="s">
        <v>4087</v>
      </c>
      <c r="E6586" t="s">
        <v>4088</v>
      </c>
      <c r="F6586" t="s">
        <v>4075</v>
      </c>
    </row>
    <row r="6587" spans="1:6" x14ac:dyDescent="0.25">
      <c r="A6587">
        <v>5215</v>
      </c>
      <c r="B6587" t="s">
        <v>4072</v>
      </c>
      <c r="C6587">
        <v>15</v>
      </c>
      <c r="D6587" t="s">
        <v>4080</v>
      </c>
      <c r="E6587" t="s">
        <v>4081</v>
      </c>
      <c r="F6587" t="s">
        <v>4076</v>
      </c>
    </row>
    <row r="6588" spans="1:6" x14ac:dyDescent="0.25">
      <c r="A6588">
        <v>5215</v>
      </c>
      <c r="B6588" t="s">
        <v>4072</v>
      </c>
      <c r="C6588">
        <v>40</v>
      </c>
      <c r="D6588" t="s">
        <v>4080</v>
      </c>
      <c r="E6588" t="s">
        <v>4081</v>
      </c>
      <c r="F6588" t="s">
        <v>4079</v>
      </c>
    </row>
    <row r="6589" spans="1:6" x14ac:dyDescent="0.25">
      <c r="A6589">
        <v>5216</v>
      </c>
      <c r="B6589" t="s">
        <v>4072</v>
      </c>
      <c r="C6589">
        <v>5</v>
      </c>
      <c r="D6589" t="s">
        <v>4087</v>
      </c>
      <c r="E6589" t="s">
        <v>4088</v>
      </c>
      <c r="F6589" t="s">
        <v>4075</v>
      </c>
    </row>
    <row r="6590" spans="1:6" x14ac:dyDescent="0.25">
      <c r="A6590">
        <v>5216</v>
      </c>
      <c r="B6590" t="s">
        <v>4072</v>
      </c>
      <c r="C6590">
        <v>15</v>
      </c>
      <c r="D6590" t="s">
        <v>4080</v>
      </c>
      <c r="E6590" t="s">
        <v>4081</v>
      </c>
      <c r="F6590" t="s">
        <v>4076</v>
      </c>
    </row>
    <row r="6591" spans="1:6" x14ac:dyDescent="0.25">
      <c r="A6591">
        <v>5216</v>
      </c>
      <c r="B6591" t="s">
        <v>4072</v>
      </c>
      <c r="C6591">
        <v>40</v>
      </c>
      <c r="D6591" t="s">
        <v>4080</v>
      </c>
      <c r="E6591" t="s">
        <v>4081</v>
      </c>
      <c r="F6591" t="s">
        <v>4079</v>
      </c>
    </row>
    <row r="6592" spans="1:6" x14ac:dyDescent="0.25">
      <c r="A6592">
        <v>5217</v>
      </c>
      <c r="B6592" t="s">
        <v>4072</v>
      </c>
      <c r="C6592">
        <v>5</v>
      </c>
      <c r="D6592" t="s">
        <v>4087</v>
      </c>
      <c r="E6592" t="s">
        <v>4088</v>
      </c>
      <c r="F6592" t="s">
        <v>4075</v>
      </c>
    </row>
    <row r="6593" spans="1:6" x14ac:dyDescent="0.25">
      <c r="A6593">
        <v>5217</v>
      </c>
      <c r="B6593" t="s">
        <v>4072</v>
      </c>
      <c r="C6593">
        <v>15</v>
      </c>
      <c r="D6593" t="s">
        <v>4080</v>
      </c>
      <c r="E6593" t="s">
        <v>4081</v>
      </c>
      <c r="F6593" t="s">
        <v>4076</v>
      </c>
    </row>
    <row r="6594" spans="1:6" x14ac:dyDescent="0.25">
      <c r="A6594">
        <v>5217</v>
      </c>
      <c r="B6594" t="s">
        <v>4072</v>
      </c>
      <c r="C6594">
        <v>40</v>
      </c>
      <c r="D6594" t="s">
        <v>4080</v>
      </c>
      <c r="E6594" t="s">
        <v>4081</v>
      </c>
      <c r="F6594" t="s">
        <v>4079</v>
      </c>
    </row>
    <row r="6595" spans="1:6" x14ac:dyDescent="0.25">
      <c r="A6595">
        <v>5218</v>
      </c>
      <c r="B6595" t="s">
        <v>4072</v>
      </c>
      <c r="C6595">
        <v>5</v>
      </c>
      <c r="D6595" t="s">
        <v>4087</v>
      </c>
      <c r="E6595" t="s">
        <v>4088</v>
      </c>
      <c r="F6595" t="s">
        <v>4075</v>
      </c>
    </row>
    <row r="6596" spans="1:6" x14ac:dyDescent="0.25">
      <c r="A6596">
        <v>5218</v>
      </c>
      <c r="B6596" t="s">
        <v>4072</v>
      </c>
      <c r="C6596">
        <v>15</v>
      </c>
      <c r="D6596" t="s">
        <v>4080</v>
      </c>
      <c r="E6596" t="s">
        <v>4081</v>
      </c>
      <c r="F6596" t="s">
        <v>4076</v>
      </c>
    </row>
    <row r="6597" spans="1:6" x14ac:dyDescent="0.25">
      <c r="A6597">
        <v>5218</v>
      </c>
      <c r="B6597" t="s">
        <v>4112</v>
      </c>
      <c r="C6597">
        <v>54</v>
      </c>
      <c r="D6597" t="s">
        <v>4122</v>
      </c>
      <c r="E6597" t="s">
        <v>4123</v>
      </c>
      <c r="F6597" t="s">
        <v>4079</v>
      </c>
    </row>
    <row r="6598" spans="1:6" x14ac:dyDescent="0.25">
      <c r="A6598">
        <v>5219</v>
      </c>
      <c r="B6598" t="s">
        <v>4072</v>
      </c>
      <c r="C6598">
        <v>5</v>
      </c>
      <c r="D6598" t="s">
        <v>4087</v>
      </c>
      <c r="E6598" t="s">
        <v>4088</v>
      </c>
      <c r="F6598" t="s">
        <v>4075</v>
      </c>
    </row>
    <row r="6599" spans="1:6" x14ac:dyDescent="0.25">
      <c r="A6599">
        <v>5219</v>
      </c>
      <c r="B6599" t="s">
        <v>4072</v>
      </c>
      <c r="C6599">
        <v>15</v>
      </c>
      <c r="D6599" t="s">
        <v>4080</v>
      </c>
      <c r="E6599" t="s">
        <v>4081</v>
      </c>
      <c r="F6599" t="s">
        <v>4076</v>
      </c>
    </row>
    <row r="6600" spans="1:6" x14ac:dyDescent="0.25">
      <c r="A6600">
        <v>5219</v>
      </c>
      <c r="B6600" t="s">
        <v>4072</v>
      </c>
      <c r="C6600">
        <v>40</v>
      </c>
      <c r="D6600" t="s">
        <v>4080</v>
      </c>
      <c r="E6600" t="s">
        <v>4081</v>
      </c>
      <c r="F6600" t="s">
        <v>4079</v>
      </c>
    </row>
    <row r="6601" spans="1:6" x14ac:dyDescent="0.25">
      <c r="A6601">
        <v>5220</v>
      </c>
      <c r="B6601" t="s">
        <v>4072</v>
      </c>
      <c r="C6601">
        <v>5</v>
      </c>
      <c r="D6601" t="s">
        <v>4087</v>
      </c>
      <c r="E6601" t="s">
        <v>4088</v>
      </c>
      <c r="F6601" t="s">
        <v>4075</v>
      </c>
    </row>
    <row r="6602" spans="1:6" x14ac:dyDescent="0.25">
      <c r="A6602">
        <v>5220</v>
      </c>
      <c r="B6602" t="s">
        <v>4072</v>
      </c>
      <c r="C6602">
        <v>15</v>
      </c>
      <c r="D6602" t="s">
        <v>4080</v>
      </c>
      <c r="E6602" t="s">
        <v>4081</v>
      </c>
      <c r="F6602" t="s">
        <v>4076</v>
      </c>
    </row>
    <row r="6603" spans="1:6" x14ac:dyDescent="0.25">
      <c r="A6603">
        <v>5220</v>
      </c>
      <c r="B6603" t="s">
        <v>4072</v>
      </c>
      <c r="C6603">
        <v>40</v>
      </c>
      <c r="D6603" t="s">
        <v>4080</v>
      </c>
      <c r="E6603" t="s">
        <v>4081</v>
      </c>
      <c r="F6603" t="s">
        <v>4079</v>
      </c>
    </row>
    <row r="6604" spans="1:6" x14ac:dyDescent="0.25">
      <c r="A6604">
        <v>5221</v>
      </c>
      <c r="B6604" t="s">
        <v>4072</v>
      </c>
      <c r="C6604">
        <v>5</v>
      </c>
      <c r="D6604" t="s">
        <v>4087</v>
      </c>
      <c r="E6604" t="s">
        <v>4088</v>
      </c>
      <c r="F6604" t="s">
        <v>4075</v>
      </c>
    </row>
    <row r="6605" spans="1:6" x14ac:dyDescent="0.25">
      <c r="A6605">
        <v>5221</v>
      </c>
      <c r="B6605" t="s">
        <v>4072</v>
      </c>
      <c r="C6605">
        <v>15</v>
      </c>
      <c r="D6605" t="s">
        <v>4080</v>
      </c>
      <c r="E6605" t="s">
        <v>4081</v>
      </c>
      <c r="F6605" t="s">
        <v>4076</v>
      </c>
    </row>
    <row r="6606" spans="1:6" x14ac:dyDescent="0.25">
      <c r="A6606">
        <v>5221</v>
      </c>
      <c r="B6606" t="s">
        <v>4072</v>
      </c>
      <c r="C6606">
        <v>40</v>
      </c>
      <c r="D6606" t="s">
        <v>4080</v>
      </c>
      <c r="E6606" t="s">
        <v>4081</v>
      </c>
      <c r="F6606" t="s">
        <v>4079</v>
      </c>
    </row>
    <row r="6607" spans="1:6" x14ac:dyDescent="0.25">
      <c r="A6607">
        <v>5222</v>
      </c>
      <c r="B6607" t="s">
        <v>4072</v>
      </c>
      <c r="C6607">
        <v>5</v>
      </c>
      <c r="D6607" t="s">
        <v>4087</v>
      </c>
      <c r="E6607" t="s">
        <v>4088</v>
      </c>
      <c r="F6607" t="s">
        <v>4075</v>
      </c>
    </row>
    <row r="6608" spans="1:6" x14ac:dyDescent="0.25">
      <c r="A6608">
        <v>5222</v>
      </c>
      <c r="B6608" t="s">
        <v>4072</v>
      </c>
      <c r="C6608">
        <v>15</v>
      </c>
      <c r="D6608" t="s">
        <v>4080</v>
      </c>
      <c r="E6608" t="s">
        <v>4081</v>
      </c>
      <c r="F6608" t="s">
        <v>4076</v>
      </c>
    </row>
    <row r="6609" spans="1:6" x14ac:dyDescent="0.25">
      <c r="A6609">
        <v>5222</v>
      </c>
      <c r="B6609" t="s">
        <v>4072</v>
      </c>
      <c r="C6609">
        <v>40</v>
      </c>
      <c r="D6609" t="s">
        <v>4080</v>
      </c>
      <c r="E6609" t="s">
        <v>4081</v>
      </c>
      <c r="F6609" t="s">
        <v>4079</v>
      </c>
    </row>
    <row r="6610" spans="1:6" x14ac:dyDescent="0.25">
      <c r="A6610">
        <v>5223</v>
      </c>
      <c r="B6610" t="s">
        <v>4072</v>
      </c>
      <c r="C6610">
        <v>5</v>
      </c>
      <c r="D6610" t="s">
        <v>4087</v>
      </c>
      <c r="E6610" t="s">
        <v>4088</v>
      </c>
      <c r="F6610" t="s">
        <v>4075</v>
      </c>
    </row>
    <row r="6611" spans="1:6" x14ac:dyDescent="0.25">
      <c r="A6611">
        <v>5224</v>
      </c>
      <c r="B6611" t="s">
        <v>4072</v>
      </c>
      <c r="C6611">
        <v>5</v>
      </c>
      <c r="D6611" t="s">
        <v>4087</v>
      </c>
      <c r="E6611" t="s">
        <v>4088</v>
      </c>
      <c r="F6611" t="s">
        <v>4075</v>
      </c>
    </row>
    <row r="6612" spans="1:6" x14ac:dyDescent="0.25">
      <c r="A6612">
        <v>5224</v>
      </c>
      <c r="B6612" t="s">
        <v>4072</v>
      </c>
      <c r="C6612">
        <v>15</v>
      </c>
      <c r="D6612" t="s">
        <v>4080</v>
      </c>
      <c r="E6612" t="s">
        <v>4081</v>
      </c>
      <c r="F6612" t="s">
        <v>4076</v>
      </c>
    </row>
    <row r="6613" spans="1:6" x14ac:dyDescent="0.25">
      <c r="A6613">
        <v>5224</v>
      </c>
      <c r="B6613" t="s">
        <v>4072</v>
      </c>
      <c r="C6613">
        <v>40</v>
      </c>
      <c r="D6613" t="s">
        <v>4080</v>
      </c>
      <c r="E6613" t="s">
        <v>4081</v>
      </c>
      <c r="F6613" t="s">
        <v>4079</v>
      </c>
    </row>
    <row r="6614" spans="1:6" x14ac:dyDescent="0.25">
      <c r="A6614">
        <v>5225</v>
      </c>
      <c r="B6614" t="s">
        <v>4072</v>
      </c>
      <c r="C6614">
        <v>5</v>
      </c>
      <c r="D6614" t="s">
        <v>4087</v>
      </c>
      <c r="E6614" t="s">
        <v>4088</v>
      </c>
      <c r="F6614" t="s">
        <v>4075</v>
      </c>
    </row>
    <row r="6615" spans="1:6" x14ac:dyDescent="0.25">
      <c r="A6615">
        <v>5225</v>
      </c>
      <c r="B6615" t="s">
        <v>4072</v>
      </c>
      <c r="C6615">
        <v>15</v>
      </c>
      <c r="D6615" t="s">
        <v>4080</v>
      </c>
      <c r="E6615" t="s">
        <v>4081</v>
      </c>
      <c r="F6615" t="s">
        <v>4076</v>
      </c>
    </row>
    <row r="6616" spans="1:6" x14ac:dyDescent="0.25">
      <c r="A6616">
        <v>5225</v>
      </c>
      <c r="B6616" t="s">
        <v>4072</v>
      </c>
      <c r="C6616">
        <v>40</v>
      </c>
      <c r="D6616" t="s">
        <v>4080</v>
      </c>
      <c r="E6616" t="s">
        <v>4081</v>
      </c>
      <c r="F6616" t="s">
        <v>4079</v>
      </c>
    </row>
    <row r="6617" spans="1:6" x14ac:dyDescent="0.25">
      <c r="A6617">
        <v>5226</v>
      </c>
      <c r="B6617" t="s">
        <v>4072</v>
      </c>
      <c r="C6617">
        <v>5</v>
      </c>
      <c r="D6617" t="s">
        <v>4087</v>
      </c>
      <c r="E6617" t="s">
        <v>4088</v>
      </c>
      <c r="F6617" t="s">
        <v>4075</v>
      </c>
    </row>
    <row r="6618" spans="1:6" x14ac:dyDescent="0.25">
      <c r="A6618">
        <v>5226</v>
      </c>
      <c r="B6618" t="s">
        <v>4072</v>
      </c>
      <c r="C6618">
        <v>15</v>
      </c>
      <c r="D6618" t="s">
        <v>4080</v>
      </c>
      <c r="E6618" t="s">
        <v>4081</v>
      </c>
      <c r="F6618" t="s">
        <v>4076</v>
      </c>
    </row>
    <row r="6619" spans="1:6" x14ac:dyDescent="0.25">
      <c r="A6619">
        <v>5226</v>
      </c>
      <c r="B6619" t="s">
        <v>4072</v>
      </c>
      <c r="C6619">
        <v>40</v>
      </c>
      <c r="D6619" t="s">
        <v>4080</v>
      </c>
      <c r="E6619" t="s">
        <v>4081</v>
      </c>
      <c r="F6619" t="s">
        <v>4079</v>
      </c>
    </row>
    <row r="6620" spans="1:6" x14ac:dyDescent="0.25">
      <c r="A6620">
        <v>5227</v>
      </c>
      <c r="B6620" t="s">
        <v>4072</v>
      </c>
      <c r="C6620">
        <v>5</v>
      </c>
      <c r="D6620" t="s">
        <v>4087</v>
      </c>
      <c r="E6620" t="s">
        <v>4088</v>
      </c>
      <c r="F6620" t="s">
        <v>4075</v>
      </c>
    </row>
    <row r="6621" spans="1:6" x14ac:dyDescent="0.25">
      <c r="A6621">
        <v>5227</v>
      </c>
      <c r="B6621" t="s">
        <v>4072</v>
      </c>
      <c r="C6621">
        <v>15</v>
      </c>
      <c r="D6621" t="s">
        <v>4080</v>
      </c>
      <c r="E6621" t="s">
        <v>4081</v>
      </c>
      <c r="F6621" t="s">
        <v>4076</v>
      </c>
    </row>
    <row r="6622" spans="1:6" x14ac:dyDescent="0.25">
      <c r="A6622">
        <v>5227</v>
      </c>
      <c r="B6622" t="s">
        <v>4072</v>
      </c>
      <c r="C6622">
        <v>40</v>
      </c>
      <c r="D6622" t="s">
        <v>4080</v>
      </c>
      <c r="E6622" t="s">
        <v>4081</v>
      </c>
      <c r="F6622" t="s">
        <v>4079</v>
      </c>
    </row>
    <row r="6623" spans="1:6" x14ac:dyDescent="0.25">
      <c r="A6623">
        <v>5228</v>
      </c>
      <c r="B6623" t="s">
        <v>4072</v>
      </c>
      <c r="C6623">
        <v>5</v>
      </c>
      <c r="D6623" t="s">
        <v>4087</v>
      </c>
      <c r="E6623" t="s">
        <v>4088</v>
      </c>
      <c r="F6623" t="s">
        <v>4075</v>
      </c>
    </row>
    <row r="6624" spans="1:6" x14ac:dyDescent="0.25">
      <c r="A6624">
        <v>5228</v>
      </c>
      <c r="B6624" t="s">
        <v>4072</v>
      </c>
      <c r="C6624">
        <v>15</v>
      </c>
      <c r="D6624" t="s">
        <v>4080</v>
      </c>
      <c r="E6624" t="s">
        <v>4081</v>
      </c>
      <c r="F6624" t="s">
        <v>4076</v>
      </c>
    </row>
    <row r="6625" spans="1:6" x14ac:dyDescent="0.25">
      <c r="A6625">
        <v>5228</v>
      </c>
      <c r="B6625" t="s">
        <v>4072</v>
      </c>
      <c r="C6625">
        <v>40</v>
      </c>
      <c r="D6625" t="s">
        <v>4080</v>
      </c>
      <c r="E6625" t="s">
        <v>4081</v>
      </c>
      <c r="F6625" t="s">
        <v>4079</v>
      </c>
    </row>
    <row r="6626" spans="1:6" x14ac:dyDescent="0.25">
      <c r="A6626">
        <v>5229</v>
      </c>
      <c r="B6626" t="s">
        <v>4072</v>
      </c>
      <c r="C6626">
        <v>2</v>
      </c>
      <c r="D6626" t="s">
        <v>4082</v>
      </c>
      <c r="E6626" t="s">
        <v>4083</v>
      </c>
      <c r="F6626" t="s">
        <v>4075</v>
      </c>
    </row>
    <row r="6627" spans="1:6" x14ac:dyDescent="0.25">
      <c r="A6627">
        <v>5229</v>
      </c>
      <c r="B6627" t="s">
        <v>4072</v>
      </c>
      <c r="C6627">
        <v>17</v>
      </c>
      <c r="D6627" t="s">
        <v>4082</v>
      </c>
      <c r="E6627" t="s">
        <v>4084</v>
      </c>
      <c r="F6627" t="s">
        <v>4076</v>
      </c>
    </row>
    <row r="6628" spans="1:6" x14ac:dyDescent="0.25">
      <c r="A6628">
        <v>5229</v>
      </c>
      <c r="B6628" t="s">
        <v>4072</v>
      </c>
      <c r="C6628">
        <v>42</v>
      </c>
      <c r="D6628" t="s">
        <v>4082</v>
      </c>
      <c r="E6628" t="s">
        <v>4083</v>
      </c>
      <c r="F6628" t="s">
        <v>4079</v>
      </c>
    </row>
    <row r="6629" spans="1:6" x14ac:dyDescent="0.25">
      <c r="A6629">
        <v>5230</v>
      </c>
      <c r="B6629" t="s">
        <v>4072</v>
      </c>
      <c r="C6629">
        <v>6</v>
      </c>
      <c r="D6629" t="s">
        <v>4073</v>
      </c>
      <c r="E6629" t="s">
        <v>4074</v>
      </c>
      <c r="F6629" t="s">
        <v>4075</v>
      </c>
    </row>
    <row r="6630" spans="1:6" x14ac:dyDescent="0.25">
      <c r="A6630">
        <v>5230</v>
      </c>
      <c r="B6630" t="s">
        <v>4072</v>
      </c>
      <c r="C6630">
        <v>19</v>
      </c>
      <c r="D6630" t="s">
        <v>4073</v>
      </c>
      <c r="E6630" t="s">
        <v>4074</v>
      </c>
      <c r="F6630" t="s">
        <v>4076</v>
      </c>
    </row>
    <row r="6631" spans="1:6" x14ac:dyDescent="0.25">
      <c r="A6631">
        <v>5231</v>
      </c>
      <c r="B6631" t="s">
        <v>4072</v>
      </c>
      <c r="C6631">
        <v>2</v>
      </c>
      <c r="D6631" t="s">
        <v>4082</v>
      </c>
      <c r="E6631" t="s">
        <v>4083</v>
      </c>
      <c r="F6631" t="s">
        <v>4075</v>
      </c>
    </row>
    <row r="6632" spans="1:6" x14ac:dyDescent="0.25">
      <c r="A6632">
        <v>5231</v>
      </c>
      <c r="B6632" t="s">
        <v>4072</v>
      </c>
      <c r="C6632">
        <v>17</v>
      </c>
      <c r="D6632" t="s">
        <v>4082</v>
      </c>
      <c r="E6632" t="s">
        <v>4084</v>
      </c>
      <c r="F6632" t="s">
        <v>4076</v>
      </c>
    </row>
    <row r="6633" spans="1:6" x14ac:dyDescent="0.25">
      <c r="A6633">
        <v>5232</v>
      </c>
      <c r="B6633" t="s">
        <v>4072</v>
      </c>
      <c r="C6633">
        <v>3</v>
      </c>
      <c r="D6633" t="s">
        <v>4085</v>
      </c>
      <c r="E6633" t="s">
        <v>4086</v>
      </c>
      <c r="F6633" t="s">
        <v>4075</v>
      </c>
    </row>
    <row r="6634" spans="1:6" x14ac:dyDescent="0.25">
      <c r="A6634">
        <v>5232</v>
      </c>
      <c r="B6634" t="s">
        <v>4072</v>
      </c>
      <c r="C6634">
        <v>5</v>
      </c>
      <c r="D6634" t="s">
        <v>4087</v>
      </c>
      <c r="E6634" t="s">
        <v>4088</v>
      </c>
      <c r="F6634" t="s">
        <v>4075</v>
      </c>
    </row>
    <row r="6635" spans="1:6" x14ac:dyDescent="0.25">
      <c r="A6635">
        <v>5232</v>
      </c>
      <c r="B6635" t="s">
        <v>4072</v>
      </c>
      <c r="C6635">
        <v>15</v>
      </c>
      <c r="D6635" t="s">
        <v>4080</v>
      </c>
      <c r="E6635" t="s">
        <v>4081</v>
      </c>
      <c r="F6635" t="s">
        <v>4076</v>
      </c>
    </row>
    <row r="6636" spans="1:6" x14ac:dyDescent="0.25">
      <c r="A6636">
        <v>5233</v>
      </c>
      <c r="B6636" t="s">
        <v>4072</v>
      </c>
      <c r="C6636">
        <v>5</v>
      </c>
      <c r="D6636" t="s">
        <v>4087</v>
      </c>
      <c r="E6636" t="s">
        <v>4088</v>
      </c>
      <c r="F6636" t="s">
        <v>4075</v>
      </c>
    </row>
    <row r="6637" spans="1:6" x14ac:dyDescent="0.25">
      <c r="A6637">
        <v>5233</v>
      </c>
      <c r="B6637" t="s">
        <v>4072</v>
      </c>
      <c r="C6637">
        <v>15</v>
      </c>
      <c r="D6637" t="s">
        <v>4080</v>
      </c>
      <c r="E6637" t="s">
        <v>4081</v>
      </c>
      <c r="F6637" t="s">
        <v>4076</v>
      </c>
    </row>
    <row r="6638" spans="1:6" x14ac:dyDescent="0.25">
      <c r="A6638">
        <v>5234</v>
      </c>
      <c r="B6638" t="s">
        <v>4072</v>
      </c>
      <c r="C6638">
        <v>4</v>
      </c>
      <c r="D6638" t="s">
        <v>4077</v>
      </c>
      <c r="E6638" t="s">
        <v>4078</v>
      </c>
      <c r="F6638" t="s">
        <v>4075</v>
      </c>
    </row>
    <row r="6639" spans="1:6" x14ac:dyDescent="0.25">
      <c r="A6639">
        <v>5234</v>
      </c>
      <c r="B6639" t="s">
        <v>4072</v>
      </c>
      <c r="C6639">
        <v>16</v>
      </c>
      <c r="D6639" t="s">
        <v>4077</v>
      </c>
      <c r="E6639" t="s">
        <v>4078</v>
      </c>
      <c r="F6639" t="s">
        <v>4076</v>
      </c>
    </row>
    <row r="6640" spans="1:6" x14ac:dyDescent="0.25">
      <c r="A6640">
        <v>5235</v>
      </c>
      <c r="B6640" t="s">
        <v>4072</v>
      </c>
      <c r="C6640">
        <v>4</v>
      </c>
      <c r="D6640" t="s">
        <v>4077</v>
      </c>
      <c r="E6640" t="s">
        <v>4078</v>
      </c>
      <c r="F6640" t="s">
        <v>4075</v>
      </c>
    </row>
    <row r="6641" spans="1:6" x14ac:dyDescent="0.25">
      <c r="A6641">
        <v>5235</v>
      </c>
      <c r="B6641" t="s">
        <v>4072</v>
      </c>
      <c r="C6641">
        <v>16</v>
      </c>
      <c r="D6641" t="s">
        <v>4077</v>
      </c>
      <c r="E6641" t="s">
        <v>4078</v>
      </c>
      <c r="F6641" t="s">
        <v>4076</v>
      </c>
    </row>
    <row r="6642" spans="1:6" x14ac:dyDescent="0.25">
      <c r="A6642">
        <v>5236</v>
      </c>
      <c r="B6642" t="s">
        <v>4092</v>
      </c>
      <c r="C6642">
        <v>24</v>
      </c>
      <c r="D6642" t="s">
        <v>2760</v>
      </c>
      <c r="E6642" t="s">
        <v>4108</v>
      </c>
      <c r="F6642" t="s">
        <v>4075</v>
      </c>
    </row>
    <row r="6643" spans="1:6" x14ac:dyDescent="0.25">
      <c r="A6643">
        <v>5236</v>
      </c>
      <c r="B6643" t="s">
        <v>4092</v>
      </c>
      <c r="C6643">
        <v>29</v>
      </c>
      <c r="D6643" t="s">
        <v>2760</v>
      </c>
      <c r="E6643" t="s">
        <v>4108</v>
      </c>
      <c r="F6643" t="s">
        <v>4076</v>
      </c>
    </row>
    <row r="6644" spans="1:6" x14ac:dyDescent="0.25">
      <c r="A6644">
        <v>5237</v>
      </c>
      <c r="B6644" t="s">
        <v>4092</v>
      </c>
      <c r="C6644">
        <v>24</v>
      </c>
      <c r="D6644" t="s">
        <v>2760</v>
      </c>
      <c r="E6644" t="s">
        <v>4108</v>
      </c>
      <c r="F6644" t="s">
        <v>4075</v>
      </c>
    </row>
    <row r="6645" spans="1:6" x14ac:dyDescent="0.25">
      <c r="A6645">
        <v>5237</v>
      </c>
      <c r="B6645" t="s">
        <v>4092</v>
      </c>
      <c r="C6645">
        <v>29</v>
      </c>
      <c r="D6645" t="s">
        <v>2760</v>
      </c>
      <c r="E6645" t="s">
        <v>4108</v>
      </c>
      <c r="F6645" t="s">
        <v>4076</v>
      </c>
    </row>
    <row r="6646" spans="1:6" x14ac:dyDescent="0.25">
      <c r="A6646">
        <v>5238</v>
      </c>
      <c r="B6646" t="s">
        <v>4092</v>
      </c>
      <c r="C6646">
        <v>23</v>
      </c>
      <c r="D6646" t="s">
        <v>2757</v>
      </c>
      <c r="E6646" t="s">
        <v>4093</v>
      </c>
      <c r="F6646" t="s">
        <v>4075</v>
      </c>
    </row>
    <row r="6647" spans="1:6" x14ac:dyDescent="0.25">
      <c r="A6647">
        <v>5238</v>
      </c>
      <c r="B6647" t="s">
        <v>4092</v>
      </c>
      <c r="C6647">
        <v>28</v>
      </c>
      <c r="D6647" t="s">
        <v>2757</v>
      </c>
      <c r="E6647" t="s">
        <v>4093</v>
      </c>
      <c r="F6647" t="s">
        <v>4076</v>
      </c>
    </row>
    <row r="6648" spans="1:6" x14ac:dyDescent="0.25">
      <c r="A6648">
        <v>5239</v>
      </c>
      <c r="B6648" t="s">
        <v>4072</v>
      </c>
      <c r="C6648">
        <v>4</v>
      </c>
      <c r="D6648" t="s">
        <v>4077</v>
      </c>
      <c r="E6648" t="s">
        <v>4078</v>
      </c>
      <c r="F6648" t="s">
        <v>4075</v>
      </c>
    </row>
    <row r="6649" spans="1:6" x14ac:dyDescent="0.25">
      <c r="A6649">
        <v>5239</v>
      </c>
      <c r="B6649" t="s">
        <v>4072</v>
      </c>
      <c r="C6649">
        <v>16</v>
      </c>
      <c r="D6649" t="s">
        <v>4077</v>
      </c>
      <c r="E6649" t="s">
        <v>4078</v>
      </c>
      <c r="F6649" t="s">
        <v>4076</v>
      </c>
    </row>
    <row r="6650" spans="1:6" x14ac:dyDescent="0.25">
      <c r="A6650">
        <v>5240</v>
      </c>
      <c r="B6650" t="s">
        <v>4092</v>
      </c>
      <c r="C6650">
        <v>24</v>
      </c>
      <c r="D6650" t="s">
        <v>2760</v>
      </c>
      <c r="E6650" t="s">
        <v>4108</v>
      </c>
      <c r="F6650" t="s">
        <v>4075</v>
      </c>
    </row>
    <row r="6651" spans="1:6" x14ac:dyDescent="0.25">
      <c r="A6651">
        <v>5240</v>
      </c>
      <c r="B6651" t="s">
        <v>4092</v>
      </c>
      <c r="C6651">
        <v>29</v>
      </c>
      <c r="D6651" t="s">
        <v>2760</v>
      </c>
      <c r="E6651" t="s">
        <v>4108</v>
      </c>
      <c r="F6651" t="s">
        <v>4076</v>
      </c>
    </row>
    <row r="6652" spans="1:6" x14ac:dyDescent="0.25">
      <c r="A6652">
        <v>5240</v>
      </c>
      <c r="B6652" t="s">
        <v>4092</v>
      </c>
      <c r="C6652">
        <v>49</v>
      </c>
      <c r="D6652" t="s">
        <v>2760</v>
      </c>
      <c r="E6652" t="s">
        <v>4108</v>
      </c>
      <c r="F6652" t="s">
        <v>4079</v>
      </c>
    </row>
    <row r="6653" spans="1:6" x14ac:dyDescent="0.25">
      <c r="A6653">
        <v>5242</v>
      </c>
      <c r="B6653" t="s">
        <v>4072</v>
      </c>
      <c r="C6653">
        <v>4</v>
      </c>
      <c r="D6653" t="s">
        <v>4077</v>
      </c>
      <c r="E6653" t="s">
        <v>4078</v>
      </c>
      <c r="F6653" t="s">
        <v>4075</v>
      </c>
    </row>
    <row r="6654" spans="1:6" x14ac:dyDescent="0.25">
      <c r="A6654">
        <v>5242</v>
      </c>
      <c r="B6654" t="s">
        <v>4072</v>
      </c>
      <c r="C6654">
        <v>16</v>
      </c>
      <c r="D6654" t="s">
        <v>4077</v>
      </c>
      <c r="E6654" t="s">
        <v>4078</v>
      </c>
      <c r="F6654" t="s">
        <v>4076</v>
      </c>
    </row>
    <row r="6655" spans="1:6" x14ac:dyDescent="0.25">
      <c r="A6655">
        <v>5247</v>
      </c>
      <c r="B6655" t="s">
        <v>4072</v>
      </c>
      <c r="C6655">
        <v>19</v>
      </c>
      <c r="D6655" t="s">
        <v>4073</v>
      </c>
      <c r="E6655" t="s">
        <v>4074</v>
      </c>
      <c r="F6655" t="s">
        <v>4076</v>
      </c>
    </row>
    <row r="6656" spans="1:6" x14ac:dyDescent="0.25">
      <c r="A6656">
        <v>5247</v>
      </c>
      <c r="B6656" t="s">
        <v>4092</v>
      </c>
      <c r="C6656">
        <v>32</v>
      </c>
      <c r="D6656" t="s">
        <v>4106</v>
      </c>
      <c r="E6656" t="s">
        <v>4107</v>
      </c>
      <c r="F6656" t="s">
        <v>4076</v>
      </c>
    </row>
    <row r="6657" spans="1:6" x14ac:dyDescent="0.25">
      <c r="A6657">
        <v>5247</v>
      </c>
      <c r="B6657" t="s">
        <v>4112</v>
      </c>
      <c r="C6657">
        <v>53</v>
      </c>
      <c r="D6657" t="s">
        <v>2759</v>
      </c>
      <c r="E6657" t="s">
        <v>4117</v>
      </c>
      <c r="F6657" t="s">
        <v>4079</v>
      </c>
    </row>
    <row r="6658" spans="1:6" x14ac:dyDescent="0.25">
      <c r="A6658">
        <v>5248</v>
      </c>
      <c r="B6658" t="s">
        <v>4092</v>
      </c>
      <c r="C6658">
        <v>47</v>
      </c>
      <c r="D6658" t="s">
        <v>4104</v>
      </c>
      <c r="E6658" t="s">
        <v>4105</v>
      </c>
      <c r="F6658" t="s">
        <v>4079</v>
      </c>
    </row>
    <row r="6659" spans="1:6" x14ac:dyDescent="0.25">
      <c r="A6659">
        <v>5249</v>
      </c>
      <c r="B6659" t="s">
        <v>4072</v>
      </c>
      <c r="C6659">
        <v>3</v>
      </c>
      <c r="D6659" t="s">
        <v>4085</v>
      </c>
      <c r="E6659" t="s">
        <v>4086</v>
      </c>
      <c r="F6659" t="s">
        <v>4075</v>
      </c>
    </row>
    <row r="6660" spans="1:6" x14ac:dyDescent="0.25">
      <c r="A6660">
        <v>5249</v>
      </c>
      <c r="B6660" t="s">
        <v>4072</v>
      </c>
      <c r="C6660">
        <v>5</v>
      </c>
      <c r="D6660" t="s">
        <v>4087</v>
      </c>
      <c r="E6660" t="s">
        <v>4088</v>
      </c>
      <c r="F6660" t="s">
        <v>4075</v>
      </c>
    </row>
    <row r="6661" spans="1:6" x14ac:dyDescent="0.25">
      <c r="A6661">
        <v>5249</v>
      </c>
      <c r="B6661" t="s">
        <v>4072</v>
      </c>
      <c r="C6661">
        <v>15</v>
      </c>
      <c r="D6661" t="s">
        <v>4080</v>
      </c>
      <c r="E6661" t="s">
        <v>4081</v>
      </c>
      <c r="F6661" t="s">
        <v>4076</v>
      </c>
    </row>
    <row r="6662" spans="1:6" x14ac:dyDescent="0.25">
      <c r="A6662">
        <v>5250</v>
      </c>
      <c r="B6662" t="s">
        <v>4072</v>
      </c>
      <c r="C6662">
        <v>6</v>
      </c>
      <c r="D6662" t="s">
        <v>4073</v>
      </c>
      <c r="E6662" t="s">
        <v>4074</v>
      </c>
      <c r="F6662" t="s">
        <v>4075</v>
      </c>
    </row>
    <row r="6663" spans="1:6" x14ac:dyDescent="0.25">
      <c r="A6663">
        <v>5250</v>
      </c>
      <c r="B6663" t="s">
        <v>4072</v>
      </c>
      <c r="C6663">
        <v>19</v>
      </c>
      <c r="D6663" t="s">
        <v>4073</v>
      </c>
      <c r="E6663" t="s">
        <v>4074</v>
      </c>
      <c r="F6663" t="s">
        <v>4076</v>
      </c>
    </row>
    <row r="6664" spans="1:6" x14ac:dyDescent="0.25">
      <c r="A6664">
        <v>5251</v>
      </c>
      <c r="B6664" t="s">
        <v>4072</v>
      </c>
      <c r="C6664">
        <v>2</v>
      </c>
      <c r="D6664" t="s">
        <v>4082</v>
      </c>
      <c r="E6664" t="s">
        <v>4083</v>
      </c>
      <c r="F6664" t="s">
        <v>4075</v>
      </c>
    </row>
    <row r="6665" spans="1:6" x14ac:dyDescent="0.25">
      <c r="A6665">
        <v>5251</v>
      </c>
      <c r="B6665" t="s">
        <v>4072</v>
      </c>
      <c r="C6665">
        <v>17</v>
      </c>
      <c r="D6665" t="s">
        <v>4082</v>
      </c>
      <c r="E6665" t="s">
        <v>4084</v>
      </c>
      <c r="F6665" t="s">
        <v>4076</v>
      </c>
    </row>
    <row r="6666" spans="1:6" x14ac:dyDescent="0.25">
      <c r="A6666">
        <v>5252</v>
      </c>
      <c r="B6666" t="s">
        <v>4072</v>
      </c>
      <c r="C6666">
        <v>5</v>
      </c>
      <c r="D6666" t="s">
        <v>4087</v>
      </c>
      <c r="E6666" t="s">
        <v>4088</v>
      </c>
      <c r="F6666" t="s">
        <v>4075</v>
      </c>
    </row>
    <row r="6667" spans="1:6" x14ac:dyDescent="0.25">
      <c r="A6667">
        <v>5252</v>
      </c>
      <c r="B6667" t="s">
        <v>4072</v>
      </c>
      <c r="C6667">
        <v>15</v>
      </c>
      <c r="D6667" t="s">
        <v>4080</v>
      </c>
      <c r="E6667" t="s">
        <v>4081</v>
      </c>
      <c r="F6667" t="s">
        <v>4076</v>
      </c>
    </row>
    <row r="6668" spans="1:6" x14ac:dyDescent="0.25">
      <c r="A6668">
        <v>5253</v>
      </c>
      <c r="B6668" t="s">
        <v>4072</v>
      </c>
      <c r="C6668">
        <v>5</v>
      </c>
      <c r="D6668" t="s">
        <v>4087</v>
      </c>
      <c r="E6668" t="s">
        <v>4088</v>
      </c>
      <c r="F6668" t="s">
        <v>4075</v>
      </c>
    </row>
    <row r="6669" spans="1:6" x14ac:dyDescent="0.25">
      <c r="A6669">
        <v>5253</v>
      </c>
      <c r="B6669" t="s">
        <v>4072</v>
      </c>
      <c r="C6669">
        <v>15</v>
      </c>
      <c r="D6669" t="s">
        <v>4080</v>
      </c>
      <c r="E6669" t="s">
        <v>4081</v>
      </c>
      <c r="F6669" t="s">
        <v>4076</v>
      </c>
    </row>
    <row r="6670" spans="1:6" x14ac:dyDescent="0.25">
      <c r="A6670">
        <v>5254</v>
      </c>
      <c r="B6670" t="s">
        <v>4072</v>
      </c>
      <c r="C6670">
        <v>10</v>
      </c>
      <c r="D6670" t="s">
        <v>4095</v>
      </c>
      <c r="E6670" t="s">
        <v>4096</v>
      </c>
      <c r="F6670" t="s">
        <v>4075</v>
      </c>
    </row>
    <row r="6671" spans="1:6" x14ac:dyDescent="0.25">
      <c r="A6671">
        <v>5254</v>
      </c>
      <c r="B6671" t="s">
        <v>4072</v>
      </c>
      <c r="C6671">
        <v>13</v>
      </c>
      <c r="D6671" t="s">
        <v>4097</v>
      </c>
      <c r="E6671" t="s">
        <v>4098</v>
      </c>
      <c r="F6671" t="s">
        <v>4076</v>
      </c>
    </row>
    <row r="6672" spans="1:6" x14ac:dyDescent="0.25">
      <c r="A6672">
        <v>5255</v>
      </c>
      <c r="B6672" t="s">
        <v>4072</v>
      </c>
      <c r="C6672">
        <v>4</v>
      </c>
      <c r="D6672" t="s">
        <v>4077</v>
      </c>
      <c r="E6672" t="s">
        <v>4078</v>
      </c>
      <c r="F6672" t="s">
        <v>4075</v>
      </c>
    </row>
    <row r="6673" spans="1:6" x14ac:dyDescent="0.25">
      <c r="A6673">
        <v>5255</v>
      </c>
      <c r="B6673" t="s">
        <v>4072</v>
      </c>
      <c r="C6673">
        <v>16</v>
      </c>
      <c r="D6673" t="s">
        <v>4077</v>
      </c>
      <c r="E6673" t="s">
        <v>4078</v>
      </c>
      <c r="F6673" t="s">
        <v>4076</v>
      </c>
    </row>
    <row r="6674" spans="1:6" x14ac:dyDescent="0.25">
      <c r="A6674">
        <v>5256</v>
      </c>
      <c r="B6674" t="s">
        <v>4072</v>
      </c>
      <c r="C6674">
        <v>4</v>
      </c>
      <c r="D6674" t="s">
        <v>4077</v>
      </c>
      <c r="E6674" t="s">
        <v>4078</v>
      </c>
      <c r="F6674" t="s">
        <v>4075</v>
      </c>
    </row>
    <row r="6675" spans="1:6" x14ac:dyDescent="0.25">
      <c r="A6675">
        <v>5256</v>
      </c>
      <c r="B6675" t="s">
        <v>4072</v>
      </c>
      <c r="C6675">
        <v>16</v>
      </c>
      <c r="D6675" t="s">
        <v>4077</v>
      </c>
      <c r="E6675" t="s">
        <v>4078</v>
      </c>
      <c r="F6675" t="s">
        <v>4076</v>
      </c>
    </row>
    <row r="6676" spans="1:6" x14ac:dyDescent="0.25">
      <c r="A6676">
        <v>5257</v>
      </c>
      <c r="B6676" t="s">
        <v>4092</v>
      </c>
      <c r="C6676">
        <v>33</v>
      </c>
      <c r="D6676" t="s">
        <v>4109</v>
      </c>
      <c r="E6676" t="s">
        <v>4110</v>
      </c>
      <c r="F6676" t="s">
        <v>4075</v>
      </c>
    </row>
    <row r="6677" spans="1:6" x14ac:dyDescent="0.25">
      <c r="A6677">
        <v>5257</v>
      </c>
      <c r="B6677" t="s">
        <v>4092</v>
      </c>
      <c r="C6677">
        <v>34</v>
      </c>
      <c r="D6677" t="s">
        <v>4109</v>
      </c>
      <c r="E6677" t="s">
        <v>4110</v>
      </c>
      <c r="F6677" t="s">
        <v>4076</v>
      </c>
    </row>
    <row r="6678" spans="1:6" x14ac:dyDescent="0.25">
      <c r="A6678">
        <v>5258</v>
      </c>
      <c r="B6678" t="s">
        <v>4092</v>
      </c>
      <c r="C6678">
        <v>33</v>
      </c>
      <c r="D6678" t="s">
        <v>4109</v>
      </c>
      <c r="E6678" t="s">
        <v>4110</v>
      </c>
      <c r="F6678" t="s">
        <v>4075</v>
      </c>
    </row>
    <row r="6679" spans="1:6" x14ac:dyDescent="0.25">
      <c r="A6679">
        <v>5258</v>
      </c>
      <c r="B6679" t="s">
        <v>4092</v>
      </c>
      <c r="C6679">
        <v>34</v>
      </c>
      <c r="D6679" t="s">
        <v>4109</v>
      </c>
      <c r="E6679" t="s">
        <v>4110</v>
      </c>
      <c r="F6679" t="s">
        <v>4076</v>
      </c>
    </row>
    <row r="6680" spans="1:6" x14ac:dyDescent="0.25">
      <c r="A6680">
        <v>5259</v>
      </c>
      <c r="B6680" t="s">
        <v>4092</v>
      </c>
      <c r="C6680">
        <v>32</v>
      </c>
      <c r="D6680" t="s">
        <v>4106</v>
      </c>
      <c r="E6680" t="s">
        <v>4107</v>
      </c>
      <c r="F6680" t="s">
        <v>4076</v>
      </c>
    </row>
    <row r="6681" spans="1:6" x14ac:dyDescent="0.25">
      <c r="A6681">
        <v>5260</v>
      </c>
      <c r="B6681" t="s">
        <v>4092</v>
      </c>
      <c r="C6681">
        <v>32</v>
      </c>
      <c r="D6681" t="s">
        <v>4106</v>
      </c>
      <c r="E6681" t="s">
        <v>4107</v>
      </c>
      <c r="F6681" t="s">
        <v>4076</v>
      </c>
    </row>
    <row r="6682" spans="1:6" x14ac:dyDescent="0.25">
      <c r="A6682">
        <v>5261</v>
      </c>
      <c r="B6682" t="s">
        <v>4092</v>
      </c>
      <c r="C6682">
        <v>24</v>
      </c>
      <c r="D6682" t="s">
        <v>2760</v>
      </c>
      <c r="E6682" t="s">
        <v>4108</v>
      </c>
      <c r="F6682" t="s">
        <v>4075</v>
      </c>
    </row>
    <row r="6683" spans="1:6" x14ac:dyDescent="0.25">
      <c r="A6683">
        <v>5261</v>
      </c>
      <c r="B6683" t="s">
        <v>4092</v>
      </c>
      <c r="C6683">
        <v>29</v>
      </c>
      <c r="D6683" t="s">
        <v>2760</v>
      </c>
      <c r="E6683" t="s">
        <v>4108</v>
      </c>
      <c r="F6683" t="s">
        <v>4076</v>
      </c>
    </row>
    <row r="6684" spans="1:6" x14ac:dyDescent="0.25">
      <c r="A6684">
        <v>5262</v>
      </c>
      <c r="B6684" t="s">
        <v>4072</v>
      </c>
      <c r="C6684">
        <v>6</v>
      </c>
      <c r="D6684" t="s">
        <v>4073</v>
      </c>
      <c r="E6684" t="s">
        <v>4074</v>
      </c>
      <c r="F6684" t="s">
        <v>4075</v>
      </c>
    </row>
    <row r="6685" spans="1:6" x14ac:dyDescent="0.25">
      <c r="A6685">
        <v>5262</v>
      </c>
      <c r="B6685" t="s">
        <v>4072</v>
      </c>
      <c r="C6685">
        <v>19</v>
      </c>
      <c r="D6685" t="s">
        <v>4073</v>
      </c>
      <c r="E6685" t="s">
        <v>4074</v>
      </c>
      <c r="F6685" t="s">
        <v>4076</v>
      </c>
    </row>
    <row r="6686" spans="1:6" x14ac:dyDescent="0.25">
      <c r="A6686">
        <v>5263</v>
      </c>
      <c r="B6686" t="s">
        <v>4072</v>
      </c>
      <c r="C6686">
        <v>6</v>
      </c>
      <c r="D6686" t="s">
        <v>4073</v>
      </c>
      <c r="E6686" t="s">
        <v>4074</v>
      </c>
      <c r="F6686" t="s">
        <v>4075</v>
      </c>
    </row>
    <row r="6687" spans="1:6" x14ac:dyDescent="0.25">
      <c r="A6687">
        <v>5263</v>
      </c>
      <c r="B6687" t="s">
        <v>4072</v>
      </c>
      <c r="C6687">
        <v>19</v>
      </c>
      <c r="D6687" t="s">
        <v>4073</v>
      </c>
      <c r="E6687" t="s">
        <v>4074</v>
      </c>
      <c r="F6687" t="s">
        <v>4076</v>
      </c>
    </row>
    <row r="6688" spans="1:6" x14ac:dyDescent="0.25">
      <c r="A6688">
        <v>5264</v>
      </c>
      <c r="B6688" t="s">
        <v>4092</v>
      </c>
      <c r="C6688">
        <v>33</v>
      </c>
      <c r="D6688" t="s">
        <v>4109</v>
      </c>
      <c r="E6688" t="s">
        <v>4110</v>
      </c>
      <c r="F6688" t="s">
        <v>4075</v>
      </c>
    </row>
    <row r="6689" spans="1:6" x14ac:dyDescent="0.25">
      <c r="A6689">
        <v>5264</v>
      </c>
      <c r="B6689" t="s">
        <v>4092</v>
      </c>
      <c r="C6689">
        <v>34</v>
      </c>
      <c r="D6689" t="s">
        <v>4109</v>
      </c>
      <c r="E6689" t="s">
        <v>4110</v>
      </c>
      <c r="F6689" t="s">
        <v>4076</v>
      </c>
    </row>
    <row r="6690" spans="1:6" x14ac:dyDescent="0.25">
      <c r="A6690">
        <v>5265</v>
      </c>
      <c r="B6690" t="s">
        <v>4092</v>
      </c>
      <c r="C6690">
        <v>33</v>
      </c>
      <c r="D6690" t="s">
        <v>4109</v>
      </c>
      <c r="E6690" t="s">
        <v>4110</v>
      </c>
      <c r="F6690" t="s">
        <v>4075</v>
      </c>
    </row>
    <row r="6691" spans="1:6" x14ac:dyDescent="0.25">
      <c r="A6691">
        <v>5265</v>
      </c>
      <c r="B6691" t="s">
        <v>4092</v>
      </c>
      <c r="C6691">
        <v>34</v>
      </c>
      <c r="D6691" t="s">
        <v>4109</v>
      </c>
      <c r="E6691" t="s">
        <v>4110</v>
      </c>
      <c r="F6691" t="s">
        <v>4076</v>
      </c>
    </row>
    <row r="6692" spans="1:6" x14ac:dyDescent="0.25">
      <c r="A6692">
        <v>5266</v>
      </c>
      <c r="B6692" t="s">
        <v>4092</v>
      </c>
      <c r="C6692">
        <v>33</v>
      </c>
      <c r="D6692" t="s">
        <v>4109</v>
      </c>
      <c r="E6692" t="s">
        <v>4110</v>
      </c>
      <c r="F6692" t="s">
        <v>4075</v>
      </c>
    </row>
    <row r="6693" spans="1:6" x14ac:dyDescent="0.25">
      <c r="A6693">
        <v>5266</v>
      </c>
      <c r="B6693" t="s">
        <v>4092</v>
      </c>
      <c r="C6693">
        <v>34</v>
      </c>
      <c r="D6693" t="s">
        <v>4109</v>
      </c>
      <c r="E6693" t="s">
        <v>4110</v>
      </c>
      <c r="F6693" t="s">
        <v>4076</v>
      </c>
    </row>
    <row r="6694" spans="1:6" x14ac:dyDescent="0.25">
      <c r="A6694">
        <v>5267</v>
      </c>
      <c r="B6694" t="s">
        <v>4092</v>
      </c>
      <c r="C6694">
        <v>33</v>
      </c>
      <c r="D6694" t="s">
        <v>4109</v>
      </c>
      <c r="E6694" t="s">
        <v>4110</v>
      </c>
      <c r="F6694" t="s">
        <v>4075</v>
      </c>
    </row>
    <row r="6695" spans="1:6" x14ac:dyDescent="0.25">
      <c r="A6695">
        <v>5267</v>
      </c>
      <c r="B6695" t="s">
        <v>4092</v>
      </c>
      <c r="C6695">
        <v>34</v>
      </c>
      <c r="D6695" t="s">
        <v>4109</v>
      </c>
      <c r="E6695" t="s">
        <v>4110</v>
      </c>
      <c r="F6695" t="s">
        <v>4076</v>
      </c>
    </row>
    <row r="6696" spans="1:6" x14ac:dyDescent="0.25">
      <c r="A6696">
        <v>5268</v>
      </c>
      <c r="B6696" t="s">
        <v>4072</v>
      </c>
      <c r="C6696">
        <v>6</v>
      </c>
      <c r="D6696" t="s">
        <v>4073</v>
      </c>
      <c r="E6696" t="s">
        <v>4074</v>
      </c>
      <c r="F6696" t="s">
        <v>4075</v>
      </c>
    </row>
    <row r="6697" spans="1:6" x14ac:dyDescent="0.25">
      <c r="A6697">
        <v>5268</v>
      </c>
      <c r="B6697" t="s">
        <v>4072</v>
      </c>
      <c r="C6697">
        <v>19</v>
      </c>
      <c r="D6697" t="s">
        <v>4073</v>
      </c>
      <c r="E6697" t="s">
        <v>4074</v>
      </c>
      <c r="F6697" t="s">
        <v>4076</v>
      </c>
    </row>
    <row r="6698" spans="1:6" x14ac:dyDescent="0.25">
      <c r="A6698">
        <v>5269</v>
      </c>
      <c r="B6698" t="s">
        <v>4092</v>
      </c>
      <c r="C6698">
        <v>33</v>
      </c>
      <c r="D6698" t="s">
        <v>4109</v>
      </c>
      <c r="E6698" t="s">
        <v>4110</v>
      </c>
      <c r="F6698" t="s">
        <v>4075</v>
      </c>
    </row>
    <row r="6699" spans="1:6" x14ac:dyDescent="0.25">
      <c r="A6699">
        <v>5269</v>
      </c>
      <c r="B6699" t="s">
        <v>4092</v>
      </c>
      <c r="C6699">
        <v>34</v>
      </c>
      <c r="D6699" t="s">
        <v>4109</v>
      </c>
      <c r="E6699" t="s">
        <v>4110</v>
      </c>
      <c r="F6699" t="s">
        <v>4076</v>
      </c>
    </row>
    <row r="6700" spans="1:6" x14ac:dyDescent="0.25">
      <c r="A6700">
        <v>5270</v>
      </c>
      <c r="B6700" t="s">
        <v>4092</v>
      </c>
      <c r="C6700">
        <v>33</v>
      </c>
      <c r="D6700" t="s">
        <v>4109</v>
      </c>
      <c r="E6700" t="s">
        <v>4110</v>
      </c>
      <c r="F6700" t="s">
        <v>4075</v>
      </c>
    </row>
    <row r="6701" spans="1:6" x14ac:dyDescent="0.25">
      <c r="A6701">
        <v>5270</v>
      </c>
      <c r="B6701" t="s">
        <v>4092</v>
      </c>
      <c r="C6701">
        <v>34</v>
      </c>
      <c r="D6701" t="s">
        <v>4109</v>
      </c>
      <c r="E6701" t="s">
        <v>4110</v>
      </c>
      <c r="F6701" t="s">
        <v>4076</v>
      </c>
    </row>
    <row r="6702" spans="1:6" x14ac:dyDescent="0.25">
      <c r="A6702">
        <v>5271</v>
      </c>
      <c r="B6702" t="s">
        <v>4092</v>
      </c>
      <c r="C6702">
        <v>33</v>
      </c>
      <c r="D6702" t="s">
        <v>4109</v>
      </c>
      <c r="E6702" t="s">
        <v>4110</v>
      </c>
      <c r="F6702" t="s">
        <v>4075</v>
      </c>
    </row>
    <row r="6703" spans="1:6" x14ac:dyDescent="0.25">
      <c r="A6703">
        <v>5271</v>
      </c>
      <c r="B6703" t="s">
        <v>4092</v>
      </c>
      <c r="C6703">
        <v>34</v>
      </c>
      <c r="D6703" t="s">
        <v>4109</v>
      </c>
      <c r="E6703" t="s">
        <v>4110</v>
      </c>
      <c r="F6703" t="s">
        <v>4076</v>
      </c>
    </row>
    <row r="6704" spans="1:6" x14ac:dyDescent="0.25">
      <c r="A6704">
        <v>5272</v>
      </c>
      <c r="B6704" t="s">
        <v>4072</v>
      </c>
      <c r="C6704">
        <v>6</v>
      </c>
      <c r="D6704" t="s">
        <v>4073</v>
      </c>
      <c r="E6704" t="s">
        <v>4074</v>
      </c>
      <c r="F6704" t="s">
        <v>4075</v>
      </c>
    </row>
    <row r="6705" spans="1:6" x14ac:dyDescent="0.25">
      <c r="A6705">
        <v>5272</v>
      </c>
      <c r="B6705" t="s">
        <v>4072</v>
      </c>
      <c r="C6705">
        <v>19</v>
      </c>
      <c r="D6705" t="s">
        <v>4073</v>
      </c>
      <c r="E6705" t="s">
        <v>4074</v>
      </c>
      <c r="F6705" t="s">
        <v>4076</v>
      </c>
    </row>
    <row r="6706" spans="1:6" x14ac:dyDescent="0.25">
      <c r="A6706">
        <v>5273</v>
      </c>
      <c r="B6706" t="s">
        <v>4072</v>
      </c>
      <c r="C6706">
        <v>6</v>
      </c>
      <c r="D6706" t="s">
        <v>4073</v>
      </c>
      <c r="E6706" t="s">
        <v>4074</v>
      </c>
      <c r="F6706" t="s">
        <v>4075</v>
      </c>
    </row>
    <row r="6707" spans="1:6" x14ac:dyDescent="0.25">
      <c r="A6707">
        <v>5273</v>
      </c>
      <c r="B6707" t="s">
        <v>4072</v>
      </c>
      <c r="C6707">
        <v>19</v>
      </c>
      <c r="D6707" t="s">
        <v>4073</v>
      </c>
      <c r="E6707" t="s">
        <v>4074</v>
      </c>
      <c r="F6707" t="s">
        <v>4076</v>
      </c>
    </row>
    <row r="6708" spans="1:6" x14ac:dyDescent="0.25">
      <c r="A6708">
        <v>5274</v>
      </c>
      <c r="B6708" t="s">
        <v>4072</v>
      </c>
      <c r="C6708">
        <v>5</v>
      </c>
      <c r="D6708" t="s">
        <v>4087</v>
      </c>
      <c r="E6708" t="s">
        <v>4088</v>
      </c>
      <c r="F6708" t="s">
        <v>4075</v>
      </c>
    </row>
    <row r="6709" spans="1:6" x14ac:dyDescent="0.25">
      <c r="A6709">
        <v>5274</v>
      </c>
      <c r="B6709" t="s">
        <v>4072</v>
      </c>
      <c r="C6709">
        <v>15</v>
      </c>
      <c r="D6709" t="s">
        <v>4080</v>
      </c>
      <c r="E6709" t="s">
        <v>4081</v>
      </c>
      <c r="F6709" t="s">
        <v>4076</v>
      </c>
    </row>
    <row r="6710" spans="1:6" x14ac:dyDescent="0.25">
      <c r="A6710">
        <v>5275</v>
      </c>
      <c r="B6710" t="s">
        <v>4072</v>
      </c>
      <c r="C6710">
        <v>4</v>
      </c>
      <c r="D6710" t="s">
        <v>4077</v>
      </c>
      <c r="E6710" t="s">
        <v>4078</v>
      </c>
      <c r="F6710" t="s">
        <v>4075</v>
      </c>
    </row>
    <row r="6711" spans="1:6" x14ac:dyDescent="0.25">
      <c r="A6711">
        <v>5275</v>
      </c>
      <c r="B6711" t="s">
        <v>4072</v>
      </c>
      <c r="C6711">
        <v>16</v>
      </c>
      <c r="D6711" t="s">
        <v>4077</v>
      </c>
      <c r="E6711" t="s">
        <v>4078</v>
      </c>
      <c r="F6711" t="s">
        <v>4076</v>
      </c>
    </row>
    <row r="6712" spans="1:6" x14ac:dyDescent="0.25">
      <c r="A6712">
        <v>5276</v>
      </c>
      <c r="B6712" t="s">
        <v>4072</v>
      </c>
      <c r="C6712">
        <v>3</v>
      </c>
      <c r="D6712" t="s">
        <v>4085</v>
      </c>
      <c r="E6712" t="s">
        <v>4086</v>
      </c>
      <c r="F6712" t="s">
        <v>4075</v>
      </c>
    </row>
    <row r="6713" spans="1:6" x14ac:dyDescent="0.25">
      <c r="A6713">
        <v>5276</v>
      </c>
      <c r="B6713" t="s">
        <v>4072</v>
      </c>
      <c r="C6713">
        <v>5</v>
      </c>
      <c r="D6713" t="s">
        <v>4087</v>
      </c>
      <c r="E6713" t="s">
        <v>4088</v>
      </c>
      <c r="F6713" t="s">
        <v>4075</v>
      </c>
    </row>
    <row r="6714" spans="1:6" x14ac:dyDescent="0.25">
      <c r="A6714">
        <v>5276</v>
      </c>
      <c r="B6714" t="s">
        <v>4072</v>
      </c>
      <c r="C6714">
        <v>15</v>
      </c>
      <c r="D6714" t="s">
        <v>4080</v>
      </c>
      <c r="E6714" t="s">
        <v>4081</v>
      </c>
      <c r="F6714" t="s">
        <v>4076</v>
      </c>
    </row>
    <row r="6715" spans="1:6" x14ac:dyDescent="0.25">
      <c r="A6715">
        <v>5277</v>
      </c>
      <c r="B6715" t="s">
        <v>4092</v>
      </c>
      <c r="C6715">
        <v>33</v>
      </c>
      <c r="D6715" t="s">
        <v>4109</v>
      </c>
      <c r="E6715" t="s">
        <v>4110</v>
      </c>
      <c r="F6715" t="s">
        <v>4075</v>
      </c>
    </row>
    <row r="6716" spans="1:6" x14ac:dyDescent="0.25">
      <c r="A6716">
        <v>5277</v>
      </c>
      <c r="B6716" t="s">
        <v>4092</v>
      </c>
      <c r="C6716">
        <v>34</v>
      </c>
      <c r="D6716" t="s">
        <v>4109</v>
      </c>
      <c r="E6716" t="s">
        <v>4110</v>
      </c>
      <c r="F6716" t="s">
        <v>4076</v>
      </c>
    </row>
    <row r="6717" spans="1:6" x14ac:dyDescent="0.25">
      <c r="A6717">
        <v>5278</v>
      </c>
      <c r="B6717" t="s">
        <v>4072</v>
      </c>
      <c r="C6717">
        <v>4</v>
      </c>
      <c r="D6717" t="s">
        <v>4077</v>
      </c>
      <c r="E6717" t="s">
        <v>4078</v>
      </c>
      <c r="F6717" t="s">
        <v>4075</v>
      </c>
    </row>
    <row r="6718" spans="1:6" x14ac:dyDescent="0.25">
      <c r="A6718">
        <v>5278</v>
      </c>
      <c r="B6718" t="s">
        <v>4072</v>
      </c>
      <c r="C6718">
        <v>16</v>
      </c>
      <c r="D6718" t="s">
        <v>4077</v>
      </c>
      <c r="E6718" t="s">
        <v>4078</v>
      </c>
      <c r="F6718" t="s">
        <v>4076</v>
      </c>
    </row>
    <row r="6719" spans="1:6" x14ac:dyDescent="0.25">
      <c r="A6719">
        <v>5279</v>
      </c>
      <c r="B6719" t="s">
        <v>4072</v>
      </c>
      <c r="C6719">
        <v>6</v>
      </c>
      <c r="D6719" t="s">
        <v>4073</v>
      </c>
      <c r="E6719" t="s">
        <v>4074</v>
      </c>
      <c r="F6719" t="s">
        <v>4075</v>
      </c>
    </row>
    <row r="6720" spans="1:6" x14ac:dyDescent="0.25">
      <c r="A6720">
        <v>5279</v>
      </c>
      <c r="B6720" t="s">
        <v>4072</v>
      </c>
      <c r="C6720">
        <v>19</v>
      </c>
      <c r="D6720" t="s">
        <v>4073</v>
      </c>
      <c r="E6720" t="s">
        <v>4074</v>
      </c>
      <c r="F6720" t="s">
        <v>4076</v>
      </c>
    </row>
    <row r="6721" spans="1:6" x14ac:dyDescent="0.25">
      <c r="A6721">
        <v>5280</v>
      </c>
      <c r="B6721" t="s">
        <v>4072</v>
      </c>
      <c r="C6721">
        <v>5</v>
      </c>
      <c r="D6721" t="s">
        <v>4087</v>
      </c>
      <c r="E6721" t="s">
        <v>4088</v>
      </c>
      <c r="F6721" t="s">
        <v>4075</v>
      </c>
    </row>
    <row r="6722" spans="1:6" x14ac:dyDescent="0.25">
      <c r="A6722">
        <v>5280</v>
      </c>
      <c r="B6722" t="s">
        <v>4072</v>
      </c>
      <c r="C6722">
        <v>15</v>
      </c>
      <c r="D6722" t="s">
        <v>4080</v>
      </c>
      <c r="E6722" t="s">
        <v>4081</v>
      </c>
      <c r="F6722" t="s">
        <v>4076</v>
      </c>
    </row>
    <row r="6723" spans="1:6" x14ac:dyDescent="0.25">
      <c r="A6723">
        <v>5281</v>
      </c>
      <c r="B6723" t="s">
        <v>4072</v>
      </c>
      <c r="C6723">
        <v>10</v>
      </c>
      <c r="D6723" t="s">
        <v>4095</v>
      </c>
      <c r="E6723" t="s">
        <v>4096</v>
      </c>
      <c r="F6723" t="s">
        <v>4075</v>
      </c>
    </row>
    <row r="6724" spans="1:6" x14ac:dyDescent="0.25">
      <c r="A6724">
        <v>5281</v>
      </c>
      <c r="B6724" t="s">
        <v>4072</v>
      </c>
      <c r="C6724">
        <v>13</v>
      </c>
      <c r="D6724" t="s">
        <v>4097</v>
      </c>
      <c r="E6724" t="s">
        <v>4098</v>
      </c>
      <c r="F6724" t="s">
        <v>4076</v>
      </c>
    </row>
    <row r="6725" spans="1:6" x14ac:dyDescent="0.25">
      <c r="A6725">
        <v>5282</v>
      </c>
      <c r="B6725" t="s">
        <v>4092</v>
      </c>
      <c r="C6725">
        <v>33</v>
      </c>
      <c r="D6725" t="s">
        <v>4109</v>
      </c>
      <c r="E6725" t="s">
        <v>4110</v>
      </c>
      <c r="F6725" t="s">
        <v>4075</v>
      </c>
    </row>
    <row r="6726" spans="1:6" x14ac:dyDescent="0.25">
      <c r="A6726">
        <v>5282</v>
      </c>
      <c r="B6726" t="s">
        <v>4092</v>
      </c>
      <c r="C6726">
        <v>34</v>
      </c>
      <c r="D6726" t="s">
        <v>4109</v>
      </c>
      <c r="E6726" t="s">
        <v>4110</v>
      </c>
      <c r="F6726" t="s">
        <v>4076</v>
      </c>
    </row>
    <row r="6727" spans="1:6" x14ac:dyDescent="0.25">
      <c r="A6727">
        <v>5283</v>
      </c>
      <c r="B6727" t="s">
        <v>4092</v>
      </c>
      <c r="C6727">
        <v>33</v>
      </c>
      <c r="D6727" t="s">
        <v>4109</v>
      </c>
      <c r="E6727" t="s">
        <v>4110</v>
      </c>
      <c r="F6727" t="s">
        <v>4075</v>
      </c>
    </row>
    <row r="6728" spans="1:6" x14ac:dyDescent="0.25">
      <c r="A6728">
        <v>5283</v>
      </c>
      <c r="B6728" t="s">
        <v>4092</v>
      </c>
      <c r="C6728">
        <v>34</v>
      </c>
      <c r="D6728" t="s">
        <v>4109</v>
      </c>
      <c r="E6728" t="s">
        <v>4110</v>
      </c>
      <c r="F6728" t="s">
        <v>4076</v>
      </c>
    </row>
    <row r="6729" spans="1:6" x14ac:dyDescent="0.25">
      <c r="A6729">
        <v>5284</v>
      </c>
      <c r="B6729" t="s">
        <v>4092</v>
      </c>
      <c r="C6729">
        <v>33</v>
      </c>
      <c r="D6729" t="s">
        <v>4109</v>
      </c>
      <c r="E6729" t="s">
        <v>4110</v>
      </c>
      <c r="F6729" t="s">
        <v>4075</v>
      </c>
    </row>
    <row r="6730" spans="1:6" x14ac:dyDescent="0.25">
      <c r="A6730">
        <v>5284</v>
      </c>
      <c r="B6730" t="s">
        <v>4092</v>
      </c>
      <c r="C6730">
        <v>34</v>
      </c>
      <c r="D6730" t="s">
        <v>4109</v>
      </c>
      <c r="E6730" t="s">
        <v>4110</v>
      </c>
      <c r="F6730" t="s">
        <v>4076</v>
      </c>
    </row>
    <row r="6731" spans="1:6" x14ac:dyDescent="0.25">
      <c r="A6731">
        <v>5285</v>
      </c>
      <c r="B6731" t="s">
        <v>4092</v>
      </c>
      <c r="C6731">
        <v>33</v>
      </c>
      <c r="D6731" t="s">
        <v>4109</v>
      </c>
      <c r="E6731" t="s">
        <v>4110</v>
      </c>
      <c r="F6731" t="s">
        <v>4075</v>
      </c>
    </row>
    <row r="6732" spans="1:6" x14ac:dyDescent="0.25">
      <c r="A6732">
        <v>5285</v>
      </c>
      <c r="B6732" t="s">
        <v>4092</v>
      </c>
      <c r="C6732">
        <v>34</v>
      </c>
      <c r="D6732" t="s">
        <v>4109</v>
      </c>
      <c r="E6732" t="s">
        <v>4110</v>
      </c>
      <c r="F6732" t="s">
        <v>4076</v>
      </c>
    </row>
    <row r="6733" spans="1:6" x14ac:dyDescent="0.25">
      <c r="A6733">
        <v>5286</v>
      </c>
      <c r="B6733" t="s">
        <v>4092</v>
      </c>
      <c r="C6733">
        <v>33</v>
      </c>
      <c r="D6733" t="s">
        <v>4109</v>
      </c>
      <c r="E6733" t="s">
        <v>4110</v>
      </c>
      <c r="F6733" t="s">
        <v>4075</v>
      </c>
    </row>
    <row r="6734" spans="1:6" x14ac:dyDescent="0.25">
      <c r="A6734">
        <v>5286</v>
      </c>
      <c r="B6734" t="s">
        <v>4092</v>
      </c>
      <c r="C6734">
        <v>34</v>
      </c>
      <c r="D6734" t="s">
        <v>4109</v>
      </c>
      <c r="E6734" t="s">
        <v>4110</v>
      </c>
      <c r="F6734" t="s">
        <v>4076</v>
      </c>
    </row>
    <row r="6735" spans="1:6" x14ac:dyDescent="0.25">
      <c r="A6735">
        <v>5290</v>
      </c>
      <c r="B6735" t="s">
        <v>4072</v>
      </c>
      <c r="C6735">
        <v>5</v>
      </c>
      <c r="D6735" t="s">
        <v>4087</v>
      </c>
      <c r="E6735" t="s">
        <v>4088</v>
      </c>
      <c r="F6735" t="s">
        <v>4075</v>
      </c>
    </row>
    <row r="6736" spans="1:6" x14ac:dyDescent="0.25">
      <c r="A6736">
        <v>5290</v>
      </c>
      <c r="B6736" t="s">
        <v>4072</v>
      </c>
      <c r="C6736">
        <v>15</v>
      </c>
      <c r="D6736" t="s">
        <v>4080</v>
      </c>
      <c r="E6736" t="s">
        <v>4081</v>
      </c>
      <c r="F6736" t="s">
        <v>4076</v>
      </c>
    </row>
    <row r="6737" spans="1:6" x14ac:dyDescent="0.25">
      <c r="A6737">
        <v>5291</v>
      </c>
      <c r="B6737" t="s">
        <v>4072</v>
      </c>
      <c r="C6737">
        <v>10</v>
      </c>
      <c r="D6737" t="s">
        <v>4095</v>
      </c>
      <c r="E6737" t="s">
        <v>4096</v>
      </c>
      <c r="F6737" t="s">
        <v>4075</v>
      </c>
    </row>
    <row r="6738" spans="1:6" x14ac:dyDescent="0.25">
      <c r="A6738">
        <v>5292</v>
      </c>
      <c r="B6738" t="s">
        <v>4092</v>
      </c>
      <c r="C6738">
        <v>33</v>
      </c>
      <c r="D6738" t="s">
        <v>4109</v>
      </c>
      <c r="E6738" t="s">
        <v>4110</v>
      </c>
      <c r="F6738" t="s">
        <v>4075</v>
      </c>
    </row>
    <row r="6739" spans="1:6" x14ac:dyDescent="0.25">
      <c r="A6739">
        <v>5293</v>
      </c>
      <c r="B6739" t="s">
        <v>4092</v>
      </c>
      <c r="C6739">
        <v>23</v>
      </c>
      <c r="D6739" t="s">
        <v>2757</v>
      </c>
      <c r="E6739" t="s">
        <v>4093</v>
      </c>
      <c r="F6739" t="s">
        <v>4075</v>
      </c>
    </row>
    <row r="6740" spans="1:6" x14ac:dyDescent="0.25">
      <c r="A6740">
        <v>5293</v>
      </c>
      <c r="B6740" t="s">
        <v>4092</v>
      </c>
      <c r="C6740">
        <v>28</v>
      </c>
      <c r="D6740" t="s">
        <v>2757</v>
      </c>
      <c r="E6740" t="s">
        <v>4093</v>
      </c>
      <c r="F6740" t="s">
        <v>4076</v>
      </c>
    </row>
    <row r="6741" spans="1:6" x14ac:dyDescent="0.25">
      <c r="A6741">
        <v>5294</v>
      </c>
      <c r="B6741" t="s">
        <v>4092</v>
      </c>
      <c r="C6741">
        <v>24</v>
      </c>
      <c r="D6741" t="s">
        <v>2760</v>
      </c>
      <c r="E6741" t="s">
        <v>4108</v>
      </c>
      <c r="F6741" t="s">
        <v>4075</v>
      </c>
    </row>
    <row r="6742" spans="1:6" x14ac:dyDescent="0.25">
      <c r="A6742">
        <v>5294</v>
      </c>
      <c r="B6742" t="s">
        <v>4092</v>
      </c>
      <c r="C6742">
        <v>29</v>
      </c>
      <c r="D6742" t="s">
        <v>2760</v>
      </c>
      <c r="E6742" t="s">
        <v>4108</v>
      </c>
      <c r="F6742" t="s">
        <v>4076</v>
      </c>
    </row>
    <row r="6743" spans="1:6" x14ac:dyDescent="0.25">
      <c r="A6743">
        <v>5295</v>
      </c>
      <c r="B6743" t="s">
        <v>4092</v>
      </c>
      <c r="C6743">
        <v>33</v>
      </c>
      <c r="D6743" t="s">
        <v>4109</v>
      </c>
      <c r="E6743" t="s">
        <v>4110</v>
      </c>
      <c r="F6743" t="s">
        <v>4075</v>
      </c>
    </row>
    <row r="6744" spans="1:6" x14ac:dyDescent="0.25">
      <c r="A6744">
        <v>5295</v>
      </c>
      <c r="B6744" t="s">
        <v>4092</v>
      </c>
      <c r="C6744">
        <v>34</v>
      </c>
      <c r="D6744" t="s">
        <v>4109</v>
      </c>
      <c r="E6744" t="s">
        <v>4110</v>
      </c>
      <c r="F6744" t="s">
        <v>4076</v>
      </c>
    </row>
    <row r="6745" spans="1:6" x14ac:dyDescent="0.25">
      <c r="A6745">
        <v>5296</v>
      </c>
      <c r="B6745" t="s">
        <v>4072</v>
      </c>
      <c r="C6745">
        <v>2</v>
      </c>
      <c r="D6745" t="s">
        <v>4082</v>
      </c>
      <c r="E6745" t="s">
        <v>4083</v>
      </c>
      <c r="F6745" t="s">
        <v>4075</v>
      </c>
    </row>
    <row r="6746" spans="1:6" x14ac:dyDescent="0.25">
      <c r="A6746">
        <v>5296</v>
      </c>
      <c r="B6746" t="s">
        <v>4072</v>
      </c>
      <c r="C6746">
        <v>17</v>
      </c>
      <c r="D6746" t="s">
        <v>4082</v>
      </c>
      <c r="E6746" t="s">
        <v>4084</v>
      </c>
      <c r="F6746" t="s">
        <v>4076</v>
      </c>
    </row>
    <row r="6747" spans="1:6" x14ac:dyDescent="0.25">
      <c r="A6747">
        <v>5297</v>
      </c>
      <c r="B6747" t="s">
        <v>4072</v>
      </c>
      <c r="C6747">
        <v>5</v>
      </c>
      <c r="D6747" t="s">
        <v>4087</v>
      </c>
      <c r="E6747" t="s">
        <v>4088</v>
      </c>
      <c r="F6747" t="s">
        <v>4075</v>
      </c>
    </row>
    <row r="6748" spans="1:6" x14ac:dyDescent="0.25">
      <c r="A6748">
        <v>5297</v>
      </c>
      <c r="B6748" t="s">
        <v>4072</v>
      </c>
      <c r="C6748">
        <v>15</v>
      </c>
      <c r="D6748" t="s">
        <v>4080</v>
      </c>
      <c r="E6748" t="s">
        <v>4081</v>
      </c>
      <c r="F6748" t="s">
        <v>4076</v>
      </c>
    </row>
    <row r="6749" spans="1:6" x14ac:dyDescent="0.25">
      <c r="A6749">
        <v>5298</v>
      </c>
      <c r="B6749" t="s">
        <v>4072</v>
      </c>
      <c r="C6749">
        <v>4</v>
      </c>
      <c r="D6749" t="s">
        <v>4077</v>
      </c>
      <c r="E6749" t="s">
        <v>4078</v>
      </c>
      <c r="F6749" t="s">
        <v>4075</v>
      </c>
    </row>
    <row r="6750" spans="1:6" x14ac:dyDescent="0.25">
      <c r="A6750">
        <v>5298</v>
      </c>
      <c r="B6750" t="s">
        <v>4072</v>
      </c>
      <c r="C6750">
        <v>16</v>
      </c>
      <c r="D6750" t="s">
        <v>4077</v>
      </c>
      <c r="E6750" t="s">
        <v>4078</v>
      </c>
      <c r="F6750" t="s">
        <v>4076</v>
      </c>
    </row>
    <row r="6751" spans="1:6" x14ac:dyDescent="0.25">
      <c r="A6751">
        <v>5299</v>
      </c>
      <c r="B6751" t="s">
        <v>4072</v>
      </c>
      <c r="C6751">
        <v>4</v>
      </c>
      <c r="D6751" t="s">
        <v>4077</v>
      </c>
      <c r="E6751" t="s">
        <v>4078</v>
      </c>
      <c r="F6751" t="s">
        <v>4075</v>
      </c>
    </row>
    <row r="6752" spans="1:6" x14ac:dyDescent="0.25">
      <c r="A6752">
        <v>5299</v>
      </c>
      <c r="B6752" t="s">
        <v>4072</v>
      </c>
      <c r="C6752">
        <v>16</v>
      </c>
      <c r="D6752" t="s">
        <v>4077</v>
      </c>
      <c r="E6752" t="s">
        <v>4078</v>
      </c>
      <c r="F6752" t="s">
        <v>4076</v>
      </c>
    </row>
    <row r="6753" spans="1:6" x14ac:dyDescent="0.25">
      <c r="A6753">
        <v>5300</v>
      </c>
      <c r="B6753" t="s">
        <v>4072</v>
      </c>
      <c r="C6753">
        <v>3</v>
      </c>
      <c r="D6753" t="s">
        <v>4085</v>
      </c>
      <c r="E6753" t="s">
        <v>4086</v>
      </c>
      <c r="F6753" t="s">
        <v>4075</v>
      </c>
    </row>
    <row r="6754" spans="1:6" x14ac:dyDescent="0.25">
      <c r="A6754">
        <v>5300</v>
      </c>
      <c r="B6754" t="s">
        <v>4072</v>
      </c>
      <c r="C6754">
        <v>15</v>
      </c>
      <c r="D6754" t="s">
        <v>4080</v>
      </c>
      <c r="E6754" t="s">
        <v>4081</v>
      </c>
      <c r="F6754" t="s">
        <v>4076</v>
      </c>
    </row>
    <row r="6755" spans="1:6" x14ac:dyDescent="0.25">
      <c r="A6755">
        <v>5301</v>
      </c>
      <c r="B6755" t="s">
        <v>4092</v>
      </c>
      <c r="C6755">
        <v>33</v>
      </c>
      <c r="D6755" t="s">
        <v>4109</v>
      </c>
      <c r="E6755" t="s">
        <v>4110</v>
      </c>
      <c r="F6755" t="s">
        <v>4075</v>
      </c>
    </row>
    <row r="6756" spans="1:6" x14ac:dyDescent="0.25">
      <c r="A6756">
        <v>5302</v>
      </c>
      <c r="B6756" t="s">
        <v>4092</v>
      </c>
      <c r="C6756">
        <v>23</v>
      </c>
      <c r="D6756" t="s">
        <v>2757</v>
      </c>
      <c r="E6756" t="s">
        <v>4093</v>
      </c>
      <c r="F6756" t="s">
        <v>4075</v>
      </c>
    </row>
    <row r="6757" spans="1:6" x14ac:dyDescent="0.25">
      <c r="A6757">
        <v>5302</v>
      </c>
      <c r="B6757" t="s">
        <v>4092</v>
      </c>
      <c r="C6757">
        <v>28</v>
      </c>
      <c r="D6757" t="s">
        <v>2757</v>
      </c>
      <c r="E6757" t="s">
        <v>4093</v>
      </c>
      <c r="F6757" t="s">
        <v>4076</v>
      </c>
    </row>
    <row r="6758" spans="1:6" x14ac:dyDescent="0.25">
      <c r="A6758">
        <v>5303</v>
      </c>
      <c r="B6758" t="s">
        <v>4092</v>
      </c>
      <c r="C6758">
        <v>24</v>
      </c>
      <c r="D6758" t="s">
        <v>2760</v>
      </c>
      <c r="E6758" t="s">
        <v>4108</v>
      </c>
      <c r="F6758" t="s">
        <v>4075</v>
      </c>
    </row>
    <row r="6759" spans="1:6" x14ac:dyDescent="0.25">
      <c r="A6759">
        <v>5304</v>
      </c>
      <c r="B6759" t="s">
        <v>4092</v>
      </c>
      <c r="C6759">
        <v>33</v>
      </c>
      <c r="D6759" t="s">
        <v>4109</v>
      </c>
      <c r="E6759" t="s">
        <v>4110</v>
      </c>
      <c r="F6759" t="s">
        <v>4075</v>
      </c>
    </row>
    <row r="6760" spans="1:6" x14ac:dyDescent="0.25">
      <c r="A6760">
        <v>5305</v>
      </c>
      <c r="B6760" t="s">
        <v>4072</v>
      </c>
      <c r="C6760">
        <v>2</v>
      </c>
      <c r="D6760" t="s">
        <v>4082</v>
      </c>
      <c r="E6760" t="s">
        <v>4083</v>
      </c>
      <c r="F6760" t="s">
        <v>4075</v>
      </c>
    </row>
    <row r="6761" spans="1:6" x14ac:dyDescent="0.25">
      <c r="A6761">
        <v>5305</v>
      </c>
      <c r="B6761" t="s">
        <v>4072</v>
      </c>
      <c r="C6761">
        <v>17</v>
      </c>
      <c r="D6761" t="s">
        <v>4082</v>
      </c>
      <c r="E6761" t="s">
        <v>4084</v>
      </c>
      <c r="F6761" t="s">
        <v>4076</v>
      </c>
    </row>
    <row r="6762" spans="1:6" x14ac:dyDescent="0.25">
      <c r="A6762">
        <v>5306</v>
      </c>
      <c r="B6762" t="s">
        <v>4072</v>
      </c>
      <c r="C6762">
        <v>5</v>
      </c>
      <c r="D6762" t="s">
        <v>4087</v>
      </c>
      <c r="E6762" t="s">
        <v>4088</v>
      </c>
      <c r="F6762" t="s">
        <v>4075</v>
      </c>
    </row>
    <row r="6763" spans="1:6" x14ac:dyDescent="0.25">
      <c r="A6763">
        <v>5306</v>
      </c>
      <c r="B6763" t="s">
        <v>4072</v>
      </c>
      <c r="C6763">
        <v>15</v>
      </c>
      <c r="D6763" t="s">
        <v>4080</v>
      </c>
      <c r="E6763" t="s">
        <v>4081</v>
      </c>
      <c r="F6763" t="s">
        <v>4076</v>
      </c>
    </row>
    <row r="6764" spans="1:6" x14ac:dyDescent="0.25">
      <c r="A6764">
        <v>5307</v>
      </c>
      <c r="B6764" t="s">
        <v>4072</v>
      </c>
      <c r="C6764">
        <v>5</v>
      </c>
      <c r="D6764" t="s">
        <v>4087</v>
      </c>
      <c r="E6764" t="s">
        <v>4088</v>
      </c>
      <c r="F6764" t="s">
        <v>4075</v>
      </c>
    </row>
    <row r="6765" spans="1:6" x14ac:dyDescent="0.25">
      <c r="A6765">
        <v>5307</v>
      </c>
      <c r="B6765" t="s">
        <v>4072</v>
      </c>
      <c r="C6765">
        <v>15</v>
      </c>
      <c r="D6765" t="s">
        <v>4080</v>
      </c>
      <c r="E6765" t="s">
        <v>4081</v>
      </c>
      <c r="F6765" t="s">
        <v>4076</v>
      </c>
    </row>
    <row r="6766" spans="1:6" x14ac:dyDescent="0.25">
      <c r="A6766">
        <v>5308</v>
      </c>
      <c r="B6766" t="s">
        <v>4072</v>
      </c>
      <c r="C6766">
        <v>4</v>
      </c>
      <c r="D6766" t="s">
        <v>4077</v>
      </c>
      <c r="E6766" t="s">
        <v>4078</v>
      </c>
      <c r="F6766" t="s">
        <v>4075</v>
      </c>
    </row>
    <row r="6767" spans="1:6" x14ac:dyDescent="0.25">
      <c r="A6767">
        <v>5308</v>
      </c>
      <c r="B6767" t="s">
        <v>4072</v>
      </c>
      <c r="C6767">
        <v>16</v>
      </c>
      <c r="D6767" t="s">
        <v>4077</v>
      </c>
      <c r="E6767" t="s">
        <v>4078</v>
      </c>
      <c r="F6767" t="s">
        <v>4076</v>
      </c>
    </row>
    <row r="6768" spans="1:6" x14ac:dyDescent="0.25">
      <c r="A6768">
        <v>5309</v>
      </c>
      <c r="B6768" t="s">
        <v>4072</v>
      </c>
      <c r="C6768">
        <v>3</v>
      </c>
      <c r="D6768" t="s">
        <v>4085</v>
      </c>
      <c r="E6768" t="s">
        <v>4086</v>
      </c>
      <c r="F6768" t="s">
        <v>4075</v>
      </c>
    </row>
    <row r="6769" spans="1:6" x14ac:dyDescent="0.25">
      <c r="A6769">
        <v>5309</v>
      </c>
      <c r="B6769" t="s">
        <v>4072</v>
      </c>
      <c r="C6769">
        <v>15</v>
      </c>
      <c r="D6769" t="s">
        <v>4080</v>
      </c>
      <c r="E6769" t="s">
        <v>4081</v>
      </c>
      <c r="F6769" t="s">
        <v>4076</v>
      </c>
    </row>
    <row r="6770" spans="1:6" x14ac:dyDescent="0.25">
      <c r="A6770">
        <v>5310</v>
      </c>
      <c r="B6770" t="s">
        <v>4072</v>
      </c>
      <c r="C6770">
        <v>6</v>
      </c>
      <c r="D6770" t="s">
        <v>4073</v>
      </c>
      <c r="E6770" t="s">
        <v>4074</v>
      </c>
      <c r="F6770" t="s">
        <v>4075</v>
      </c>
    </row>
    <row r="6771" spans="1:6" x14ac:dyDescent="0.25">
      <c r="A6771">
        <v>5310</v>
      </c>
      <c r="B6771" t="s">
        <v>4072</v>
      </c>
      <c r="C6771">
        <v>19</v>
      </c>
      <c r="D6771" t="s">
        <v>4073</v>
      </c>
      <c r="E6771" t="s">
        <v>4074</v>
      </c>
      <c r="F6771" t="s">
        <v>4076</v>
      </c>
    </row>
    <row r="6772" spans="1:6" x14ac:dyDescent="0.25">
      <c r="A6772">
        <v>5311</v>
      </c>
      <c r="B6772" t="s">
        <v>4092</v>
      </c>
      <c r="C6772">
        <v>33</v>
      </c>
      <c r="D6772" t="s">
        <v>4109</v>
      </c>
      <c r="E6772" t="s">
        <v>4110</v>
      </c>
      <c r="F6772" t="s">
        <v>4075</v>
      </c>
    </row>
    <row r="6773" spans="1:6" x14ac:dyDescent="0.25">
      <c r="A6773">
        <v>5312</v>
      </c>
      <c r="B6773" t="s">
        <v>4072</v>
      </c>
      <c r="C6773">
        <v>1</v>
      </c>
      <c r="D6773" t="s">
        <v>2761</v>
      </c>
      <c r="E6773" t="s">
        <v>4089</v>
      </c>
      <c r="F6773" t="s">
        <v>4075</v>
      </c>
    </row>
    <row r="6774" spans="1:6" x14ac:dyDescent="0.25">
      <c r="A6774">
        <v>5312</v>
      </c>
      <c r="B6774" t="s">
        <v>4072</v>
      </c>
      <c r="C6774">
        <v>38</v>
      </c>
      <c r="D6774" t="s">
        <v>2761</v>
      </c>
      <c r="E6774" t="s">
        <v>4089</v>
      </c>
      <c r="F6774" t="s">
        <v>4076</v>
      </c>
    </row>
    <row r="6775" spans="1:6" x14ac:dyDescent="0.25">
      <c r="A6775">
        <v>5313</v>
      </c>
      <c r="B6775" t="s">
        <v>4072</v>
      </c>
      <c r="C6775">
        <v>2</v>
      </c>
      <c r="D6775" t="s">
        <v>4082</v>
      </c>
      <c r="E6775" t="s">
        <v>4083</v>
      </c>
      <c r="F6775" t="s">
        <v>4075</v>
      </c>
    </row>
    <row r="6776" spans="1:6" x14ac:dyDescent="0.25">
      <c r="A6776">
        <v>5313</v>
      </c>
      <c r="B6776" t="s">
        <v>4072</v>
      </c>
      <c r="C6776">
        <v>17</v>
      </c>
      <c r="D6776" t="s">
        <v>4082</v>
      </c>
      <c r="E6776" t="s">
        <v>4084</v>
      </c>
      <c r="F6776" t="s">
        <v>4076</v>
      </c>
    </row>
    <row r="6777" spans="1:6" x14ac:dyDescent="0.25">
      <c r="A6777">
        <v>5314</v>
      </c>
      <c r="B6777" t="s">
        <v>4072</v>
      </c>
      <c r="C6777">
        <v>5</v>
      </c>
      <c r="D6777" t="s">
        <v>4087</v>
      </c>
      <c r="E6777" t="s">
        <v>4088</v>
      </c>
      <c r="F6777" t="s">
        <v>4075</v>
      </c>
    </row>
    <row r="6778" spans="1:6" x14ac:dyDescent="0.25">
      <c r="A6778">
        <v>5314</v>
      </c>
      <c r="B6778" t="s">
        <v>4072</v>
      </c>
      <c r="C6778">
        <v>15</v>
      </c>
      <c r="D6778" t="s">
        <v>4080</v>
      </c>
      <c r="E6778" t="s">
        <v>4081</v>
      </c>
      <c r="F6778" t="s">
        <v>4076</v>
      </c>
    </row>
    <row r="6779" spans="1:6" x14ac:dyDescent="0.25">
      <c r="A6779">
        <v>5315</v>
      </c>
      <c r="B6779" t="s">
        <v>4072</v>
      </c>
      <c r="C6779">
        <v>5</v>
      </c>
      <c r="D6779" t="s">
        <v>4087</v>
      </c>
      <c r="E6779" t="s">
        <v>4088</v>
      </c>
      <c r="F6779" t="s">
        <v>4075</v>
      </c>
    </row>
    <row r="6780" spans="1:6" x14ac:dyDescent="0.25">
      <c r="A6780">
        <v>5315</v>
      </c>
      <c r="B6780" t="s">
        <v>4072</v>
      </c>
      <c r="C6780">
        <v>15</v>
      </c>
      <c r="D6780" t="s">
        <v>4080</v>
      </c>
      <c r="E6780" t="s">
        <v>4081</v>
      </c>
      <c r="F6780" t="s">
        <v>4076</v>
      </c>
    </row>
    <row r="6781" spans="1:6" x14ac:dyDescent="0.25">
      <c r="A6781">
        <v>5316</v>
      </c>
      <c r="B6781" t="s">
        <v>4092</v>
      </c>
      <c r="C6781">
        <v>23</v>
      </c>
      <c r="D6781" t="s">
        <v>2757</v>
      </c>
      <c r="E6781" t="s">
        <v>4093</v>
      </c>
      <c r="F6781" t="s">
        <v>4075</v>
      </c>
    </row>
    <row r="6782" spans="1:6" x14ac:dyDescent="0.25">
      <c r="A6782">
        <v>5316</v>
      </c>
      <c r="B6782" t="s">
        <v>4092</v>
      </c>
      <c r="C6782">
        <v>28</v>
      </c>
      <c r="D6782" t="s">
        <v>2757</v>
      </c>
      <c r="E6782" t="s">
        <v>4093</v>
      </c>
      <c r="F6782" t="s">
        <v>4076</v>
      </c>
    </row>
    <row r="6783" spans="1:6" x14ac:dyDescent="0.25">
      <c r="A6783">
        <v>5317</v>
      </c>
      <c r="B6783" t="s">
        <v>4092</v>
      </c>
      <c r="C6783">
        <v>33</v>
      </c>
      <c r="D6783" t="s">
        <v>4109</v>
      </c>
      <c r="E6783" t="s">
        <v>4110</v>
      </c>
      <c r="F6783" t="s">
        <v>4075</v>
      </c>
    </row>
    <row r="6784" spans="1:6" x14ac:dyDescent="0.25">
      <c r="A6784">
        <v>5324</v>
      </c>
      <c r="B6784" t="s">
        <v>4072</v>
      </c>
      <c r="C6784">
        <v>2</v>
      </c>
      <c r="D6784" t="s">
        <v>4082</v>
      </c>
      <c r="E6784" t="s">
        <v>4083</v>
      </c>
      <c r="F6784" t="s">
        <v>4075</v>
      </c>
    </row>
    <row r="6785" spans="1:6" x14ac:dyDescent="0.25">
      <c r="A6785">
        <v>5324</v>
      </c>
      <c r="B6785" t="s">
        <v>4072</v>
      </c>
      <c r="C6785">
        <v>17</v>
      </c>
      <c r="D6785" t="s">
        <v>4082</v>
      </c>
      <c r="E6785" t="s">
        <v>4084</v>
      </c>
      <c r="F6785" t="s">
        <v>4076</v>
      </c>
    </row>
    <row r="6786" spans="1:6" x14ac:dyDescent="0.25">
      <c r="A6786">
        <v>5325</v>
      </c>
      <c r="B6786" t="s">
        <v>4072</v>
      </c>
      <c r="C6786">
        <v>5</v>
      </c>
      <c r="D6786" t="s">
        <v>4087</v>
      </c>
      <c r="E6786" t="s">
        <v>4088</v>
      </c>
      <c r="F6786" t="s">
        <v>4075</v>
      </c>
    </row>
    <row r="6787" spans="1:6" x14ac:dyDescent="0.25">
      <c r="A6787">
        <v>5325</v>
      </c>
      <c r="B6787" t="s">
        <v>4072</v>
      </c>
      <c r="C6787">
        <v>15</v>
      </c>
      <c r="D6787" t="s">
        <v>4080</v>
      </c>
      <c r="E6787" t="s">
        <v>4081</v>
      </c>
      <c r="F6787" t="s">
        <v>4076</v>
      </c>
    </row>
    <row r="6788" spans="1:6" x14ac:dyDescent="0.25">
      <c r="A6788">
        <v>5326</v>
      </c>
      <c r="B6788" t="s">
        <v>4072</v>
      </c>
      <c r="C6788">
        <v>4</v>
      </c>
      <c r="D6788" t="s">
        <v>4077</v>
      </c>
      <c r="E6788" t="s">
        <v>4078</v>
      </c>
      <c r="F6788" t="s">
        <v>4075</v>
      </c>
    </row>
    <row r="6789" spans="1:6" x14ac:dyDescent="0.25">
      <c r="A6789">
        <v>5326</v>
      </c>
      <c r="B6789" t="s">
        <v>4072</v>
      </c>
      <c r="C6789">
        <v>16</v>
      </c>
      <c r="D6789" t="s">
        <v>4077</v>
      </c>
      <c r="E6789" t="s">
        <v>4078</v>
      </c>
      <c r="F6789" t="s">
        <v>4076</v>
      </c>
    </row>
    <row r="6790" spans="1:6" x14ac:dyDescent="0.25">
      <c r="A6790">
        <v>5327</v>
      </c>
      <c r="B6790" t="s">
        <v>4072</v>
      </c>
      <c r="C6790">
        <v>4</v>
      </c>
      <c r="D6790" t="s">
        <v>4077</v>
      </c>
      <c r="E6790" t="s">
        <v>4078</v>
      </c>
      <c r="F6790" t="s">
        <v>4075</v>
      </c>
    </row>
    <row r="6791" spans="1:6" x14ac:dyDescent="0.25">
      <c r="A6791">
        <v>5327</v>
      </c>
      <c r="B6791" t="s">
        <v>4072</v>
      </c>
      <c r="C6791">
        <v>16</v>
      </c>
      <c r="D6791" t="s">
        <v>4077</v>
      </c>
      <c r="E6791" t="s">
        <v>4078</v>
      </c>
      <c r="F6791" t="s">
        <v>4076</v>
      </c>
    </row>
    <row r="6792" spans="1:6" x14ac:dyDescent="0.25">
      <c r="A6792">
        <v>5328</v>
      </c>
      <c r="B6792" t="s">
        <v>4072</v>
      </c>
      <c r="C6792">
        <v>3</v>
      </c>
      <c r="D6792" t="s">
        <v>4085</v>
      </c>
      <c r="E6792" t="s">
        <v>4086</v>
      </c>
      <c r="F6792" t="s">
        <v>4075</v>
      </c>
    </row>
    <row r="6793" spans="1:6" x14ac:dyDescent="0.25">
      <c r="A6793">
        <v>5328</v>
      </c>
      <c r="B6793" t="s">
        <v>4072</v>
      </c>
      <c r="C6793">
        <v>15</v>
      </c>
      <c r="D6793" t="s">
        <v>4080</v>
      </c>
      <c r="E6793" t="s">
        <v>4081</v>
      </c>
      <c r="F6793" t="s">
        <v>4076</v>
      </c>
    </row>
    <row r="6794" spans="1:6" x14ac:dyDescent="0.25">
      <c r="A6794">
        <v>5329</v>
      </c>
      <c r="B6794" t="s">
        <v>4092</v>
      </c>
      <c r="C6794">
        <v>23</v>
      </c>
      <c r="D6794" t="s">
        <v>2757</v>
      </c>
      <c r="E6794" t="s">
        <v>4093</v>
      </c>
      <c r="F6794" t="s">
        <v>4075</v>
      </c>
    </row>
    <row r="6795" spans="1:6" x14ac:dyDescent="0.25">
      <c r="A6795">
        <v>5329</v>
      </c>
      <c r="B6795" t="s">
        <v>4092</v>
      </c>
      <c r="C6795">
        <v>28</v>
      </c>
      <c r="D6795" t="s">
        <v>2757</v>
      </c>
      <c r="E6795" t="s">
        <v>4093</v>
      </c>
      <c r="F6795" t="s">
        <v>4076</v>
      </c>
    </row>
    <row r="6796" spans="1:6" x14ac:dyDescent="0.25">
      <c r="A6796">
        <v>5330</v>
      </c>
      <c r="B6796" t="s">
        <v>4092</v>
      </c>
      <c r="C6796">
        <v>33</v>
      </c>
      <c r="D6796" t="s">
        <v>4109</v>
      </c>
      <c r="E6796" t="s">
        <v>4110</v>
      </c>
      <c r="F6796" t="s">
        <v>4075</v>
      </c>
    </row>
    <row r="6797" spans="1:6" x14ac:dyDescent="0.25">
      <c r="A6797">
        <v>5330</v>
      </c>
      <c r="B6797" t="s">
        <v>4092</v>
      </c>
      <c r="C6797">
        <v>34</v>
      </c>
      <c r="D6797" t="s">
        <v>4109</v>
      </c>
      <c r="E6797" t="s">
        <v>4110</v>
      </c>
      <c r="F6797" t="s">
        <v>4076</v>
      </c>
    </row>
    <row r="6798" spans="1:6" x14ac:dyDescent="0.25">
      <c r="A6798">
        <v>5352</v>
      </c>
      <c r="B6798" t="s">
        <v>4072</v>
      </c>
      <c r="C6798">
        <v>4</v>
      </c>
      <c r="D6798" t="s">
        <v>4077</v>
      </c>
      <c r="E6798" t="s">
        <v>4078</v>
      </c>
      <c r="F6798" t="s">
        <v>4075</v>
      </c>
    </row>
    <row r="6799" spans="1:6" x14ac:dyDescent="0.25">
      <c r="A6799">
        <v>5352</v>
      </c>
      <c r="B6799" t="s">
        <v>4072</v>
      </c>
      <c r="C6799">
        <v>16</v>
      </c>
      <c r="D6799" t="s">
        <v>4077</v>
      </c>
      <c r="E6799" t="s">
        <v>4078</v>
      </c>
      <c r="F6799" t="s">
        <v>4076</v>
      </c>
    </row>
    <row r="6800" spans="1:6" x14ac:dyDescent="0.25">
      <c r="A6800">
        <v>5353</v>
      </c>
      <c r="B6800" t="s">
        <v>4072</v>
      </c>
      <c r="C6800">
        <v>3</v>
      </c>
      <c r="D6800" t="s">
        <v>4085</v>
      </c>
      <c r="E6800" t="s">
        <v>4086</v>
      </c>
      <c r="F6800" t="s">
        <v>4075</v>
      </c>
    </row>
    <row r="6801" spans="1:6" x14ac:dyDescent="0.25">
      <c r="A6801">
        <v>5353</v>
      </c>
      <c r="B6801" t="s">
        <v>4072</v>
      </c>
      <c r="C6801">
        <v>15</v>
      </c>
      <c r="D6801" t="s">
        <v>4080</v>
      </c>
      <c r="E6801" t="s">
        <v>4081</v>
      </c>
      <c r="F6801" t="s">
        <v>4076</v>
      </c>
    </row>
    <row r="6802" spans="1:6" x14ac:dyDescent="0.25">
      <c r="A6802">
        <v>5354</v>
      </c>
      <c r="B6802" t="s">
        <v>4072</v>
      </c>
      <c r="C6802">
        <v>5</v>
      </c>
      <c r="D6802" t="s">
        <v>4087</v>
      </c>
      <c r="E6802" t="s">
        <v>4088</v>
      </c>
      <c r="F6802" t="s">
        <v>4075</v>
      </c>
    </row>
    <row r="6803" spans="1:6" x14ac:dyDescent="0.25">
      <c r="A6803">
        <v>5354</v>
      </c>
      <c r="B6803" t="s">
        <v>4072</v>
      </c>
      <c r="C6803">
        <v>15</v>
      </c>
      <c r="D6803" t="s">
        <v>4080</v>
      </c>
      <c r="E6803" t="s">
        <v>4081</v>
      </c>
      <c r="F6803" t="s">
        <v>4076</v>
      </c>
    </row>
    <row r="6804" spans="1:6" x14ac:dyDescent="0.25">
      <c r="A6804">
        <v>5356</v>
      </c>
      <c r="B6804" t="s">
        <v>4072</v>
      </c>
      <c r="C6804">
        <v>4</v>
      </c>
      <c r="D6804" t="s">
        <v>4077</v>
      </c>
      <c r="E6804" t="s">
        <v>4078</v>
      </c>
      <c r="F6804" t="s">
        <v>4075</v>
      </c>
    </row>
    <row r="6805" spans="1:6" x14ac:dyDescent="0.25">
      <c r="A6805">
        <v>5356</v>
      </c>
      <c r="B6805" t="s">
        <v>4072</v>
      </c>
      <c r="C6805">
        <v>16</v>
      </c>
      <c r="D6805" t="s">
        <v>4077</v>
      </c>
      <c r="E6805" t="s">
        <v>4078</v>
      </c>
      <c r="F6805" t="s">
        <v>4076</v>
      </c>
    </row>
    <row r="6806" spans="1:6" x14ac:dyDescent="0.25">
      <c r="A6806">
        <v>5357</v>
      </c>
      <c r="B6806" t="s">
        <v>4072</v>
      </c>
      <c r="C6806">
        <v>6</v>
      </c>
      <c r="D6806" t="s">
        <v>4073</v>
      </c>
      <c r="E6806" t="s">
        <v>4074</v>
      </c>
      <c r="F6806" t="s">
        <v>4075</v>
      </c>
    </row>
    <row r="6807" spans="1:6" x14ac:dyDescent="0.25">
      <c r="A6807">
        <v>5357</v>
      </c>
      <c r="B6807" t="s">
        <v>4072</v>
      </c>
      <c r="C6807">
        <v>19</v>
      </c>
      <c r="D6807" t="s">
        <v>4073</v>
      </c>
      <c r="E6807" t="s">
        <v>4074</v>
      </c>
      <c r="F6807" t="s">
        <v>4076</v>
      </c>
    </row>
    <row r="6808" spans="1:6" x14ac:dyDescent="0.25">
      <c r="A6808">
        <v>5358</v>
      </c>
      <c r="B6808" t="s">
        <v>4092</v>
      </c>
      <c r="C6808">
        <v>33</v>
      </c>
      <c r="D6808" t="s">
        <v>4109</v>
      </c>
      <c r="E6808" t="s">
        <v>4110</v>
      </c>
      <c r="F6808" t="s">
        <v>4075</v>
      </c>
    </row>
    <row r="6809" spans="1:6" x14ac:dyDescent="0.25">
      <c r="A6809">
        <v>5358</v>
      </c>
      <c r="B6809" t="s">
        <v>4092</v>
      </c>
      <c r="C6809">
        <v>34</v>
      </c>
      <c r="D6809" t="s">
        <v>4109</v>
      </c>
      <c r="E6809" t="s">
        <v>4110</v>
      </c>
      <c r="F6809" t="s">
        <v>4076</v>
      </c>
    </row>
    <row r="6810" spans="1:6" x14ac:dyDescent="0.25">
      <c r="A6810">
        <v>5359</v>
      </c>
      <c r="B6810" t="s">
        <v>4092</v>
      </c>
      <c r="C6810">
        <v>23</v>
      </c>
      <c r="D6810" t="s">
        <v>2757</v>
      </c>
      <c r="E6810" t="s">
        <v>4093</v>
      </c>
      <c r="F6810" t="s">
        <v>4075</v>
      </c>
    </row>
    <row r="6811" spans="1:6" x14ac:dyDescent="0.25">
      <c r="A6811">
        <v>5359</v>
      </c>
      <c r="B6811" t="s">
        <v>4092</v>
      </c>
      <c r="C6811">
        <v>28</v>
      </c>
      <c r="D6811" t="s">
        <v>2757</v>
      </c>
      <c r="E6811" t="s">
        <v>4093</v>
      </c>
      <c r="F6811" t="s">
        <v>4076</v>
      </c>
    </row>
    <row r="6812" spans="1:6" x14ac:dyDescent="0.25">
      <c r="A6812">
        <v>5360</v>
      </c>
      <c r="B6812" t="s">
        <v>4072</v>
      </c>
      <c r="C6812">
        <v>6</v>
      </c>
      <c r="D6812" t="s">
        <v>4073</v>
      </c>
      <c r="E6812" t="s">
        <v>4074</v>
      </c>
      <c r="F6812" t="s">
        <v>4075</v>
      </c>
    </row>
    <row r="6813" spans="1:6" x14ac:dyDescent="0.25">
      <c r="A6813">
        <v>5361</v>
      </c>
      <c r="B6813" t="s">
        <v>4072</v>
      </c>
      <c r="C6813">
        <v>5</v>
      </c>
      <c r="D6813" t="s">
        <v>4087</v>
      </c>
      <c r="E6813" t="s">
        <v>4088</v>
      </c>
      <c r="F6813" t="s">
        <v>4075</v>
      </c>
    </row>
    <row r="6814" spans="1:6" x14ac:dyDescent="0.25">
      <c r="A6814">
        <v>5361</v>
      </c>
      <c r="B6814" t="s">
        <v>4072</v>
      </c>
      <c r="C6814">
        <v>15</v>
      </c>
      <c r="D6814" t="s">
        <v>4080</v>
      </c>
      <c r="E6814" t="s">
        <v>4081</v>
      </c>
      <c r="F6814" t="s">
        <v>4076</v>
      </c>
    </row>
    <row r="6815" spans="1:6" x14ac:dyDescent="0.25">
      <c r="A6815">
        <v>5362</v>
      </c>
      <c r="B6815" t="s">
        <v>4072</v>
      </c>
      <c r="C6815">
        <v>5</v>
      </c>
      <c r="D6815" t="s">
        <v>4087</v>
      </c>
      <c r="E6815" t="s">
        <v>4088</v>
      </c>
      <c r="F6815" t="s">
        <v>4075</v>
      </c>
    </row>
    <row r="6816" spans="1:6" x14ac:dyDescent="0.25">
      <c r="A6816">
        <v>5363</v>
      </c>
      <c r="B6816" t="s">
        <v>4072</v>
      </c>
      <c r="C6816">
        <v>6</v>
      </c>
      <c r="D6816" t="s">
        <v>4073</v>
      </c>
      <c r="E6816" t="s">
        <v>4074</v>
      </c>
      <c r="F6816" t="s">
        <v>4075</v>
      </c>
    </row>
    <row r="6817" spans="1:6" x14ac:dyDescent="0.25">
      <c r="A6817">
        <v>5363</v>
      </c>
      <c r="B6817" t="s">
        <v>4072</v>
      </c>
      <c r="C6817">
        <v>19</v>
      </c>
      <c r="D6817" t="s">
        <v>4073</v>
      </c>
      <c r="E6817" t="s">
        <v>4074</v>
      </c>
      <c r="F6817" t="s">
        <v>4076</v>
      </c>
    </row>
    <row r="6818" spans="1:6" x14ac:dyDescent="0.25">
      <c r="A6818">
        <v>5364</v>
      </c>
      <c r="B6818" t="s">
        <v>4072</v>
      </c>
      <c r="C6818">
        <v>6</v>
      </c>
      <c r="D6818" t="s">
        <v>4073</v>
      </c>
      <c r="E6818" t="s">
        <v>4074</v>
      </c>
      <c r="F6818" t="s">
        <v>4075</v>
      </c>
    </row>
    <row r="6819" spans="1:6" x14ac:dyDescent="0.25">
      <c r="A6819">
        <v>5364</v>
      </c>
      <c r="B6819" t="s">
        <v>4072</v>
      </c>
      <c r="C6819">
        <v>19</v>
      </c>
      <c r="D6819" t="s">
        <v>4073</v>
      </c>
      <c r="E6819" t="s">
        <v>4074</v>
      </c>
      <c r="F6819" t="s">
        <v>4076</v>
      </c>
    </row>
    <row r="6820" spans="1:6" x14ac:dyDescent="0.25">
      <c r="A6820">
        <v>5365</v>
      </c>
      <c r="B6820" t="s">
        <v>4072</v>
      </c>
      <c r="C6820">
        <v>2</v>
      </c>
      <c r="D6820" t="s">
        <v>4082</v>
      </c>
      <c r="E6820" t="s">
        <v>4083</v>
      </c>
      <c r="F6820" t="s">
        <v>4075</v>
      </c>
    </row>
    <row r="6821" spans="1:6" x14ac:dyDescent="0.25">
      <c r="A6821">
        <v>5365</v>
      </c>
      <c r="B6821" t="s">
        <v>4072</v>
      </c>
      <c r="C6821">
        <v>17</v>
      </c>
      <c r="D6821" t="s">
        <v>4082</v>
      </c>
      <c r="E6821" t="s">
        <v>4084</v>
      </c>
      <c r="F6821" t="s">
        <v>4076</v>
      </c>
    </row>
    <row r="6822" spans="1:6" x14ac:dyDescent="0.25">
      <c r="A6822">
        <v>5366</v>
      </c>
      <c r="B6822" t="s">
        <v>4072</v>
      </c>
      <c r="C6822">
        <v>2</v>
      </c>
      <c r="D6822" t="s">
        <v>4082</v>
      </c>
      <c r="E6822" t="s">
        <v>4083</v>
      </c>
      <c r="F6822" t="s">
        <v>4075</v>
      </c>
    </row>
    <row r="6823" spans="1:6" x14ac:dyDescent="0.25">
      <c r="A6823">
        <v>5366</v>
      </c>
      <c r="B6823" t="s">
        <v>4072</v>
      </c>
      <c r="C6823">
        <v>17</v>
      </c>
      <c r="D6823" t="s">
        <v>4082</v>
      </c>
      <c r="E6823" t="s">
        <v>4084</v>
      </c>
      <c r="F6823" t="s">
        <v>4076</v>
      </c>
    </row>
    <row r="6824" spans="1:6" x14ac:dyDescent="0.25">
      <c r="A6824">
        <v>5367</v>
      </c>
      <c r="B6824" t="s">
        <v>4072</v>
      </c>
      <c r="C6824">
        <v>5</v>
      </c>
      <c r="D6824" t="s">
        <v>4087</v>
      </c>
      <c r="E6824" t="s">
        <v>4088</v>
      </c>
      <c r="F6824" t="s">
        <v>4075</v>
      </c>
    </row>
    <row r="6825" spans="1:6" x14ac:dyDescent="0.25">
      <c r="A6825">
        <v>5367</v>
      </c>
      <c r="B6825" t="s">
        <v>4072</v>
      </c>
      <c r="C6825">
        <v>15</v>
      </c>
      <c r="D6825" t="s">
        <v>4080</v>
      </c>
      <c r="E6825" t="s">
        <v>4081</v>
      </c>
      <c r="F6825" t="s">
        <v>4076</v>
      </c>
    </row>
    <row r="6826" spans="1:6" x14ac:dyDescent="0.25">
      <c r="A6826">
        <v>5368</v>
      </c>
      <c r="B6826" t="s">
        <v>4072</v>
      </c>
      <c r="C6826">
        <v>10</v>
      </c>
      <c r="D6826" t="s">
        <v>4095</v>
      </c>
      <c r="E6826" t="s">
        <v>4096</v>
      </c>
      <c r="F6826" t="s">
        <v>4075</v>
      </c>
    </row>
    <row r="6827" spans="1:6" x14ac:dyDescent="0.25">
      <c r="A6827">
        <v>5369</v>
      </c>
      <c r="B6827" t="s">
        <v>4092</v>
      </c>
      <c r="C6827">
        <v>33</v>
      </c>
      <c r="D6827" t="s">
        <v>4109</v>
      </c>
      <c r="E6827" t="s">
        <v>4110</v>
      </c>
      <c r="F6827" t="s">
        <v>4075</v>
      </c>
    </row>
    <row r="6828" spans="1:6" x14ac:dyDescent="0.25">
      <c r="A6828">
        <v>5369</v>
      </c>
      <c r="B6828" t="s">
        <v>4092</v>
      </c>
      <c r="C6828">
        <v>34</v>
      </c>
      <c r="D6828" t="s">
        <v>4109</v>
      </c>
      <c r="E6828" t="s">
        <v>4110</v>
      </c>
      <c r="F6828" t="s">
        <v>4076</v>
      </c>
    </row>
    <row r="6829" spans="1:6" x14ac:dyDescent="0.25">
      <c r="A6829">
        <v>5370</v>
      </c>
      <c r="B6829" t="s">
        <v>4072</v>
      </c>
      <c r="C6829">
        <v>4</v>
      </c>
      <c r="D6829" t="s">
        <v>4077</v>
      </c>
      <c r="E6829" t="s">
        <v>4078</v>
      </c>
      <c r="F6829" t="s">
        <v>4075</v>
      </c>
    </row>
    <row r="6830" spans="1:6" x14ac:dyDescent="0.25">
      <c r="A6830">
        <v>5370</v>
      </c>
      <c r="B6830" t="s">
        <v>4072</v>
      </c>
      <c r="C6830">
        <v>16</v>
      </c>
      <c r="D6830" t="s">
        <v>4077</v>
      </c>
      <c r="E6830" t="s">
        <v>4078</v>
      </c>
      <c r="F6830" t="s">
        <v>4076</v>
      </c>
    </row>
    <row r="6831" spans="1:6" x14ac:dyDescent="0.25">
      <c r="A6831">
        <v>5387</v>
      </c>
      <c r="B6831" t="s">
        <v>4072</v>
      </c>
      <c r="C6831">
        <v>39</v>
      </c>
      <c r="D6831" t="s">
        <v>4073</v>
      </c>
      <c r="E6831" t="s">
        <v>4074</v>
      </c>
      <c r="F6831" t="s">
        <v>4079</v>
      </c>
    </row>
    <row r="6832" spans="1:6" x14ac:dyDescent="0.25">
      <c r="A6832">
        <v>5388</v>
      </c>
      <c r="B6832" t="s">
        <v>4072</v>
      </c>
      <c r="C6832">
        <v>3</v>
      </c>
      <c r="D6832" t="s">
        <v>4085</v>
      </c>
      <c r="E6832" t="s">
        <v>4086</v>
      </c>
      <c r="F6832" t="s">
        <v>4075</v>
      </c>
    </row>
    <row r="6833" spans="1:6" x14ac:dyDescent="0.25">
      <c r="A6833">
        <v>5388</v>
      </c>
      <c r="B6833" t="s">
        <v>4072</v>
      </c>
      <c r="C6833">
        <v>5</v>
      </c>
      <c r="D6833" t="s">
        <v>4087</v>
      </c>
      <c r="E6833" t="s">
        <v>4088</v>
      </c>
      <c r="F6833" t="s">
        <v>4075</v>
      </c>
    </row>
    <row r="6834" spans="1:6" x14ac:dyDescent="0.25">
      <c r="A6834">
        <v>5388</v>
      </c>
      <c r="B6834" t="s">
        <v>4072</v>
      </c>
      <c r="C6834">
        <v>14</v>
      </c>
      <c r="D6834" t="s">
        <v>4090</v>
      </c>
      <c r="E6834" t="s">
        <v>4091</v>
      </c>
      <c r="F6834" t="s">
        <v>4076</v>
      </c>
    </row>
    <row r="6835" spans="1:6" x14ac:dyDescent="0.25">
      <c r="A6835">
        <v>5388</v>
      </c>
      <c r="B6835" t="s">
        <v>4072</v>
      </c>
      <c r="C6835">
        <v>15</v>
      </c>
      <c r="D6835" t="s">
        <v>4080</v>
      </c>
      <c r="E6835" t="s">
        <v>4081</v>
      </c>
      <c r="F6835" t="s">
        <v>4076</v>
      </c>
    </row>
    <row r="6836" spans="1:6" x14ac:dyDescent="0.25">
      <c r="A6836">
        <v>5388</v>
      </c>
      <c r="B6836" t="s">
        <v>4072</v>
      </c>
      <c r="C6836">
        <v>37</v>
      </c>
      <c r="D6836" t="s">
        <v>2398</v>
      </c>
      <c r="E6836" t="s">
        <v>4101</v>
      </c>
      <c r="F6836" t="s">
        <v>4075</v>
      </c>
    </row>
    <row r="6837" spans="1:6" x14ac:dyDescent="0.25">
      <c r="A6837">
        <v>5388</v>
      </c>
      <c r="B6837" t="s">
        <v>4072</v>
      </c>
      <c r="C6837">
        <v>40</v>
      </c>
      <c r="D6837" t="s">
        <v>4080</v>
      </c>
      <c r="E6837" t="s">
        <v>4081</v>
      </c>
      <c r="F6837" t="s">
        <v>4079</v>
      </c>
    </row>
    <row r="6838" spans="1:6" x14ac:dyDescent="0.25">
      <c r="A6838">
        <v>5388</v>
      </c>
      <c r="B6838" t="s">
        <v>4072</v>
      </c>
      <c r="C6838">
        <v>41</v>
      </c>
      <c r="D6838" t="s">
        <v>4090</v>
      </c>
      <c r="E6838" t="s">
        <v>4091</v>
      </c>
      <c r="F6838" t="s">
        <v>4079</v>
      </c>
    </row>
    <row r="6839" spans="1:6" x14ac:dyDescent="0.25">
      <c r="A6839">
        <v>5389</v>
      </c>
      <c r="B6839" t="s">
        <v>4092</v>
      </c>
      <c r="C6839">
        <v>28</v>
      </c>
      <c r="D6839" t="s">
        <v>2757</v>
      </c>
      <c r="E6839" t="s">
        <v>4093</v>
      </c>
      <c r="F6839" t="s">
        <v>4076</v>
      </c>
    </row>
    <row r="6840" spans="1:6" x14ac:dyDescent="0.25">
      <c r="A6840">
        <v>5389</v>
      </c>
      <c r="B6840" t="s">
        <v>4092</v>
      </c>
      <c r="C6840">
        <v>48</v>
      </c>
      <c r="D6840" t="s">
        <v>2757</v>
      </c>
      <c r="E6840" t="s">
        <v>4093</v>
      </c>
      <c r="F6840" t="s">
        <v>4079</v>
      </c>
    </row>
    <row r="6841" spans="1:6" x14ac:dyDescent="0.25">
      <c r="A6841">
        <v>5390</v>
      </c>
      <c r="B6841" t="s">
        <v>4092</v>
      </c>
      <c r="C6841">
        <v>23</v>
      </c>
      <c r="D6841" t="s">
        <v>2757</v>
      </c>
      <c r="E6841" t="s">
        <v>4093</v>
      </c>
      <c r="F6841" t="s">
        <v>4075</v>
      </c>
    </row>
    <row r="6842" spans="1:6" x14ac:dyDescent="0.25">
      <c r="A6842">
        <v>5390</v>
      </c>
      <c r="B6842" t="s">
        <v>4092</v>
      </c>
      <c r="C6842">
        <v>28</v>
      </c>
      <c r="D6842" t="s">
        <v>2757</v>
      </c>
      <c r="E6842" t="s">
        <v>4093</v>
      </c>
      <c r="F6842" t="s">
        <v>4076</v>
      </c>
    </row>
    <row r="6843" spans="1:6" x14ac:dyDescent="0.25">
      <c r="A6843">
        <v>5390</v>
      </c>
      <c r="B6843" t="s">
        <v>4092</v>
      </c>
      <c r="C6843">
        <v>33</v>
      </c>
      <c r="D6843" t="s">
        <v>4109</v>
      </c>
      <c r="E6843" t="s">
        <v>4110</v>
      </c>
      <c r="F6843" t="s">
        <v>4075</v>
      </c>
    </row>
    <row r="6844" spans="1:6" x14ac:dyDescent="0.25">
      <c r="A6844">
        <v>5390</v>
      </c>
      <c r="B6844" t="s">
        <v>4092</v>
      </c>
      <c r="C6844">
        <v>34</v>
      </c>
      <c r="D6844" t="s">
        <v>4109</v>
      </c>
      <c r="E6844" t="s">
        <v>4110</v>
      </c>
      <c r="F6844" t="s">
        <v>4076</v>
      </c>
    </row>
    <row r="6845" spans="1:6" x14ac:dyDescent="0.25">
      <c r="A6845">
        <v>5391</v>
      </c>
      <c r="B6845" t="s">
        <v>4092</v>
      </c>
      <c r="C6845">
        <v>24</v>
      </c>
      <c r="D6845" t="s">
        <v>2760</v>
      </c>
      <c r="E6845" t="s">
        <v>4108</v>
      </c>
      <c r="F6845" t="s">
        <v>4075</v>
      </c>
    </row>
    <row r="6846" spans="1:6" x14ac:dyDescent="0.25">
      <c r="A6846">
        <v>5391</v>
      </c>
      <c r="B6846" t="s">
        <v>4092</v>
      </c>
      <c r="C6846">
        <v>29</v>
      </c>
      <c r="D6846" t="s">
        <v>2760</v>
      </c>
      <c r="E6846" t="s">
        <v>4108</v>
      </c>
      <c r="F6846" t="s">
        <v>4076</v>
      </c>
    </row>
    <row r="6847" spans="1:6" x14ac:dyDescent="0.25">
      <c r="A6847">
        <v>5392</v>
      </c>
      <c r="B6847" t="s">
        <v>4072</v>
      </c>
      <c r="C6847">
        <v>6</v>
      </c>
      <c r="D6847" t="s">
        <v>4073</v>
      </c>
      <c r="E6847" t="s">
        <v>4074</v>
      </c>
      <c r="F6847" t="s">
        <v>4075</v>
      </c>
    </row>
    <row r="6848" spans="1:6" x14ac:dyDescent="0.25">
      <c r="A6848">
        <v>5392</v>
      </c>
      <c r="B6848" t="s">
        <v>4072</v>
      </c>
      <c r="C6848">
        <v>19</v>
      </c>
      <c r="D6848" t="s">
        <v>4073</v>
      </c>
      <c r="E6848" t="s">
        <v>4074</v>
      </c>
      <c r="F6848" t="s">
        <v>4076</v>
      </c>
    </row>
    <row r="6849" spans="1:6" x14ac:dyDescent="0.25">
      <c r="A6849">
        <v>5393</v>
      </c>
      <c r="B6849" t="s">
        <v>4092</v>
      </c>
      <c r="C6849">
        <v>33</v>
      </c>
      <c r="D6849" t="s">
        <v>4109</v>
      </c>
      <c r="E6849" t="s">
        <v>4110</v>
      </c>
      <c r="F6849" t="s">
        <v>4075</v>
      </c>
    </row>
    <row r="6850" spans="1:6" x14ac:dyDescent="0.25">
      <c r="A6850">
        <v>5393</v>
      </c>
      <c r="B6850" t="s">
        <v>4092</v>
      </c>
      <c r="C6850">
        <v>34</v>
      </c>
      <c r="D6850" t="s">
        <v>4109</v>
      </c>
      <c r="E6850" t="s">
        <v>4110</v>
      </c>
      <c r="F6850" t="s">
        <v>4076</v>
      </c>
    </row>
    <row r="6851" spans="1:6" x14ac:dyDescent="0.25">
      <c r="A6851">
        <v>5394</v>
      </c>
      <c r="B6851" t="s">
        <v>4072</v>
      </c>
      <c r="C6851">
        <v>3</v>
      </c>
      <c r="D6851" t="s">
        <v>4085</v>
      </c>
      <c r="E6851" t="s">
        <v>4086</v>
      </c>
      <c r="F6851" t="s">
        <v>4075</v>
      </c>
    </row>
    <row r="6852" spans="1:6" x14ac:dyDescent="0.25">
      <c r="A6852">
        <v>5394</v>
      </c>
      <c r="B6852" t="s">
        <v>4072</v>
      </c>
      <c r="C6852">
        <v>15</v>
      </c>
      <c r="D6852" t="s">
        <v>4080</v>
      </c>
      <c r="E6852" t="s">
        <v>4081</v>
      </c>
      <c r="F6852" t="s">
        <v>4076</v>
      </c>
    </row>
    <row r="6853" spans="1:6" x14ac:dyDescent="0.25">
      <c r="A6853">
        <v>5395</v>
      </c>
      <c r="B6853" t="s">
        <v>4072</v>
      </c>
      <c r="C6853">
        <v>4</v>
      </c>
      <c r="D6853" t="s">
        <v>4077</v>
      </c>
      <c r="E6853" t="s">
        <v>4078</v>
      </c>
      <c r="F6853" t="s">
        <v>4075</v>
      </c>
    </row>
    <row r="6854" spans="1:6" x14ac:dyDescent="0.25">
      <c r="A6854">
        <v>5395</v>
      </c>
      <c r="B6854" t="s">
        <v>4072</v>
      </c>
      <c r="C6854">
        <v>16</v>
      </c>
      <c r="D6854" t="s">
        <v>4077</v>
      </c>
      <c r="E6854" t="s">
        <v>4078</v>
      </c>
      <c r="F6854" t="s">
        <v>4076</v>
      </c>
    </row>
    <row r="6855" spans="1:6" x14ac:dyDescent="0.25">
      <c r="A6855">
        <v>5396</v>
      </c>
      <c r="B6855" t="s">
        <v>4072</v>
      </c>
      <c r="C6855">
        <v>3</v>
      </c>
      <c r="D6855" t="s">
        <v>4085</v>
      </c>
      <c r="E6855" t="s">
        <v>4086</v>
      </c>
      <c r="F6855" t="s">
        <v>4075</v>
      </c>
    </row>
    <row r="6856" spans="1:6" x14ac:dyDescent="0.25">
      <c r="A6856">
        <v>5396</v>
      </c>
      <c r="B6856" t="s">
        <v>4072</v>
      </c>
      <c r="C6856">
        <v>15</v>
      </c>
      <c r="D6856" t="s">
        <v>4080</v>
      </c>
      <c r="E6856" t="s">
        <v>4081</v>
      </c>
      <c r="F6856" t="s">
        <v>4076</v>
      </c>
    </row>
    <row r="6857" spans="1:6" x14ac:dyDescent="0.25">
      <c r="A6857">
        <v>5397</v>
      </c>
      <c r="B6857" t="s">
        <v>4072</v>
      </c>
      <c r="C6857">
        <v>2</v>
      </c>
      <c r="D6857" t="s">
        <v>4082</v>
      </c>
      <c r="E6857" t="s">
        <v>4083</v>
      </c>
      <c r="F6857" t="s">
        <v>4075</v>
      </c>
    </row>
    <row r="6858" spans="1:6" x14ac:dyDescent="0.25">
      <c r="A6858">
        <v>5397</v>
      </c>
      <c r="B6858" t="s">
        <v>4072</v>
      </c>
      <c r="C6858">
        <v>17</v>
      </c>
      <c r="D6858" t="s">
        <v>4082</v>
      </c>
      <c r="E6858" t="s">
        <v>4084</v>
      </c>
      <c r="F6858" t="s">
        <v>4076</v>
      </c>
    </row>
    <row r="6859" spans="1:6" x14ac:dyDescent="0.25">
      <c r="A6859">
        <v>5398</v>
      </c>
      <c r="B6859" t="s">
        <v>4092</v>
      </c>
      <c r="C6859">
        <v>33</v>
      </c>
      <c r="D6859" t="s">
        <v>4109</v>
      </c>
      <c r="E6859" t="s">
        <v>4110</v>
      </c>
      <c r="F6859" t="s">
        <v>4075</v>
      </c>
    </row>
    <row r="6860" spans="1:6" x14ac:dyDescent="0.25">
      <c r="A6860">
        <v>5398</v>
      </c>
      <c r="B6860" t="s">
        <v>4092</v>
      </c>
      <c r="C6860">
        <v>34</v>
      </c>
      <c r="D6860" t="s">
        <v>4109</v>
      </c>
      <c r="E6860" t="s">
        <v>4110</v>
      </c>
      <c r="F6860" t="s">
        <v>4076</v>
      </c>
    </row>
    <row r="6861" spans="1:6" x14ac:dyDescent="0.25">
      <c r="A6861">
        <v>5399</v>
      </c>
      <c r="B6861" t="s">
        <v>4092</v>
      </c>
      <c r="C6861">
        <v>33</v>
      </c>
      <c r="D6861" t="s">
        <v>4109</v>
      </c>
      <c r="E6861" t="s">
        <v>4110</v>
      </c>
      <c r="F6861" t="s">
        <v>4075</v>
      </c>
    </row>
    <row r="6862" spans="1:6" x14ac:dyDescent="0.25">
      <c r="A6862">
        <v>5399</v>
      </c>
      <c r="B6862" t="s">
        <v>4092</v>
      </c>
      <c r="C6862">
        <v>34</v>
      </c>
      <c r="D6862" t="s">
        <v>4109</v>
      </c>
      <c r="E6862" t="s">
        <v>4110</v>
      </c>
      <c r="F6862" t="s">
        <v>4076</v>
      </c>
    </row>
    <row r="6863" spans="1:6" x14ac:dyDescent="0.25">
      <c r="A6863">
        <v>5400</v>
      </c>
      <c r="B6863" t="s">
        <v>4072</v>
      </c>
      <c r="C6863">
        <v>39</v>
      </c>
      <c r="D6863" t="s">
        <v>4073</v>
      </c>
      <c r="E6863" t="s">
        <v>4074</v>
      </c>
      <c r="F6863" t="s">
        <v>4079</v>
      </c>
    </row>
    <row r="6864" spans="1:6" x14ac:dyDescent="0.25">
      <c r="A6864">
        <v>5401</v>
      </c>
      <c r="B6864" t="s">
        <v>4072</v>
      </c>
      <c r="C6864">
        <v>19</v>
      </c>
      <c r="D6864" t="s">
        <v>4073</v>
      </c>
      <c r="E6864" t="s">
        <v>4074</v>
      </c>
      <c r="F6864" t="s">
        <v>4076</v>
      </c>
    </row>
    <row r="6865" spans="1:6" x14ac:dyDescent="0.25">
      <c r="A6865">
        <v>5401</v>
      </c>
      <c r="B6865" t="s">
        <v>4072</v>
      </c>
      <c r="C6865">
        <v>39</v>
      </c>
      <c r="D6865" t="s">
        <v>4073</v>
      </c>
      <c r="E6865" t="s">
        <v>4074</v>
      </c>
      <c r="F6865" t="s">
        <v>4079</v>
      </c>
    </row>
  </sheetData>
  <autoFilter ref="A1:F1001" xr:uid="{9B95B5E0-FFD2-49C6-A257-1F882D07C3B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7E548-F162-4610-A943-40BD1002A4FE}">
  <dimension ref="A1:E620"/>
  <sheetViews>
    <sheetView workbookViewId="0">
      <pane ySplit="1" topLeftCell="A2" activePane="bottomLeft" state="frozen"/>
      <selection pane="bottomLeft" activeCell="C598" sqref="C598"/>
    </sheetView>
  </sheetViews>
  <sheetFormatPr defaultRowHeight="15" x14ac:dyDescent="0.25"/>
  <cols>
    <col min="1" max="1" width="15.28515625" customWidth="1"/>
    <col min="2" max="2" width="30.140625" customWidth="1"/>
    <col min="4" max="4" width="41.7109375" customWidth="1"/>
    <col min="5" max="5" width="16.140625" customWidth="1"/>
  </cols>
  <sheetData>
    <row r="1" spans="1:5" x14ac:dyDescent="0.25">
      <c r="A1" s="2" t="s">
        <v>888</v>
      </c>
      <c r="B1" s="2" t="s">
        <v>4124</v>
      </c>
      <c r="C1" s="2" t="s">
        <v>886</v>
      </c>
      <c r="D1" s="2" t="s">
        <v>4125</v>
      </c>
      <c r="E1" s="2" t="s">
        <v>4126</v>
      </c>
    </row>
    <row r="2" spans="1:5" x14ac:dyDescent="0.25">
      <c r="A2">
        <v>1</v>
      </c>
      <c r="B2" t="s">
        <v>4127</v>
      </c>
      <c r="C2">
        <v>261</v>
      </c>
    </row>
    <row r="3" spans="1:5" x14ac:dyDescent="0.25">
      <c r="A3">
        <v>2</v>
      </c>
      <c r="B3" t="s">
        <v>4128</v>
      </c>
      <c r="C3">
        <v>10001</v>
      </c>
    </row>
    <row r="4" spans="1:5" x14ac:dyDescent="0.25">
      <c r="A4">
        <v>5</v>
      </c>
      <c r="B4" t="s">
        <v>4129</v>
      </c>
      <c r="C4">
        <v>10000</v>
      </c>
    </row>
    <row r="5" spans="1:5" x14ac:dyDescent="0.25">
      <c r="A5">
        <v>8</v>
      </c>
      <c r="B5" t="s">
        <v>4130</v>
      </c>
      <c r="C5">
        <v>10017</v>
      </c>
    </row>
    <row r="6" spans="1:5" x14ac:dyDescent="0.25">
      <c r="A6">
        <v>10</v>
      </c>
      <c r="B6" t="s">
        <v>4131</v>
      </c>
      <c r="C6">
        <v>10001</v>
      </c>
    </row>
    <row r="7" spans="1:5" x14ac:dyDescent="0.25">
      <c r="A7">
        <v>11</v>
      </c>
      <c r="B7" t="s">
        <v>227</v>
      </c>
      <c r="C7">
        <v>243</v>
      </c>
    </row>
    <row r="8" spans="1:5" x14ac:dyDescent="0.25">
      <c r="A8">
        <v>12</v>
      </c>
      <c r="B8" t="s">
        <v>4132</v>
      </c>
      <c r="C8">
        <v>295</v>
      </c>
    </row>
    <row r="9" spans="1:5" x14ac:dyDescent="0.25">
      <c r="A9">
        <v>13</v>
      </c>
      <c r="B9" t="s">
        <v>189</v>
      </c>
      <c r="C9">
        <v>296</v>
      </c>
    </row>
    <row r="10" spans="1:5" x14ac:dyDescent="0.25">
      <c r="A10">
        <v>15</v>
      </c>
      <c r="B10" t="s">
        <v>180</v>
      </c>
      <c r="C10">
        <v>156</v>
      </c>
    </row>
    <row r="11" spans="1:5" x14ac:dyDescent="0.25">
      <c r="A11">
        <v>16</v>
      </c>
      <c r="B11" t="s">
        <v>4133</v>
      </c>
      <c r="C11">
        <v>156</v>
      </c>
    </row>
    <row r="12" spans="1:5" x14ac:dyDescent="0.25">
      <c r="A12">
        <v>17</v>
      </c>
      <c r="B12" t="s">
        <v>123</v>
      </c>
      <c r="C12">
        <v>64</v>
      </c>
    </row>
    <row r="13" spans="1:5" x14ac:dyDescent="0.25">
      <c r="A13">
        <v>18</v>
      </c>
      <c r="B13" t="s">
        <v>4134</v>
      </c>
      <c r="C13">
        <v>66</v>
      </c>
    </row>
    <row r="14" spans="1:5" x14ac:dyDescent="0.25">
      <c r="A14">
        <v>21</v>
      </c>
      <c r="B14" t="s">
        <v>183</v>
      </c>
      <c r="C14">
        <v>159</v>
      </c>
    </row>
    <row r="15" spans="1:5" x14ac:dyDescent="0.25">
      <c r="A15">
        <v>24</v>
      </c>
      <c r="B15" t="s">
        <v>4135</v>
      </c>
      <c r="C15">
        <v>10019</v>
      </c>
    </row>
    <row r="16" spans="1:5" x14ac:dyDescent="0.25">
      <c r="A16">
        <v>25</v>
      </c>
      <c r="B16" t="s">
        <v>4136</v>
      </c>
      <c r="C16">
        <v>4001</v>
      </c>
    </row>
    <row r="17" spans="1:4" x14ac:dyDescent="0.25">
      <c r="A17">
        <v>28</v>
      </c>
      <c r="B17" t="s">
        <v>4137</v>
      </c>
      <c r="C17">
        <v>10012</v>
      </c>
    </row>
    <row r="18" spans="1:4" x14ac:dyDescent="0.25">
      <c r="A18">
        <v>29</v>
      </c>
      <c r="B18" t="s">
        <v>4138</v>
      </c>
      <c r="C18">
        <v>10013</v>
      </c>
    </row>
    <row r="19" spans="1:4" x14ac:dyDescent="0.25">
      <c r="A19">
        <v>31</v>
      </c>
      <c r="B19" t="s">
        <v>4139</v>
      </c>
      <c r="C19">
        <v>10002</v>
      </c>
    </row>
    <row r="20" spans="1:4" x14ac:dyDescent="0.25">
      <c r="A20">
        <v>35</v>
      </c>
      <c r="B20" t="s">
        <v>4140</v>
      </c>
      <c r="C20">
        <v>371</v>
      </c>
    </row>
    <row r="21" spans="1:4" x14ac:dyDescent="0.25">
      <c r="A21">
        <v>38</v>
      </c>
      <c r="B21" t="s">
        <v>4141</v>
      </c>
      <c r="C21">
        <v>10011</v>
      </c>
    </row>
    <row r="22" spans="1:4" x14ac:dyDescent="0.25">
      <c r="A22">
        <v>39</v>
      </c>
      <c r="B22" t="s">
        <v>4142</v>
      </c>
      <c r="C22">
        <v>10003</v>
      </c>
    </row>
    <row r="23" spans="1:4" x14ac:dyDescent="0.25">
      <c r="A23">
        <v>40</v>
      </c>
      <c r="B23" t="s">
        <v>4143</v>
      </c>
      <c r="C23">
        <v>1061</v>
      </c>
    </row>
    <row r="24" spans="1:4" x14ac:dyDescent="0.25">
      <c r="A24">
        <v>41</v>
      </c>
      <c r="B24" t="s">
        <v>4144</v>
      </c>
      <c r="C24">
        <v>1058</v>
      </c>
    </row>
    <row r="25" spans="1:4" x14ac:dyDescent="0.25">
      <c r="A25">
        <v>42</v>
      </c>
      <c r="B25" t="s">
        <v>4145</v>
      </c>
      <c r="C25">
        <v>10014</v>
      </c>
    </row>
    <row r="26" spans="1:4" x14ac:dyDescent="0.25">
      <c r="A26">
        <v>45</v>
      </c>
      <c r="B26" t="s">
        <v>2927</v>
      </c>
      <c r="C26">
        <v>2920</v>
      </c>
      <c r="D26" t="s">
        <v>4146</v>
      </c>
    </row>
    <row r="27" spans="1:4" x14ac:dyDescent="0.25">
      <c r="A27">
        <v>46</v>
      </c>
      <c r="B27" t="s">
        <v>4147</v>
      </c>
      <c r="C27">
        <v>1711</v>
      </c>
    </row>
    <row r="28" spans="1:4" x14ac:dyDescent="0.25">
      <c r="A28">
        <v>47</v>
      </c>
      <c r="B28" t="s">
        <v>4148</v>
      </c>
      <c r="C28">
        <v>1702</v>
      </c>
    </row>
    <row r="29" spans="1:4" x14ac:dyDescent="0.25">
      <c r="A29">
        <v>48</v>
      </c>
      <c r="B29" t="s">
        <v>4149</v>
      </c>
      <c r="C29">
        <v>1701</v>
      </c>
    </row>
    <row r="30" spans="1:4" x14ac:dyDescent="0.25">
      <c r="A30">
        <v>49</v>
      </c>
      <c r="B30" t="s">
        <v>4150</v>
      </c>
      <c r="C30">
        <v>1708</v>
      </c>
    </row>
    <row r="31" spans="1:4" x14ac:dyDescent="0.25">
      <c r="A31">
        <v>50</v>
      </c>
      <c r="B31" t="s">
        <v>725</v>
      </c>
      <c r="C31">
        <v>1709</v>
      </c>
    </row>
    <row r="32" spans="1:4" x14ac:dyDescent="0.25">
      <c r="A32">
        <v>51</v>
      </c>
      <c r="B32" t="s">
        <v>719</v>
      </c>
      <c r="C32">
        <v>1703</v>
      </c>
    </row>
    <row r="33" spans="1:4" x14ac:dyDescent="0.25">
      <c r="A33">
        <v>52</v>
      </c>
      <c r="B33" t="s">
        <v>4151</v>
      </c>
      <c r="C33">
        <v>10004</v>
      </c>
    </row>
    <row r="34" spans="1:4" x14ac:dyDescent="0.25">
      <c r="A34">
        <v>54</v>
      </c>
      <c r="B34" t="s">
        <v>4152</v>
      </c>
      <c r="C34">
        <v>10007</v>
      </c>
    </row>
    <row r="35" spans="1:4" x14ac:dyDescent="0.25">
      <c r="A35">
        <v>55</v>
      </c>
      <c r="B35" t="s">
        <v>4153</v>
      </c>
      <c r="C35">
        <v>10007</v>
      </c>
    </row>
    <row r="36" spans="1:4" x14ac:dyDescent="0.25">
      <c r="A36">
        <v>57</v>
      </c>
      <c r="B36" t="s">
        <v>4154</v>
      </c>
      <c r="C36">
        <v>10008</v>
      </c>
    </row>
    <row r="37" spans="1:4" x14ac:dyDescent="0.25">
      <c r="A37">
        <v>58</v>
      </c>
      <c r="B37" t="s">
        <v>4155</v>
      </c>
      <c r="C37">
        <v>1321</v>
      </c>
      <c r="D37" t="s">
        <v>4156</v>
      </c>
    </row>
    <row r="38" spans="1:4" x14ac:dyDescent="0.25">
      <c r="A38">
        <v>58</v>
      </c>
      <c r="B38" t="s">
        <v>4155</v>
      </c>
      <c r="C38">
        <v>1322</v>
      </c>
      <c r="D38" t="s">
        <v>4156</v>
      </c>
    </row>
    <row r="39" spans="1:4" x14ac:dyDescent="0.25">
      <c r="A39">
        <v>58</v>
      </c>
      <c r="B39" t="s">
        <v>4155</v>
      </c>
      <c r="C39">
        <v>1323</v>
      </c>
      <c r="D39" t="s">
        <v>4156</v>
      </c>
    </row>
    <row r="40" spans="1:4" x14ac:dyDescent="0.25">
      <c r="A40">
        <v>59</v>
      </c>
      <c r="B40" t="s">
        <v>4157</v>
      </c>
      <c r="C40">
        <v>10018</v>
      </c>
    </row>
    <row r="41" spans="1:4" x14ac:dyDescent="0.25">
      <c r="A41">
        <v>61</v>
      </c>
      <c r="B41" t="s">
        <v>4158</v>
      </c>
      <c r="C41">
        <v>10015</v>
      </c>
    </row>
    <row r="42" spans="1:4" x14ac:dyDescent="0.25">
      <c r="A42">
        <v>62</v>
      </c>
      <c r="B42" t="s">
        <v>4159</v>
      </c>
      <c r="C42">
        <v>10016</v>
      </c>
    </row>
    <row r="43" spans="1:4" x14ac:dyDescent="0.25">
      <c r="A43">
        <v>63</v>
      </c>
      <c r="B43" t="s">
        <v>4160</v>
      </c>
      <c r="C43">
        <v>3203</v>
      </c>
    </row>
    <row r="44" spans="1:4" x14ac:dyDescent="0.25">
      <c r="A44">
        <v>64</v>
      </c>
      <c r="B44" t="s">
        <v>4161</v>
      </c>
      <c r="C44">
        <v>3427</v>
      </c>
    </row>
    <row r="45" spans="1:4" x14ac:dyDescent="0.25">
      <c r="A45">
        <v>65</v>
      </c>
      <c r="B45" t="s">
        <v>3032</v>
      </c>
      <c r="C45">
        <v>3402</v>
      </c>
    </row>
    <row r="46" spans="1:4" x14ac:dyDescent="0.25">
      <c r="A46">
        <v>66</v>
      </c>
      <c r="B46" t="s">
        <v>3035</v>
      </c>
      <c r="C46">
        <v>3408</v>
      </c>
    </row>
    <row r="47" spans="1:4" x14ac:dyDescent="0.25">
      <c r="A47">
        <v>69</v>
      </c>
      <c r="B47" t="s">
        <v>4162</v>
      </c>
      <c r="C47">
        <v>3231</v>
      </c>
      <c r="D47" t="s">
        <v>4163</v>
      </c>
    </row>
    <row r="48" spans="1:4" x14ac:dyDescent="0.25">
      <c r="A48">
        <v>69</v>
      </c>
      <c r="B48" t="s">
        <v>4162</v>
      </c>
      <c r="C48">
        <v>3232</v>
      </c>
      <c r="D48" t="s">
        <v>4163</v>
      </c>
    </row>
    <row r="49" spans="1:4" x14ac:dyDescent="0.25">
      <c r="A49">
        <v>69</v>
      </c>
      <c r="B49" t="s">
        <v>4162</v>
      </c>
      <c r="C49">
        <v>3233</v>
      </c>
      <c r="D49" t="s">
        <v>4163</v>
      </c>
    </row>
    <row r="50" spans="1:4" x14ac:dyDescent="0.25">
      <c r="A50">
        <v>69</v>
      </c>
      <c r="B50" t="s">
        <v>4162</v>
      </c>
      <c r="C50">
        <v>3234</v>
      </c>
      <c r="D50" t="s">
        <v>4163</v>
      </c>
    </row>
    <row r="51" spans="1:4" x14ac:dyDescent="0.25">
      <c r="A51">
        <v>69</v>
      </c>
      <c r="B51" t="s">
        <v>4162</v>
      </c>
      <c r="C51">
        <v>3236</v>
      </c>
      <c r="D51" t="s">
        <v>4163</v>
      </c>
    </row>
    <row r="52" spans="1:4" x14ac:dyDescent="0.25">
      <c r="A52">
        <v>69</v>
      </c>
      <c r="B52" t="s">
        <v>4162</v>
      </c>
      <c r="C52">
        <v>3238</v>
      </c>
      <c r="D52" t="s">
        <v>4163</v>
      </c>
    </row>
    <row r="53" spans="1:4" x14ac:dyDescent="0.25">
      <c r="A53">
        <v>69</v>
      </c>
      <c r="B53" t="s">
        <v>4162</v>
      </c>
      <c r="C53">
        <v>3251</v>
      </c>
      <c r="D53" t="s">
        <v>4163</v>
      </c>
    </row>
    <row r="54" spans="1:4" x14ac:dyDescent="0.25">
      <c r="A54">
        <v>69</v>
      </c>
      <c r="B54" t="s">
        <v>4162</v>
      </c>
      <c r="C54">
        <v>3252</v>
      </c>
      <c r="D54" t="s">
        <v>4163</v>
      </c>
    </row>
    <row r="55" spans="1:4" x14ac:dyDescent="0.25">
      <c r="A55">
        <v>69</v>
      </c>
      <c r="B55" t="s">
        <v>4162</v>
      </c>
      <c r="C55">
        <v>3253</v>
      </c>
      <c r="D55" t="s">
        <v>4163</v>
      </c>
    </row>
    <row r="56" spans="1:4" x14ac:dyDescent="0.25">
      <c r="A56">
        <v>69</v>
      </c>
      <c r="B56" t="s">
        <v>4162</v>
      </c>
      <c r="C56">
        <v>3254</v>
      </c>
      <c r="D56" t="s">
        <v>4163</v>
      </c>
    </row>
    <row r="57" spans="1:4" x14ac:dyDescent="0.25">
      <c r="A57">
        <v>69</v>
      </c>
      <c r="B57" t="s">
        <v>4162</v>
      </c>
      <c r="C57">
        <v>3255</v>
      </c>
      <c r="D57" t="s">
        <v>4163</v>
      </c>
    </row>
    <row r="58" spans="1:4" x14ac:dyDescent="0.25">
      <c r="A58">
        <v>69</v>
      </c>
      <c r="B58" t="s">
        <v>4162</v>
      </c>
      <c r="C58">
        <v>3256</v>
      </c>
      <c r="D58" t="s">
        <v>4163</v>
      </c>
    </row>
    <row r="59" spans="1:4" x14ac:dyDescent="0.25">
      <c r="A59">
        <v>71</v>
      </c>
      <c r="B59" t="s">
        <v>4164</v>
      </c>
      <c r="C59">
        <v>10020</v>
      </c>
    </row>
    <row r="60" spans="1:4" x14ac:dyDescent="0.25">
      <c r="A60">
        <v>72</v>
      </c>
      <c r="B60" t="s">
        <v>3342</v>
      </c>
      <c r="C60">
        <v>4401</v>
      </c>
    </row>
    <row r="61" spans="1:4" x14ac:dyDescent="0.25">
      <c r="A61">
        <v>75</v>
      </c>
      <c r="B61" t="s">
        <v>4165</v>
      </c>
      <c r="C61">
        <v>4431</v>
      </c>
    </row>
    <row r="62" spans="1:4" x14ac:dyDescent="0.25">
      <c r="A62">
        <v>76</v>
      </c>
      <c r="B62" t="s">
        <v>3366</v>
      </c>
      <c r="C62">
        <v>4566</v>
      </c>
    </row>
    <row r="63" spans="1:4" x14ac:dyDescent="0.25">
      <c r="A63">
        <v>77</v>
      </c>
      <c r="B63" t="s">
        <v>2843</v>
      </c>
      <c r="C63">
        <v>2770</v>
      </c>
    </row>
    <row r="64" spans="1:4" x14ac:dyDescent="0.25">
      <c r="A64">
        <v>78</v>
      </c>
      <c r="B64" t="s">
        <v>2865</v>
      </c>
      <c r="C64">
        <v>2824</v>
      </c>
    </row>
    <row r="65" spans="1:3" x14ac:dyDescent="0.25">
      <c r="A65">
        <v>79</v>
      </c>
      <c r="B65" t="s">
        <v>2945</v>
      </c>
      <c r="C65">
        <v>3001</v>
      </c>
    </row>
    <row r="66" spans="1:3" x14ac:dyDescent="0.25">
      <c r="A66">
        <v>80</v>
      </c>
      <c r="B66" t="s">
        <v>475</v>
      </c>
      <c r="C66">
        <v>768</v>
      </c>
    </row>
    <row r="67" spans="1:3" x14ac:dyDescent="0.25">
      <c r="A67">
        <v>83</v>
      </c>
      <c r="B67" t="s">
        <v>4166</v>
      </c>
      <c r="C67">
        <v>10023</v>
      </c>
    </row>
    <row r="68" spans="1:3" x14ac:dyDescent="0.25">
      <c r="A68">
        <v>84</v>
      </c>
      <c r="B68" t="s">
        <v>2958</v>
      </c>
      <c r="C68">
        <v>3032</v>
      </c>
    </row>
    <row r="69" spans="1:3" x14ac:dyDescent="0.25">
      <c r="A69">
        <v>85</v>
      </c>
      <c r="B69" t="s">
        <v>4167</v>
      </c>
      <c r="C69">
        <v>1206</v>
      </c>
    </row>
    <row r="70" spans="1:3" x14ac:dyDescent="0.25">
      <c r="A70">
        <v>88</v>
      </c>
      <c r="B70" t="s">
        <v>3134</v>
      </c>
      <c r="C70">
        <v>3955</v>
      </c>
    </row>
    <row r="71" spans="1:3" x14ac:dyDescent="0.25">
      <c r="A71">
        <v>90</v>
      </c>
      <c r="B71" t="s">
        <v>4168</v>
      </c>
      <c r="C71">
        <v>4260</v>
      </c>
    </row>
    <row r="72" spans="1:3" x14ac:dyDescent="0.25">
      <c r="A72">
        <v>91</v>
      </c>
      <c r="B72" t="s">
        <v>4169</v>
      </c>
      <c r="C72">
        <v>151</v>
      </c>
    </row>
    <row r="73" spans="1:3" x14ac:dyDescent="0.25">
      <c r="A73">
        <v>96</v>
      </c>
      <c r="B73" t="s">
        <v>2917</v>
      </c>
      <c r="C73">
        <v>2893</v>
      </c>
    </row>
    <row r="74" spans="1:3" x14ac:dyDescent="0.25">
      <c r="A74">
        <v>98</v>
      </c>
      <c r="B74" t="s">
        <v>4170</v>
      </c>
      <c r="C74">
        <v>230</v>
      </c>
    </row>
    <row r="75" spans="1:3" x14ac:dyDescent="0.25">
      <c r="A75">
        <v>102</v>
      </c>
      <c r="B75" t="s">
        <v>4171</v>
      </c>
      <c r="C75">
        <v>10026</v>
      </c>
    </row>
    <row r="76" spans="1:3" x14ac:dyDescent="0.25">
      <c r="A76">
        <v>103</v>
      </c>
      <c r="B76" t="s">
        <v>4172</v>
      </c>
      <c r="C76">
        <v>10010</v>
      </c>
    </row>
    <row r="77" spans="1:3" x14ac:dyDescent="0.25">
      <c r="A77">
        <v>104</v>
      </c>
      <c r="B77" t="s">
        <v>4173</v>
      </c>
      <c r="C77">
        <v>10024</v>
      </c>
    </row>
    <row r="78" spans="1:3" x14ac:dyDescent="0.25">
      <c r="A78">
        <v>105</v>
      </c>
      <c r="B78" t="s">
        <v>4174</v>
      </c>
      <c r="C78">
        <v>10022</v>
      </c>
    </row>
    <row r="79" spans="1:3" x14ac:dyDescent="0.25">
      <c r="A79">
        <v>106</v>
      </c>
      <c r="B79" t="s">
        <v>4175</v>
      </c>
      <c r="C79">
        <v>10025</v>
      </c>
    </row>
    <row r="80" spans="1:3" x14ac:dyDescent="0.25">
      <c r="A80">
        <v>108</v>
      </c>
      <c r="B80" t="s">
        <v>3505</v>
      </c>
      <c r="C80">
        <v>5250</v>
      </c>
    </row>
    <row r="81" spans="1:4" x14ac:dyDescent="0.25">
      <c r="A81">
        <v>109</v>
      </c>
      <c r="B81" t="s">
        <v>3506</v>
      </c>
      <c r="C81">
        <v>5251</v>
      </c>
    </row>
    <row r="82" spans="1:4" x14ac:dyDescent="0.25">
      <c r="A82">
        <v>110</v>
      </c>
      <c r="B82" t="s">
        <v>3435</v>
      </c>
      <c r="C82">
        <v>5072</v>
      </c>
    </row>
    <row r="83" spans="1:4" x14ac:dyDescent="0.25">
      <c r="A83">
        <v>111</v>
      </c>
      <c r="B83" t="s">
        <v>3826</v>
      </c>
      <c r="C83">
        <v>5938</v>
      </c>
    </row>
    <row r="84" spans="1:4" x14ac:dyDescent="0.25">
      <c r="A84">
        <v>112</v>
      </c>
      <c r="B84" t="s">
        <v>3922</v>
      </c>
      <c r="C84">
        <v>6248</v>
      </c>
    </row>
    <row r="85" spans="1:4" x14ac:dyDescent="0.25">
      <c r="A85">
        <v>114</v>
      </c>
      <c r="B85" t="s">
        <v>3510</v>
      </c>
      <c r="C85">
        <v>5263</v>
      </c>
    </row>
    <row r="86" spans="1:4" x14ac:dyDescent="0.25">
      <c r="A86">
        <v>117</v>
      </c>
      <c r="B86" t="s">
        <v>3793</v>
      </c>
      <c r="C86">
        <v>5886</v>
      </c>
      <c r="D86" t="s">
        <v>4176</v>
      </c>
    </row>
    <row r="87" spans="1:4" x14ac:dyDescent="0.25">
      <c r="A87">
        <v>119</v>
      </c>
      <c r="B87" t="s">
        <v>3714</v>
      </c>
      <c r="C87">
        <v>5721</v>
      </c>
    </row>
    <row r="88" spans="1:4" x14ac:dyDescent="0.25">
      <c r="A88">
        <v>120</v>
      </c>
      <c r="B88" t="s">
        <v>3470</v>
      </c>
      <c r="C88">
        <v>5180</v>
      </c>
    </row>
    <row r="89" spans="1:4" x14ac:dyDescent="0.25">
      <c r="A89">
        <v>125</v>
      </c>
      <c r="B89" t="s">
        <v>3630</v>
      </c>
      <c r="C89">
        <v>5583</v>
      </c>
    </row>
    <row r="90" spans="1:4" x14ac:dyDescent="0.25">
      <c r="A90">
        <v>126</v>
      </c>
      <c r="B90" t="s">
        <v>4177</v>
      </c>
      <c r="C90">
        <v>5586</v>
      </c>
    </row>
    <row r="91" spans="1:4" x14ac:dyDescent="0.25">
      <c r="A91">
        <v>128</v>
      </c>
      <c r="B91" t="s">
        <v>3298</v>
      </c>
      <c r="C91">
        <v>4253</v>
      </c>
    </row>
    <row r="92" spans="1:4" x14ac:dyDescent="0.25">
      <c r="A92">
        <v>130</v>
      </c>
      <c r="B92" t="s">
        <v>3081</v>
      </c>
      <c r="C92">
        <v>3722</v>
      </c>
    </row>
    <row r="93" spans="1:4" x14ac:dyDescent="0.25">
      <c r="A93">
        <v>133</v>
      </c>
      <c r="B93" t="s">
        <v>4178</v>
      </c>
      <c r="C93">
        <v>10006</v>
      </c>
    </row>
    <row r="94" spans="1:4" x14ac:dyDescent="0.25">
      <c r="A94">
        <v>136</v>
      </c>
      <c r="B94" t="s">
        <v>2999</v>
      </c>
      <c r="C94">
        <v>3273</v>
      </c>
      <c r="D94" t="s">
        <v>4179</v>
      </c>
    </row>
    <row r="95" spans="1:4" x14ac:dyDescent="0.25">
      <c r="A95">
        <v>137</v>
      </c>
      <c r="B95" t="s">
        <v>4180</v>
      </c>
      <c r="C95">
        <v>3271</v>
      </c>
    </row>
    <row r="96" spans="1:4" x14ac:dyDescent="0.25">
      <c r="A96">
        <v>138</v>
      </c>
      <c r="B96" t="s">
        <v>625</v>
      </c>
      <c r="C96">
        <v>1103</v>
      </c>
    </row>
    <row r="97" spans="1:4" x14ac:dyDescent="0.25">
      <c r="A97">
        <v>140</v>
      </c>
      <c r="B97" t="s">
        <v>601</v>
      </c>
      <c r="C97">
        <v>1063</v>
      </c>
    </row>
    <row r="98" spans="1:4" x14ac:dyDescent="0.25">
      <c r="A98">
        <v>141</v>
      </c>
      <c r="B98" t="s">
        <v>585</v>
      </c>
      <c r="C98">
        <v>1031</v>
      </c>
    </row>
    <row r="99" spans="1:4" x14ac:dyDescent="0.25">
      <c r="A99">
        <v>145</v>
      </c>
      <c r="B99" t="s">
        <v>599</v>
      </c>
      <c r="C99">
        <v>1059</v>
      </c>
    </row>
    <row r="100" spans="1:4" x14ac:dyDescent="0.25">
      <c r="A100">
        <v>146</v>
      </c>
      <c r="B100" t="s">
        <v>4181</v>
      </c>
      <c r="C100">
        <v>351</v>
      </c>
    </row>
    <row r="101" spans="1:4" x14ac:dyDescent="0.25">
      <c r="A101">
        <v>147</v>
      </c>
      <c r="B101" t="s">
        <v>4182</v>
      </c>
      <c r="C101">
        <v>942</v>
      </c>
      <c r="D101" t="s">
        <v>4183</v>
      </c>
    </row>
    <row r="102" spans="1:4" x14ac:dyDescent="0.25">
      <c r="A102">
        <v>150</v>
      </c>
      <c r="B102" t="s">
        <v>4184</v>
      </c>
      <c r="C102">
        <v>1372</v>
      </c>
    </row>
    <row r="103" spans="1:4" x14ac:dyDescent="0.25">
      <c r="A103">
        <v>151</v>
      </c>
      <c r="B103" t="s">
        <v>4185</v>
      </c>
      <c r="C103">
        <v>118</v>
      </c>
    </row>
    <row r="104" spans="1:4" x14ac:dyDescent="0.25">
      <c r="A104">
        <v>181</v>
      </c>
      <c r="B104" t="s">
        <v>4186</v>
      </c>
      <c r="C104">
        <v>10005</v>
      </c>
    </row>
    <row r="105" spans="1:4" x14ac:dyDescent="0.25">
      <c r="A105">
        <v>185</v>
      </c>
      <c r="B105" t="s">
        <v>4187</v>
      </c>
      <c r="C105">
        <v>3513</v>
      </c>
      <c r="D105" t="s">
        <v>4188</v>
      </c>
    </row>
    <row r="106" spans="1:4" x14ac:dyDescent="0.25">
      <c r="A106">
        <v>185</v>
      </c>
      <c r="B106" t="s">
        <v>4187</v>
      </c>
      <c r="C106">
        <v>3633</v>
      </c>
      <c r="D106" t="s">
        <v>4188</v>
      </c>
    </row>
    <row r="107" spans="1:4" x14ac:dyDescent="0.25">
      <c r="A107">
        <v>185</v>
      </c>
      <c r="B107" t="s">
        <v>4187</v>
      </c>
      <c r="C107">
        <v>3637</v>
      </c>
      <c r="D107" t="s">
        <v>4188</v>
      </c>
    </row>
    <row r="108" spans="1:4" x14ac:dyDescent="0.25">
      <c r="A108">
        <v>185</v>
      </c>
      <c r="B108" t="s">
        <v>4187</v>
      </c>
      <c r="C108">
        <v>3638</v>
      </c>
      <c r="D108" t="s">
        <v>4188</v>
      </c>
    </row>
    <row r="109" spans="1:4" x14ac:dyDescent="0.25">
      <c r="A109">
        <v>185</v>
      </c>
      <c r="B109" t="s">
        <v>4187</v>
      </c>
      <c r="C109">
        <v>3661</v>
      </c>
      <c r="D109" t="s">
        <v>4188</v>
      </c>
    </row>
    <row r="110" spans="1:4" x14ac:dyDescent="0.25">
      <c r="A110">
        <v>185</v>
      </c>
      <c r="B110" t="s">
        <v>4187</v>
      </c>
      <c r="C110">
        <v>3662</v>
      </c>
      <c r="D110" t="s">
        <v>4188</v>
      </c>
    </row>
    <row r="111" spans="1:4" x14ac:dyDescent="0.25">
      <c r="A111">
        <v>185</v>
      </c>
      <c r="B111" t="s">
        <v>4187</v>
      </c>
      <c r="C111">
        <v>3663</v>
      </c>
      <c r="D111" t="s">
        <v>4188</v>
      </c>
    </row>
    <row r="112" spans="1:4" x14ac:dyDescent="0.25">
      <c r="A112">
        <v>185</v>
      </c>
      <c r="B112" t="s">
        <v>4187</v>
      </c>
      <c r="C112">
        <v>3669</v>
      </c>
      <c r="D112" t="s">
        <v>4188</v>
      </c>
    </row>
    <row r="113" spans="1:4" x14ac:dyDescent="0.25">
      <c r="A113">
        <v>185</v>
      </c>
      <c r="B113" t="s">
        <v>4187</v>
      </c>
      <c r="C113">
        <v>3670</v>
      </c>
      <c r="D113" t="s">
        <v>4188</v>
      </c>
    </row>
    <row r="114" spans="1:4" x14ac:dyDescent="0.25">
      <c r="A114">
        <v>185</v>
      </c>
      <c r="B114" t="s">
        <v>4187</v>
      </c>
      <c r="C114">
        <v>3945</v>
      </c>
      <c r="D114" t="s">
        <v>4188</v>
      </c>
    </row>
    <row r="115" spans="1:4" x14ac:dyDescent="0.25">
      <c r="A115">
        <v>186</v>
      </c>
      <c r="B115" t="s">
        <v>4189</v>
      </c>
      <c r="C115">
        <v>3443</v>
      </c>
    </row>
    <row r="116" spans="1:4" x14ac:dyDescent="0.25">
      <c r="A116">
        <v>187</v>
      </c>
      <c r="B116" t="s">
        <v>173</v>
      </c>
      <c r="C116">
        <v>141</v>
      </c>
    </row>
    <row r="117" spans="1:4" x14ac:dyDescent="0.25">
      <c r="A117">
        <v>188</v>
      </c>
      <c r="B117" t="s">
        <v>4190</v>
      </c>
      <c r="C117">
        <v>191</v>
      </c>
    </row>
    <row r="118" spans="1:4" x14ac:dyDescent="0.25">
      <c r="A118">
        <v>192</v>
      </c>
      <c r="B118" t="s">
        <v>121</v>
      </c>
      <c r="C118">
        <v>62</v>
      </c>
    </row>
    <row r="119" spans="1:4" x14ac:dyDescent="0.25">
      <c r="A119">
        <v>194</v>
      </c>
      <c r="B119" t="s">
        <v>3353</v>
      </c>
      <c r="C119">
        <v>4461</v>
      </c>
      <c r="D119" t="s">
        <v>4191</v>
      </c>
    </row>
    <row r="120" spans="1:4" x14ac:dyDescent="0.25">
      <c r="A120">
        <v>195</v>
      </c>
      <c r="B120" t="s">
        <v>4192</v>
      </c>
      <c r="C120">
        <v>10020</v>
      </c>
      <c r="D120" t="s">
        <v>4193</v>
      </c>
    </row>
    <row r="121" spans="1:4" x14ac:dyDescent="0.25">
      <c r="A121">
        <v>197</v>
      </c>
      <c r="B121" t="s">
        <v>3384</v>
      </c>
      <c r="C121">
        <v>4691</v>
      </c>
    </row>
    <row r="122" spans="1:4" x14ac:dyDescent="0.25">
      <c r="A122">
        <v>201</v>
      </c>
      <c r="B122" t="s">
        <v>4194</v>
      </c>
      <c r="C122">
        <v>198</v>
      </c>
    </row>
    <row r="123" spans="1:4" x14ac:dyDescent="0.25">
      <c r="A123">
        <v>203</v>
      </c>
      <c r="B123" t="s">
        <v>2989</v>
      </c>
      <c r="C123">
        <v>3237</v>
      </c>
    </row>
    <row r="124" spans="1:4" x14ac:dyDescent="0.25">
      <c r="A124">
        <v>207</v>
      </c>
      <c r="B124" t="s">
        <v>155</v>
      </c>
      <c r="C124">
        <v>112</v>
      </c>
    </row>
    <row r="125" spans="1:4" x14ac:dyDescent="0.25">
      <c r="A125">
        <v>210</v>
      </c>
      <c r="B125" t="s">
        <v>2838</v>
      </c>
      <c r="C125">
        <v>2765</v>
      </c>
    </row>
    <row r="126" spans="1:4" x14ac:dyDescent="0.25">
      <c r="A126">
        <v>212</v>
      </c>
      <c r="B126" t="s">
        <v>4195</v>
      </c>
      <c r="C126">
        <v>152</v>
      </c>
    </row>
    <row r="127" spans="1:4" x14ac:dyDescent="0.25">
      <c r="A127">
        <v>215</v>
      </c>
      <c r="B127" t="s">
        <v>4196</v>
      </c>
      <c r="C127">
        <v>1002</v>
      </c>
    </row>
    <row r="128" spans="1:4" x14ac:dyDescent="0.25">
      <c r="A128">
        <v>216</v>
      </c>
      <c r="B128" t="s">
        <v>622</v>
      </c>
      <c r="C128">
        <v>1099</v>
      </c>
    </row>
    <row r="129" spans="1:5" x14ac:dyDescent="0.25">
      <c r="A129">
        <v>219</v>
      </c>
      <c r="B129" t="s">
        <v>2836</v>
      </c>
      <c r="C129">
        <v>2763</v>
      </c>
    </row>
    <row r="130" spans="1:5" x14ac:dyDescent="0.25">
      <c r="A130">
        <v>220</v>
      </c>
      <c r="B130" t="s">
        <v>4197</v>
      </c>
      <c r="C130">
        <v>2761</v>
      </c>
    </row>
    <row r="131" spans="1:5" x14ac:dyDescent="0.25">
      <c r="A131">
        <v>221</v>
      </c>
      <c r="B131" t="s">
        <v>2848</v>
      </c>
      <c r="C131">
        <v>2775</v>
      </c>
    </row>
    <row r="132" spans="1:5" ht="60" x14ac:dyDescent="0.25">
      <c r="A132">
        <v>227</v>
      </c>
      <c r="B132" t="s">
        <v>4198</v>
      </c>
      <c r="C132">
        <v>10000</v>
      </c>
      <c r="D132" s="1" t="s">
        <v>4199</v>
      </c>
      <c r="E132" t="b">
        <v>1</v>
      </c>
    </row>
    <row r="133" spans="1:5" x14ac:dyDescent="0.25">
      <c r="A133">
        <v>228</v>
      </c>
      <c r="B133" t="s">
        <v>4200</v>
      </c>
      <c r="C133">
        <v>4545</v>
      </c>
    </row>
    <row r="134" spans="1:5" x14ac:dyDescent="0.25">
      <c r="A134">
        <v>229</v>
      </c>
      <c r="B134" t="s">
        <v>4201</v>
      </c>
      <c r="C134">
        <v>1202</v>
      </c>
    </row>
    <row r="135" spans="1:5" x14ac:dyDescent="0.25">
      <c r="A135">
        <v>234</v>
      </c>
      <c r="B135" t="s">
        <v>2998</v>
      </c>
      <c r="C135">
        <v>3272</v>
      </c>
    </row>
    <row r="136" spans="1:5" x14ac:dyDescent="0.25">
      <c r="A136">
        <v>235</v>
      </c>
      <c r="B136" t="s">
        <v>626</v>
      </c>
      <c r="C136">
        <v>1104</v>
      </c>
    </row>
    <row r="137" spans="1:5" x14ac:dyDescent="0.25">
      <c r="A137">
        <v>238</v>
      </c>
      <c r="B137" t="s">
        <v>4202</v>
      </c>
      <c r="C137">
        <v>4026</v>
      </c>
    </row>
    <row r="138" spans="1:5" x14ac:dyDescent="0.25">
      <c r="A138">
        <v>292</v>
      </c>
      <c r="B138" t="s">
        <v>4203</v>
      </c>
      <c r="C138">
        <v>1331</v>
      </c>
      <c r="D138" t="s">
        <v>4204</v>
      </c>
    </row>
    <row r="139" spans="1:5" x14ac:dyDescent="0.25">
      <c r="A139">
        <v>292</v>
      </c>
      <c r="B139" t="s">
        <v>4203</v>
      </c>
      <c r="C139">
        <v>1362</v>
      </c>
      <c r="D139" t="s">
        <v>4204</v>
      </c>
    </row>
    <row r="140" spans="1:5" x14ac:dyDescent="0.25">
      <c r="A140">
        <v>292</v>
      </c>
      <c r="B140" t="s">
        <v>4203</v>
      </c>
      <c r="C140">
        <v>1363</v>
      </c>
      <c r="D140" t="s">
        <v>4204</v>
      </c>
    </row>
    <row r="141" spans="1:5" x14ac:dyDescent="0.25">
      <c r="A141">
        <v>292</v>
      </c>
      <c r="B141" t="s">
        <v>4203</v>
      </c>
      <c r="C141">
        <v>1364</v>
      </c>
      <c r="D141" t="s">
        <v>4204</v>
      </c>
    </row>
    <row r="142" spans="1:5" x14ac:dyDescent="0.25">
      <c r="A142">
        <v>292</v>
      </c>
      <c r="B142" t="s">
        <v>4203</v>
      </c>
      <c r="C142">
        <v>1365</v>
      </c>
      <c r="D142" t="s">
        <v>4204</v>
      </c>
    </row>
    <row r="143" spans="1:5" x14ac:dyDescent="0.25">
      <c r="A143">
        <v>292</v>
      </c>
      <c r="B143" t="s">
        <v>4203</v>
      </c>
      <c r="C143">
        <v>1366</v>
      </c>
      <c r="D143" t="s">
        <v>4204</v>
      </c>
    </row>
    <row r="144" spans="1:5" x14ac:dyDescent="0.25">
      <c r="A144">
        <v>292</v>
      </c>
      <c r="B144" t="s">
        <v>4203</v>
      </c>
      <c r="C144">
        <v>1367</v>
      </c>
      <c r="D144" t="s">
        <v>4204</v>
      </c>
    </row>
    <row r="145" spans="1:4" x14ac:dyDescent="0.25">
      <c r="A145">
        <v>292</v>
      </c>
      <c r="B145" t="s">
        <v>4203</v>
      </c>
      <c r="C145">
        <v>1371</v>
      </c>
      <c r="D145" t="s">
        <v>4204</v>
      </c>
    </row>
    <row r="146" spans="1:4" x14ac:dyDescent="0.25">
      <c r="A146">
        <v>292</v>
      </c>
      <c r="B146" t="s">
        <v>4203</v>
      </c>
      <c r="C146">
        <v>1372</v>
      </c>
      <c r="D146" t="s">
        <v>4204</v>
      </c>
    </row>
    <row r="147" spans="1:4" x14ac:dyDescent="0.25">
      <c r="A147">
        <v>292</v>
      </c>
      <c r="B147" t="s">
        <v>4203</v>
      </c>
      <c r="C147">
        <v>1373</v>
      </c>
      <c r="D147" t="s">
        <v>4204</v>
      </c>
    </row>
    <row r="148" spans="1:4" x14ac:dyDescent="0.25">
      <c r="A148">
        <v>292</v>
      </c>
      <c r="B148" t="s">
        <v>4203</v>
      </c>
      <c r="C148">
        <v>1375</v>
      </c>
      <c r="D148" t="s">
        <v>4204</v>
      </c>
    </row>
    <row r="149" spans="1:4" x14ac:dyDescent="0.25">
      <c r="A149">
        <v>296</v>
      </c>
      <c r="B149" t="s">
        <v>4205</v>
      </c>
      <c r="C149">
        <v>2499</v>
      </c>
      <c r="D149" t="s">
        <v>4206</v>
      </c>
    </row>
    <row r="150" spans="1:4" x14ac:dyDescent="0.25">
      <c r="A150">
        <v>296</v>
      </c>
      <c r="B150" t="s">
        <v>4205</v>
      </c>
      <c r="C150">
        <v>2503</v>
      </c>
      <c r="D150" t="s">
        <v>4206</v>
      </c>
    </row>
    <row r="151" spans="1:4" x14ac:dyDescent="0.25">
      <c r="A151">
        <v>296</v>
      </c>
      <c r="B151" t="s">
        <v>4205</v>
      </c>
      <c r="C151">
        <v>2574</v>
      </c>
      <c r="D151" t="s">
        <v>4206</v>
      </c>
    </row>
    <row r="152" spans="1:4" x14ac:dyDescent="0.25">
      <c r="A152">
        <v>296</v>
      </c>
      <c r="B152" t="s">
        <v>4205</v>
      </c>
      <c r="C152">
        <v>2583</v>
      </c>
      <c r="D152" t="s">
        <v>4206</v>
      </c>
    </row>
    <row r="153" spans="1:4" x14ac:dyDescent="0.25">
      <c r="A153">
        <v>296</v>
      </c>
      <c r="B153" t="s">
        <v>4205</v>
      </c>
      <c r="C153">
        <v>4001</v>
      </c>
      <c r="D153" t="s">
        <v>4206</v>
      </c>
    </row>
    <row r="154" spans="1:4" x14ac:dyDescent="0.25">
      <c r="A154">
        <v>296</v>
      </c>
      <c r="B154" t="s">
        <v>4205</v>
      </c>
      <c r="C154">
        <v>4002</v>
      </c>
      <c r="D154" t="s">
        <v>4206</v>
      </c>
    </row>
    <row r="155" spans="1:4" x14ac:dyDescent="0.25">
      <c r="A155">
        <v>296</v>
      </c>
      <c r="B155" t="s">
        <v>4205</v>
      </c>
      <c r="C155">
        <v>4003</v>
      </c>
      <c r="D155" t="s">
        <v>4206</v>
      </c>
    </row>
    <row r="156" spans="1:4" x14ac:dyDescent="0.25">
      <c r="A156">
        <v>296</v>
      </c>
      <c r="B156" t="s">
        <v>4205</v>
      </c>
      <c r="C156">
        <v>4004</v>
      </c>
      <c r="D156" t="s">
        <v>4206</v>
      </c>
    </row>
    <row r="157" spans="1:4" x14ac:dyDescent="0.25">
      <c r="A157">
        <v>296</v>
      </c>
      <c r="B157" t="s">
        <v>4205</v>
      </c>
      <c r="C157">
        <v>4005</v>
      </c>
      <c r="D157" t="s">
        <v>4206</v>
      </c>
    </row>
    <row r="158" spans="1:4" x14ac:dyDescent="0.25">
      <c r="A158">
        <v>296</v>
      </c>
      <c r="B158" t="s">
        <v>4205</v>
      </c>
      <c r="C158">
        <v>4006</v>
      </c>
      <c r="D158" t="s">
        <v>4206</v>
      </c>
    </row>
    <row r="159" spans="1:4" x14ac:dyDescent="0.25">
      <c r="A159">
        <v>296</v>
      </c>
      <c r="B159" t="s">
        <v>4205</v>
      </c>
      <c r="C159">
        <v>4007</v>
      </c>
      <c r="D159" t="s">
        <v>4206</v>
      </c>
    </row>
    <row r="160" spans="1:4" x14ac:dyDescent="0.25">
      <c r="A160">
        <v>296</v>
      </c>
      <c r="B160" t="s">
        <v>4205</v>
      </c>
      <c r="C160">
        <v>4008</v>
      </c>
      <c r="D160" t="s">
        <v>4206</v>
      </c>
    </row>
    <row r="161" spans="1:4" x14ac:dyDescent="0.25">
      <c r="A161">
        <v>296</v>
      </c>
      <c r="B161" t="s">
        <v>4205</v>
      </c>
      <c r="C161">
        <v>4009</v>
      </c>
      <c r="D161" t="s">
        <v>4206</v>
      </c>
    </row>
    <row r="162" spans="1:4" x14ac:dyDescent="0.25">
      <c r="A162">
        <v>296</v>
      </c>
      <c r="B162" t="s">
        <v>4205</v>
      </c>
      <c r="C162">
        <v>4010</v>
      </c>
      <c r="D162" t="s">
        <v>4206</v>
      </c>
    </row>
    <row r="163" spans="1:4" x14ac:dyDescent="0.25">
      <c r="A163">
        <v>296</v>
      </c>
      <c r="B163" t="s">
        <v>4205</v>
      </c>
      <c r="C163">
        <v>4012</v>
      </c>
      <c r="D163" t="s">
        <v>4206</v>
      </c>
    </row>
    <row r="164" spans="1:4" x14ac:dyDescent="0.25">
      <c r="A164">
        <v>296</v>
      </c>
      <c r="B164" t="s">
        <v>4205</v>
      </c>
      <c r="C164">
        <v>4013</v>
      </c>
      <c r="D164" t="s">
        <v>4206</v>
      </c>
    </row>
    <row r="165" spans="1:4" x14ac:dyDescent="0.25">
      <c r="A165">
        <v>296</v>
      </c>
      <c r="B165" t="s">
        <v>4205</v>
      </c>
      <c r="C165">
        <v>4135</v>
      </c>
      <c r="D165" t="s">
        <v>4206</v>
      </c>
    </row>
    <row r="166" spans="1:4" x14ac:dyDescent="0.25">
      <c r="A166">
        <v>296</v>
      </c>
      <c r="B166" t="s">
        <v>4205</v>
      </c>
      <c r="C166">
        <v>4136</v>
      </c>
      <c r="D166" t="s">
        <v>4206</v>
      </c>
    </row>
    <row r="167" spans="1:4" x14ac:dyDescent="0.25">
      <c r="A167">
        <v>296</v>
      </c>
      <c r="B167" t="s">
        <v>4205</v>
      </c>
      <c r="C167">
        <v>4137</v>
      </c>
      <c r="D167" t="s">
        <v>4206</v>
      </c>
    </row>
    <row r="168" spans="1:4" x14ac:dyDescent="0.25">
      <c r="A168">
        <v>296</v>
      </c>
      <c r="B168" t="s">
        <v>4205</v>
      </c>
      <c r="C168">
        <v>4139</v>
      </c>
      <c r="D168" t="s">
        <v>4206</v>
      </c>
    </row>
    <row r="169" spans="1:4" x14ac:dyDescent="0.25">
      <c r="A169">
        <v>296</v>
      </c>
      <c r="B169" t="s">
        <v>4205</v>
      </c>
      <c r="C169">
        <v>4140</v>
      </c>
      <c r="D169" t="s">
        <v>4206</v>
      </c>
    </row>
    <row r="170" spans="1:4" x14ac:dyDescent="0.25">
      <c r="A170">
        <v>296</v>
      </c>
      <c r="B170" t="s">
        <v>4205</v>
      </c>
      <c r="C170">
        <v>4141</v>
      </c>
      <c r="D170" t="s">
        <v>4206</v>
      </c>
    </row>
    <row r="171" spans="1:4" x14ac:dyDescent="0.25">
      <c r="A171">
        <v>296</v>
      </c>
      <c r="B171" t="s">
        <v>4205</v>
      </c>
      <c r="C171">
        <v>4144</v>
      </c>
      <c r="D171" t="s">
        <v>4206</v>
      </c>
    </row>
    <row r="172" spans="1:4" x14ac:dyDescent="0.25">
      <c r="A172">
        <v>296</v>
      </c>
      <c r="B172" t="s">
        <v>4205</v>
      </c>
      <c r="C172">
        <v>4145</v>
      </c>
      <c r="D172" t="s">
        <v>4206</v>
      </c>
    </row>
    <row r="173" spans="1:4" x14ac:dyDescent="0.25">
      <c r="A173">
        <v>296</v>
      </c>
      <c r="B173" t="s">
        <v>4205</v>
      </c>
      <c r="C173">
        <v>4146</v>
      </c>
      <c r="D173" t="s">
        <v>4206</v>
      </c>
    </row>
    <row r="174" spans="1:4" x14ac:dyDescent="0.25">
      <c r="A174">
        <v>296</v>
      </c>
      <c r="B174" t="s">
        <v>4205</v>
      </c>
      <c r="C174">
        <v>4147</v>
      </c>
      <c r="D174" t="s">
        <v>4206</v>
      </c>
    </row>
    <row r="175" spans="1:4" x14ac:dyDescent="0.25">
      <c r="A175">
        <v>296</v>
      </c>
      <c r="B175" t="s">
        <v>4205</v>
      </c>
      <c r="C175">
        <v>4273</v>
      </c>
      <c r="D175" t="s">
        <v>4206</v>
      </c>
    </row>
    <row r="176" spans="1:4" x14ac:dyDescent="0.25">
      <c r="A176">
        <v>296</v>
      </c>
      <c r="B176" t="s">
        <v>4205</v>
      </c>
      <c r="C176">
        <v>4275</v>
      </c>
      <c r="D176" t="s">
        <v>4206</v>
      </c>
    </row>
    <row r="177" spans="1:4" x14ac:dyDescent="0.25">
      <c r="A177">
        <v>296</v>
      </c>
      <c r="B177" t="s">
        <v>4205</v>
      </c>
      <c r="C177">
        <v>4276</v>
      </c>
      <c r="D177" t="s">
        <v>4206</v>
      </c>
    </row>
    <row r="178" spans="1:4" x14ac:dyDescent="0.25">
      <c r="A178">
        <v>296</v>
      </c>
      <c r="B178" t="s">
        <v>4205</v>
      </c>
      <c r="C178">
        <v>4277</v>
      </c>
      <c r="D178" t="s">
        <v>4206</v>
      </c>
    </row>
    <row r="179" spans="1:4" x14ac:dyDescent="0.25">
      <c r="A179">
        <v>296</v>
      </c>
      <c r="B179" t="s">
        <v>4205</v>
      </c>
      <c r="C179">
        <v>4281</v>
      </c>
      <c r="D179" t="s">
        <v>4206</v>
      </c>
    </row>
    <row r="180" spans="1:4" x14ac:dyDescent="0.25">
      <c r="A180">
        <v>296</v>
      </c>
      <c r="B180" t="s">
        <v>4205</v>
      </c>
      <c r="C180">
        <v>4284</v>
      </c>
      <c r="D180" t="s">
        <v>4206</v>
      </c>
    </row>
    <row r="181" spans="1:4" x14ac:dyDescent="0.25">
      <c r="A181">
        <v>296</v>
      </c>
      <c r="B181" t="s">
        <v>4205</v>
      </c>
      <c r="C181">
        <v>4288</v>
      </c>
      <c r="D181" t="s">
        <v>4206</v>
      </c>
    </row>
    <row r="182" spans="1:4" x14ac:dyDescent="0.25">
      <c r="A182">
        <v>300</v>
      </c>
      <c r="B182" t="s">
        <v>4207</v>
      </c>
      <c r="C182">
        <v>69</v>
      </c>
    </row>
    <row r="183" spans="1:4" x14ac:dyDescent="0.25">
      <c r="A183">
        <v>303</v>
      </c>
      <c r="B183" t="s">
        <v>4208</v>
      </c>
      <c r="C183">
        <v>176</v>
      </c>
      <c r="D183" t="s">
        <v>4209</v>
      </c>
    </row>
    <row r="184" spans="1:4" x14ac:dyDescent="0.25">
      <c r="A184">
        <v>303</v>
      </c>
      <c r="B184" t="s">
        <v>4208</v>
      </c>
      <c r="C184">
        <v>181</v>
      </c>
      <c r="D184" t="s">
        <v>4209</v>
      </c>
    </row>
    <row r="185" spans="1:4" x14ac:dyDescent="0.25">
      <c r="A185">
        <v>303</v>
      </c>
      <c r="B185" t="s">
        <v>4208</v>
      </c>
      <c r="C185">
        <v>214</v>
      </c>
      <c r="D185" t="s">
        <v>4209</v>
      </c>
    </row>
    <row r="186" spans="1:4" x14ac:dyDescent="0.25">
      <c r="A186">
        <v>303</v>
      </c>
      <c r="B186" t="s">
        <v>4208</v>
      </c>
      <c r="C186">
        <v>219</v>
      </c>
      <c r="D186" t="s">
        <v>4209</v>
      </c>
    </row>
    <row r="187" spans="1:4" x14ac:dyDescent="0.25">
      <c r="A187">
        <v>303</v>
      </c>
      <c r="B187" t="s">
        <v>4208</v>
      </c>
      <c r="C187">
        <v>220</v>
      </c>
      <c r="D187" t="s">
        <v>4209</v>
      </c>
    </row>
    <row r="188" spans="1:4" x14ac:dyDescent="0.25">
      <c r="A188">
        <v>303</v>
      </c>
      <c r="B188" t="s">
        <v>4208</v>
      </c>
      <c r="C188">
        <v>221</v>
      </c>
      <c r="D188" t="s">
        <v>4209</v>
      </c>
    </row>
    <row r="189" spans="1:4" x14ac:dyDescent="0.25">
      <c r="A189">
        <v>303</v>
      </c>
      <c r="B189" t="s">
        <v>4208</v>
      </c>
      <c r="C189">
        <v>227</v>
      </c>
      <c r="D189" t="s">
        <v>4209</v>
      </c>
    </row>
    <row r="190" spans="1:4" x14ac:dyDescent="0.25">
      <c r="A190">
        <v>303</v>
      </c>
      <c r="B190" t="s">
        <v>4208</v>
      </c>
      <c r="C190">
        <v>228</v>
      </c>
      <c r="D190" t="s">
        <v>4209</v>
      </c>
    </row>
    <row r="191" spans="1:4" x14ac:dyDescent="0.25">
      <c r="A191">
        <v>303</v>
      </c>
      <c r="B191" t="s">
        <v>4208</v>
      </c>
      <c r="C191">
        <v>294</v>
      </c>
      <c r="D191" t="s">
        <v>4209</v>
      </c>
    </row>
    <row r="192" spans="1:4" x14ac:dyDescent="0.25">
      <c r="A192">
        <v>303</v>
      </c>
      <c r="B192" t="s">
        <v>4208</v>
      </c>
      <c r="C192">
        <v>298</v>
      </c>
      <c r="D192" t="s">
        <v>4209</v>
      </c>
    </row>
    <row r="193" spans="1:5" x14ac:dyDescent="0.25">
      <c r="A193">
        <v>305</v>
      </c>
      <c r="B193" t="s">
        <v>3080</v>
      </c>
      <c r="C193">
        <v>3721</v>
      </c>
    </row>
    <row r="194" spans="1:5" x14ac:dyDescent="0.25">
      <c r="A194">
        <v>306</v>
      </c>
      <c r="B194" t="s">
        <v>4210</v>
      </c>
      <c r="C194">
        <v>10000</v>
      </c>
      <c r="D194" t="s">
        <v>4211</v>
      </c>
      <c r="E194" t="b">
        <v>1</v>
      </c>
    </row>
    <row r="195" spans="1:5" x14ac:dyDescent="0.25">
      <c r="A195">
        <v>312</v>
      </c>
      <c r="B195" t="s">
        <v>4212</v>
      </c>
      <c r="C195">
        <v>115</v>
      </c>
    </row>
    <row r="196" spans="1:5" x14ac:dyDescent="0.25">
      <c r="A196">
        <v>314</v>
      </c>
      <c r="B196" t="s">
        <v>165</v>
      </c>
      <c r="C196">
        <v>121</v>
      </c>
    </row>
    <row r="197" spans="1:5" x14ac:dyDescent="0.25">
      <c r="A197">
        <v>317</v>
      </c>
      <c r="B197" t="s">
        <v>2872</v>
      </c>
      <c r="C197">
        <v>2831</v>
      </c>
    </row>
    <row r="198" spans="1:5" x14ac:dyDescent="0.25">
      <c r="A198">
        <v>320</v>
      </c>
      <c r="B198" t="s">
        <v>4213</v>
      </c>
      <c r="C198">
        <v>1507</v>
      </c>
    </row>
    <row r="199" spans="1:5" x14ac:dyDescent="0.25">
      <c r="A199">
        <v>325</v>
      </c>
      <c r="B199" t="s">
        <v>4214</v>
      </c>
      <c r="C199">
        <v>10000</v>
      </c>
    </row>
    <row r="200" spans="1:5" x14ac:dyDescent="0.25">
      <c r="A200">
        <v>327</v>
      </c>
      <c r="B200" t="s">
        <v>4215</v>
      </c>
      <c r="C200">
        <v>2828</v>
      </c>
    </row>
    <row r="201" spans="1:5" x14ac:dyDescent="0.25">
      <c r="A201">
        <v>331</v>
      </c>
      <c r="B201" t="s">
        <v>3252</v>
      </c>
      <c r="C201">
        <v>4182</v>
      </c>
    </row>
    <row r="202" spans="1:5" x14ac:dyDescent="0.25">
      <c r="A202">
        <v>332</v>
      </c>
      <c r="B202" t="s">
        <v>3303</v>
      </c>
      <c r="C202">
        <v>4258</v>
      </c>
    </row>
    <row r="203" spans="1:5" x14ac:dyDescent="0.25">
      <c r="A203">
        <v>334</v>
      </c>
      <c r="B203" t="s">
        <v>4216</v>
      </c>
      <c r="C203">
        <v>1322</v>
      </c>
    </row>
    <row r="204" spans="1:5" x14ac:dyDescent="0.25">
      <c r="A204">
        <v>336</v>
      </c>
      <c r="B204" t="s">
        <v>575</v>
      </c>
      <c r="C204">
        <v>1007</v>
      </c>
    </row>
    <row r="205" spans="1:5" x14ac:dyDescent="0.25">
      <c r="A205">
        <v>338</v>
      </c>
      <c r="B205" t="s">
        <v>4217</v>
      </c>
      <c r="C205">
        <v>10000</v>
      </c>
      <c r="D205" t="s">
        <v>4218</v>
      </c>
      <c r="E205" t="b">
        <v>1</v>
      </c>
    </row>
    <row r="206" spans="1:5" x14ac:dyDescent="0.25">
      <c r="A206">
        <v>339</v>
      </c>
      <c r="B206" t="s">
        <v>4219</v>
      </c>
      <c r="C206">
        <v>1706</v>
      </c>
    </row>
    <row r="207" spans="1:5" x14ac:dyDescent="0.25">
      <c r="A207">
        <v>340</v>
      </c>
      <c r="B207" t="s">
        <v>720</v>
      </c>
      <c r="C207">
        <v>1704</v>
      </c>
    </row>
    <row r="208" spans="1:5" x14ac:dyDescent="0.25">
      <c r="A208">
        <v>342</v>
      </c>
      <c r="B208" t="s">
        <v>4220</v>
      </c>
      <c r="C208">
        <v>10000</v>
      </c>
    </row>
    <row r="209" spans="1:4" x14ac:dyDescent="0.25">
      <c r="A209">
        <v>349</v>
      </c>
      <c r="B209" t="s">
        <v>4131</v>
      </c>
      <c r="C209">
        <v>10001</v>
      </c>
    </row>
    <row r="210" spans="1:4" x14ac:dyDescent="0.25">
      <c r="A210">
        <v>351</v>
      </c>
      <c r="B210" t="s">
        <v>4221</v>
      </c>
      <c r="C210">
        <v>10000</v>
      </c>
    </row>
    <row r="211" spans="1:4" x14ac:dyDescent="0.25">
      <c r="A211">
        <v>352</v>
      </c>
      <c r="B211" t="s">
        <v>4222</v>
      </c>
      <c r="C211">
        <v>10000</v>
      </c>
    </row>
    <row r="212" spans="1:4" x14ac:dyDescent="0.25">
      <c r="A212">
        <v>365</v>
      </c>
      <c r="B212" t="s">
        <v>4223</v>
      </c>
      <c r="C212">
        <v>979</v>
      </c>
    </row>
    <row r="213" spans="1:4" x14ac:dyDescent="0.25">
      <c r="A213">
        <v>366</v>
      </c>
      <c r="B213" t="s">
        <v>4224</v>
      </c>
      <c r="C213">
        <v>10000</v>
      </c>
    </row>
    <row r="214" spans="1:4" x14ac:dyDescent="0.25">
      <c r="A214">
        <v>372</v>
      </c>
      <c r="B214" t="s">
        <v>4225</v>
      </c>
      <c r="C214">
        <v>10000</v>
      </c>
    </row>
    <row r="215" spans="1:4" x14ac:dyDescent="0.25">
      <c r="A215">
        <v>374</v>
      </c>
      <c r="B215" t="s">
        <v>4226</v>
      </c>
      <c r="C215">
        <v>261</v>
      </c>
    </row>
    <row r="216" spans="1:4" x14ac:dyDescent="0.25">
      <c r="A216">
        <v>377</v>
      </c>
      <c r="B216" t="s">
        <v>3020</v>
      </c>
      <c r="C216">
        <v>3342</v>
      </c>
    </row>
    <row r="217" spans="1:4" x14ac:dyDescent="0.25">
      <c r="A217">
        <v>379</v>
      </c>
      <c r="B217" t="s">
        <v>4227</v>
      </c>
      <c r="C217">
        <v>10000</v>
      </c>
    </row>
    <row r="218" spans="1:4" x14ac:dyDescent="0.25">
      <c r="A218">
        <v>380</v>
      </c>
      <c r="B218" t="s">
        <v>4228</v>
      </c>
      <c r="C218">
        <v>261</v>
      </c>
    </row>
    <row r="219" spans="1:4" x14ac:dyDescent="0.25">
      <c r="A219">
        <v>381</v>
      </c>
      <c r="B219" t="s">
        <v>2976</v>
      </c>
      <c r="C219">
        <v>3213</v>
      </c>
    </row>
    <row r="220" spans="1:4" x14ac:dyDescent="0.25">
      <c r="A220">
        <v>385</v>
      </c>
      <c r="B220" t="s">
        <v>4229</v>
      </c>
      <c r="C220">
        <v>10009</v>
      </c>
      <c r="D220" t="s">
        <v>1783</v>
      </c>
    </row>
    <row r="221" spans="1:4" x14ac:dyDescent="0.25">
      <c r="A221">
        <v>386</v>
      </c>
      <c r="B221" t="s">
        <v>3449</v>
      </c>
      <c r="C221">
        <v>5118</v>
      </c>
    </row>
    <row r="222" spans="1:4" x14ac:dyDescent="0.25">
      <c r="A222">
        <v>388</v>
      </c>
      <c r="B222" t="s">
        <v>3426</v>
      </c>
      <c r="C222">
        <v>5010</v>
      </c>
    </row>
    <row r="223" spans="1:4" x14ac:dyDescent="0.25">
      <c r="A223">
        <v>389</v>
      </c>
      <c r="B223" t="s">
        <v>4230</v>
      </c>
      <c r="C223">
        <v>5002</v>
      </c>
    </row>
    <row r="224" spans="1:4" x14ac:dyDescent="0.25">
      <c r="A224">
        <v>389</v>
      </c>
      <c r="B224" t="s">
        <v>4230</v>
      </c>
      <c r="C224">
        <v>5003</v>
      </c>
      <c r="D224" t="s">
        <v>2762</v>
      </c>
    </row>
    <row r="225" spans="1:4" x14ac:dyDescent="0.25">
      <c r="A225">
        <v>389</v>
      </c>
      <c r="B225" t="s">
        <v>4230</v>
      </c>
      <c r="C225">
        <v>5010</v>
      </c>
      <c r="D225" t="s">
        <v>2762</v>
      </c>
    </row>
    <row r="226" spans="1:4" x14ac:dyDescent="0.25">
      <c r="A226">
        <v>391</v>
      </c>
      <c r="B226" t="s">
        <v>3509</v>
      </c>
      <c r="C226">
        <v>5260</v>
      </c>
    </row>
    <row r="227" spans="1:4" x14ac:dyDescent="0.25">
      <c r="A227">
        <v>394</v>
      </c>
      <c r="B227" t="s">
        <v>794</v>
      </c>
      <c r="C227">
        <v>2208</v>
      </c>
    </row>
    <row r="228" spans="1:4" x14ac:dyDescent="0.25">
      <c r="A228">
        <v>396</v>
      </c>
      <c r="B228" t="s">
        <v>3477</v>
      </c>
      <c r="C228">
        <v>5194</v>
      </c>
    </row>
    <row r="229" spans="1:4" x14ac:dyDescent="0.25">
      <c r="A229">
        <v>398</v>
      </c>
      <c r="B229" t="s">
        <v>3507</v>
      </c>
      <c r="C229">
        <v>5254</v>
      </c>
    </row>
    <row r="230" spans="1:4" x14ac:dyDescent="0.25">
      <c r="A230">
        <v>399</v>
      </c>
      <c r="B230" t="s">
        <v>3456</v>
      </c>
      <c r="C230">
        <v>5141</v>
      </c>
    </row>
    <row r="231" spans="1:4" x14ac:dyDescent="0.25">
      <c r="A231">
        <v>400</v>
      </c>
      <c r="B231" t="s">
        <v>3462</v>
      </c>
      <c r="C231">
        <v>5151</v>
      </c>
    </row>
    <row r="232" spans="1:4" x14ac:dyDescent="0.25">
      <c r="A232">
        <v>401</v>
      </c>
      <c r="B232" t="s">
        <v>3543</v>
      </c>
      <c r="C232">
        <v>5422</v>
      </c>
    </row>
    <row r="233" spans="1:4" x14ac:dyDescent="0.25">
      <c r="A233">
        <v>402</v>
      </c>
      <c r="B233" t="s">
        <v>3636</v>
      </c>
      <c r="C233">
        <v>5589</v>
      </c>
    </row>
    <row r="234" spans="1:4" x14ac:dyDescent="0.25">
      <c r="A234">
        <v>403</v>
      </c>
      <c r="B234" t="s">
        <v>3795</v>
      </c>
      <c r="C234">
        <v>5890</v>
      </c>
    </row>
    <row r="235" spans="1:4" x14ac:dyDescent="0.25">
      <c r="A235">
        <v>404</v>
      </c>
      <c r="B235" t="s">
        <v>838</v>
      </c>
      <c r="C235">
        <v>2321</v>
      </c>
    </row>
    <row r="236" spans="1:4" x14ac:dyDescent="0.25">
      <c r="A236">
        <v>406</v>
      </c>
      <c r="B236" t="s">
        <v>792</v>
      </c>
      <c r="C236">
        <v>2198</v>
      </c>
    </row>
    <row r="237" spans="1:4" x14ac:dyDescent="0.25">
      <c r="A237">
        <v>408</v>
      </c>
      <c r="B237" t="s">
        <v>154</v>
      </c>
      <c r="C237">
        <v>111</v>
      </c>
    </row>
    <row r="238" spans="1:4" x14ac:dyDescent="0.25">
      <c r="A238">
        <v>412</v>
      </c>
      <c r="B238" t="s">
        <v>533</v>
      </c>
      <c r="C238">
        <v>939</v>
      </c>
    </row>
    <row r="239" spans="1:4" x14ac:dyDescent="0.25">
      <c r="A239">
        <v>414</v>
      </c>
      <c r="B239" t="s">
        <v>4231</v>
      </c>
      <c r="C239">
        <v>10000</v>
      </c>
    </row>
    <row r="240" spans="1:4" x14ac:dyDescent="0.25">
      <c r="A240">
        <v>452</v>
      </c>
      <c r="B240" t="s">
        <v>4232</v>
      </c>
      <c r="C240">
        <v>10000</v>
      </c>
    </row>
    <row r="241" spans="1:5" x14ac:dyDescent="0.25">
      <c r="A241">
        <v>467</v>
      </c>
      <c r="B241" t="s">
        <v>4233</v>
      </c>
      <c r="C241">
        <v>10025</v>
      </c>
    </row>
    <row r="242" spans="1:5" x14ac:dyDescent="0.25">
      <c r="A242">
        <v>470</v>
      </c>
      <c r="B242" t="s">
        <v>4234</v>
      </c>
      <c r="C242">
        <v>10000</v>
      </c>
      <c r="D242" t="s">
        <v>4218</v>
      </c>
      <c r="E242" t="b">
        <v>1</v>
      </c>
    </row>
    <row r="243" spans="1:5" x14ac:dyDescent="0.25">
      <c r="A243">
        <v>473</v>
      </c>
      <c r="B243" t="s">
        <v>4235</v>
      </c>
      <c r="C243">
        <v>10000</v>
      </c>
    </row>
    <row r="244" spans="1:5" x14ac:dyDescent="0.25">
      <c r="A244">
        <v>475</v>
      </c>
      <c r="B244" t="s">
        <v>4236</v>
      </c>
      <c r="C244">
        <v>10000</v>
      </c>
    </row>
    <row r="245" spans="1:5" x14ac:dyDescent="0.25">
      <c r="A245">
        <v>487</v>
      </c>
      <c r="B245" t="s">
        <v>3631</v>
      </c>
      <c r="C245">
        <v>5584</v>
      </c>
    </row>
    <row r="246" spans="1:5" x14ac:dyDescent="0.25">
      <c r="A246">
        <v>488</v>
      </c>
      <c r="B246" t="s">
        <v>113</v>
      </c>
      <c r="C246">
        <v>54</v>
      </c>
    </row>
    <row r="247" spans="1:5" x14ac:dyDescent="0.25">
      <c r="A247">
        <v>497</v>
      </c>
      <c r="B247" t="s">
        <v>257</v>
      </c>
      <c r="C247">
        <v>333</v>
      </c>
    </row>
    <row r="248" spans="1:5" x14ac:dyDescent="0.25">
      <c r="A248">
        <v>498</v>
      </c>
      <c r="B248" t="s">
        <v>4237</v>
      </c>
      <c r="C248">
        <v>10021</v>
      </c>
    </row>
    <row r="249" spans="1:5" x14ac:dyDescent="0.25">
      <c r="A249">
        <v>499</v>
      </c>
      <c r="B249" t="s">
        <v>4238</v>
      </c>
      <c r="C249">
        <v>10021</v>
      </c>
    </row>
    <row r="250" spans="1:5" x14ac:dyDescent="0.25">
      <c r="A250">
        <v>501</v>
      </c>
      <c r="B250" t="s">
        <v>254</v>
      </c>
      <c r="C250">
        <v>329</v>
      </c>
    </row>
    <row r="251" spans="1:5" x14ac:dyDescent="0.25">
      <c r="A251">
        <v>508</v>
      </c>
      <c r="B251" t="s">
        <v>4239</v>
      </c>
      <c r="C251">
        <v>10000</v>
      </c>
    </row>
    <row r="252" spans="1:5" x14ac:dyDescent="0.25">
      <c r="A252">
        <v>509</v>
      </c>
      <c r="B252" t="s">
        <v>4177</v>
      </c>
      <c r="C252">
        <v>5584</v>
      </c>
      <c r="D252" t="s">
        <v>2707</v>
      </c>
    </row>
    <row r="253" spans="1:5" x14ac:dyDescent="0.25">
      <c r="A253">
        <v>509</v>
      </c>
      <c r="B253" t="s">
        <v>4177</v>
      </c>
      <c r="C253">
        <v>5585</v>
      </c>
      <c r="D253" t="s">
        <v>2707</v>
      </c>
    </row>
    <row r="254" spans="1:5" x14ac:dyDescent="0.25">
      <c r="A254">
        <v>509</v>
      </c>
      <c r="B254" t="s">
        <v>4177</v>
      </c>
      <c r="C254">
        <v>5586</v>
      </c>
    </row>
    <row r="255" spans="1:5" x14ac:dyDescent="0.25">
      <c r="A255">
        <v>509</v>
      </c>
      <c r="B255" t="s">
        <v>4177</v>
      </c>
      <c r="C255">
        <v>5587</v>
      </c>
      <c r="D255" t="s">
        <v>2707</v>
      </c>
    </row>
    <row r="256" spans="1:5" x14ac:dyDescent="0.25">
      <c r="A256">
        <v>509</v>
      </c>
      <c r="B256" t="s">
        <v>4177</v>
      </c>
      <c r="C256">
        <v>5589</v>
      </c>
      <c r="D256" t="s">
        <v>2707</v>
      </c>
    </row>
    <row r="257" spans="1:4" x14ac:dyDescent="0.25">
      <c r="A257">
        <v>509</v>
      </c>
      <c r="B257" t="s">
        <v>4177</v>
      </c>
      <c r="C257">
        <v>5648</v>
      </c>
      <c r="D257" t="s">
        <v>2707</v>
      </c>
    </row>
    <row r="258" spans="1:4" x14ac:dyDescent="0.25">
      <c r="A258">
        <v>510</v>
      </c>
      <c r="B258" t="s">
        <v>4240</v>
      </c>
      <c r="C258">
        <v>10000</v>
      </c>
    </row>
    <row r="259" spans="1:4" x14ac:dyDescent="0.25">
      <c r="A259">
        <v>513</v>
      </c>
      <c r="B259" t="s">
        <v>4241</v>
      </c>
      <c r="C259">
        <v>10000</v>
      </c>
    </row>
    <row r="260" spans="1:4" x14ac:dyDescent="0.25">
      <c r="A260">
        <v>514</v>
      </c>
      <c r="B260" t="s">
        <v>3835</v>
      </c>
      <c r="C260">
        <v>6021</v>
      </c>
    </row>
    <row r="261" spans="1:4" x14ac:dyDescent="0.25">
      <c r="A261">
        <v>515</v>
      </c>
      <c r="B261" t="s">
        <v>3014</v>
      </c>
      <c r="C261">
        <v>3315</v>
      </c>
    </row>
    <row r="262" spans="1:4" x14ac:dyDescent="0.25">
      <c r="A262">
        <v>516</v>
      </c>
      <c r="B262" t="s">
        <v>3021</v>
      </c>
      <c r="C262">
        <v>3352</v>
      </c>
    </row>
    <row r="263" spans="1:4" x14ac:dyDescent="0.25">
      <c r="A263">
        <v>518</v>
      </c>
      <c r="B263" t="s">
        <v>3023</v>
      </c>
      <c r="C263">
        <v>3360</v>
      </c>
    </row>
    <row r="264" spans="1:4" x14ac:dyDescent="0.25">
      <c r="A264">
        <v>519</v>
      </c>
      <c r="B264" t="s">
        <v>166</v>
      </c>
      <c r="C264">
        <v>131</v>
      </c>
    </row>
    <row r="265" spans="1:4" x14ac:dyDescent="0.25">
      <c r="A265">
        <v>521</v>
      </c>
      <c r="B265" t="s">
        <v>4242</v>
      </c>
      <c r="C265">
        <v>538</v>
      </c>
      <c r="D265" t="s">
        <v>4243</v>
      </c>
    </row>
    <row r="266" spans="1:4" x14ac:dyDescent="0.25">
      <c r="A266">
        <v>530</v>
      </c>
      <c r="B266" t="s">
        <v>4244</v>
      </c>
      <c r="C266">
        <v>10000</v>
      </c>
    </row>
    <row r="267" spans="1:4" x14ac:dyDescent="0.25">
      <c r="A267">
        <v>533</v>
      </c>
      <c r="B267" t="s">
        <v>4245</v>
      </c>
      <c r="C267">
        <v>10000</v>
      </c>
    </row>
    <row r="268" spans="1:4" x14ac:dyDescent="0.25">
      <c r="A268">
        <v>534</v>
      </c>
      <c r="B268" t="s">
        <v>4246</v>
      </c>
      <c r="C268">
        <v>62</v>
      </c>
    </row>
    <row r="269" spans="1:4" x14ac:dyDescent="0.25">
      <c r="A269">
        <v>539</v>
      </c>
      <c r="B269" t="s">
        <v>4247</v>
      </c>
      <c r="C269">
        <v>2701</v>
      </c>
    </row>
    <row r="270" spans="1:4" x14ac:dyDescent="0.25">
      <c r="A270">
        <v>539</v>
      </c>
      <c r="B270" t="s">
        <v>4247</v>
      </c>
      <c r="C270">
        <v>2702</v>
      </c>
      <c r="D270" t="s">
        <v>2318</v>
      </c>
    </row>
    <row r="271" spans="1:4" x14ac:dyDescent="0.25">
      <c r="A271">
        <v>539</v>
      </c>
      <c r="B271" t="s">
        <v>4247</v>
      </c>
      <c r="C271">
        <v>2703</v>
      </c>
      <c r="D271" t="s">
        <v>2318</v>
      </c>
    </row>
    <row r="272" spans="1:4" x14ac:dyDescent="0.25">
      <c r="A272">
        <v>540</v>
      </c>
      <c r="B272" t="s">
        <v>4248</v>
      </c>
      <c r="C272">
        <v>158</v>
      </c>
    </row>
    <row r="273" spans="1:4" x14ac:dyDescent="0.25">
      <c r="A273">
        <v>542</v>
      </c>
      <c r="B273" t="s">
        <v>4249</v>
      </c>
      <c r="C273">
        <v>356</v>
      </c>
    </row>
    <row r="274" spans="1:4" x14ac:dyDescent="0.25">
      <c r="A274">
        <v>545</v>
      </c>
      <c r="B274" t="s">
        <v>4250</v>
      </c>
      <c r="C274">
        <v>228</v>
      </c>
    </row>
    <row r="275" spans="1:4" x14ac:dyDescent="0.25">
      <c r="A275">
        <v>547</v>
      </c>
      <c r="B275" t="s">
        <v>4251</v>
      </c>
      <c r="C275">
        <v>3216</v>
      </c>
    </row>
    <row r="276" spans="1:4" x14ac:dyDescent="0.25">
      <c r="A276">
        <v>549</v>
      </c>
      <c r="B276" t="s">
        <v>4252</v>
      </c>
      <c r="C276">
        <v>6711</v>
      </c>
      <c r="D276" t="s">
        <v>4253</v>
      </c>
    </row>
    <row r="277" spans="1:4" x14ac:dyDescent="0.25">
      <c r="A277">
        <v>550</v>
      </c>
      <c r="B277" t="s">
        <v>4254</v>
      </c>
      <c r="C277">
        <v>4495</v>
      </c>
    </row>
    <row r="278" spans="1:4" x14ac:dyDescent="0.25">
      <c r="A278">
        <v>553</v>
      </c>
      <c r="B278" t="s">
        <v>4255</v>
      </c>
      <c r="C278">
        <v>10009</v>
      </c>
    </row>
    <row r="279" spans="1:4" x14ac:dyDescent="0.25">
      <c r="A279">
        <v>556</v>
      </c>
      <c r="B279" t="s">
        <v>4256</v>
      </c>
      <c r="C279">
        <v>2196</v>
      </c>
    </row>
    <row r="280" spans="1:4" x14ac:dyDescent="0.25">
      <c r="A280">
        <v>557</v>
      </c>
      <c r="B280" t="s">
        <v>4257</v>
      </c>
      <c r="C280">
        <v>10024</v>
      </c>
    </row>
    <row r="281" spans="1:4" x14ac:dyDescent="0.25">
      <c r="A281">
        <v>559</v>
      </c>
      <c r="B281" t="s">
        <v>4258</v>
      </c>
      <c r="C281">
        <v>10001</v>
      </c>
    </row>
    <row r="282" spans="1:4" x14ac:dyDescent="0.25">
      <c r="A282">
        <v>561</v>
      </c>
      <c r="B282" t="s">
        <v>4259</v>
      </c>
      <c r="C282">
        <v>10002</v>
      </c>
    </row>
    <row r="283" spans="1:4" x14ac:dyDescent="0.25">
      <c r="A283">
        <v>562</v>
      </c>
      <c r="B283" t="s">
        <v>4260</v>
      </c>
      <c r="C283">
        <v>10013</v>
      </c>
    </row>
    <row r="284" spans="1:4" x14ac:dyDescent="0.25">
      <c r="A284">
        <v>563</v>
      </c>
      <c r="B284" t="s">
        <v>4261</v>
      </c>
      <c r="C284">
        <v>10010</v>
      </c>
    </row>
    <row r="285" spans="1:4" x14ac:dyDescent="0.25">
      <c r="A285">
        <v>564</v>
      </c>
      <c r="B285" t="s">
        <v>4262</v>
      </c>
      <c r="C285">
        <v>10025</v>
      </c>
    </row>
    <row r="286" spans="1:4" x14ac:dyDescent="0.25">
      <c r="A286">
        <v>565</v>
      </c>
      <c r="B286" t="s">
        <v>4263</v>
      </c>
      <c r="C286">
        <v>10026</v>
      </c>
    </row>
    <row r="287" spans="1:4" x14ac:dyDescent="0.25">
      <c r="A287">
        <v>566</v>
      </c>
      <c r="B287" t="s">
        <v>4264</v>
      </c>
      <c r="C287">
        <v>10012</v>
      </c>
    </row>
    <row r="288" spans="1:4" x14ac:dyDescent="0.25">
      <c r="A288">
        <v>567</v>
      </c>
      <c r="B288" t="s">
        <v>4265</v>
      </c>
      <c r="C288">
        <v>10007</v>
      </c>
    </row>
    <row r="289" spans="1:3" x14ac:dyDescent="0.25">
      <c r="A289">
        <v>568</v>
      </c>
      <c r="B289" t="s">
        <v>4266</v>
      </c>
      <c r="C289">
        <v>10006</v>
      </c>
    </row>
    <row r="290" spans="1:3" x14ac:dyDescent="0.25">
      <c r="A290">
        <v>569</v>
      </c>
      <c r="B290" t="s">
        <v>4267</v>
      </c>
      <c r="C290">
        <v>10017</v>
      </c>
    </row>
    <row r="291" spans="1:3" x14ac:dyDescent="0.25">
      <c r="A291">
        <v>570</v>
      </c>
      <c r="B291" t="s">
        <v>4268</v>
      </c>
      <c r="C291">
        <v>10011</v>
      </c>
    </row>
    <row r="292" spans="1:3" x14ac:dyDescent="0.25">
      <c r="A292">
        <v>571</v>
      </c>
      <c r="B292" t="s">
        <v>4269</v>
      </c>
      <c r="C292">
        <v>10020</v>
      </c>
    </row>
    <row r="293" spans="1:3" x14ac:dyDescent="0.25">
      <c r="A293">
        <v>573</v>
      </c>
      <c r="B293" t="s">
        <v>4270</v>
      </c>
      <c r="C293">
        <v>10004</v>
      </c>
    </row>
    <row r="294" spans="1:3" x14ac:dyDescent="0.25">
      <c r="A294">
        <v>574</v>
      </c>
      <c r="B294" t="s">
        <v>4271</v>
      </c>
      <c r="C294">
        <v>10009</v>
      </c>
    </row>
    <row r="295" spans="1:3" x14ac:dyDescent="0.25">
      <c r="A295">
        <v>575</v>
      </c>
      <c r="B295" t="s">
        <v>4272</v>
      </c>
      <c r="C295">
        <v>10001</v>
      </c>
    </row>
    <row r="296" spans="1:3" x14ac:dyDescent="0.25">
      <c r="A296">
        <v>576</v>
      </c>
      <c r="B296" t="s">
        <v>4174</v>
      </c>
      <c r="C296">
        <v>10022</v>
      </c>
    </row>
    <row r="297" spans="1:3" x14ac:dyDescent="0.25">
      <c r="A297">
        <v>578</v>
      </c>
      <c r="B297" t="s">
        <v>4273</v>
      </c>
      <c r="C297">
        <v>25</v>
      </c>
    </row>
    <row r="298" spans="1:3" x14ac:dyDescent="0.25">
      <c r="A298">
        <v>579</v>
      </c>
      <c r="B298" t="s">
        <v>4274</v>
      </c>
      <c r="C298">
        <v>3723</v>
      </c>
    </row>
    <row r="299" spans="1:3" x14ac:dyDescent="0.25">
      <c r="A299">
        <v>580</v>
      </c>
      <c r="B299" t="s">
        <v>4275</v>
      </c>
      <c r="C299">
        <v>5590</v>
      </c>
    </row>
    <row r="300" spans="1:3" x14ac:dyDescent="0.25">
      <c r="A300">
        <v>584</v>
      </c>
      <c r="B300" t="s">
        <v>4276</v>
      </c>
      <c r="C300">
        <v>10001</v>
      </c>
    </row>
    <row r="301" spans="1:3" x14ac:dyDescent="0.25">
      <c r="A301">
        <v>585</v>
      </c>
      <c r="B301" t="s">
        <v>4277</v>
      </c>
      <c r="C301">
        <v>10013</v>
      </c>
    </row>
    <row r="302" spans="1:3" x14ac:dyDescent="0.25">
      <c r="A302">
        <v>586</v>
      </c>
      <c r="B302" t="s">
        <v>4278</v>
      </c>
      <c r="C302">
        <v>10012</v>
      </c>
    </row>
    <row r="303" spans="1:3" x14ac:dyDescent="0.25">
      <c r="A303">
        <v>587</v>
      </c>
      <c r="B303" t="s">
        <v>4279</v>
      </c>
      <c r="C303">
        <v>10019</v>
      </c>
    </row>
    <row r="304" spans="1:3" x14ac:dyDescent="0.25">
      <c r="A304">
        <v>588</v>
      </c>
      <c r="B304" t="s">
        <v>4280</v>
      </c>
      <c r="C304">
        <v>10015</v>
      </c>
    </row>
    <row r="305" spans="1:3" x14ac:dyDescent="0.25">
      <c r="A305">
        <v>589</v>
      </c>
      <c r="B305" t="s">
        <v>4281</v>
      </c>
      <c r="C305">
        <v>10016</v>
      </c>
    </row>
    <row r="306" spans="1:3" x14ac:dyDescent="0.25">
      <c r="A306">
        <v>590</v>
      </c>
      <c r="B306" t="s">
        <v>4282</v>
      </c>
      <c r="C306">
        <v>10002</v>
      </c>
    </row>
    <row r="307" spans="1:3" x14ac:dyDescent="0.25">
      <c r="A307">
        <v>591</v>
      </c>
      <c r="B307" t="s">
        <v>4283</v>
      </c>
      <c r="C307">
        <v>10010</v>
      </c>
    </row>
    <row r="308" spans="1:3" x14ac:dyDescent="0.25">
      <c r="A308">
        <v>592</v>
      </c>
      <c r="B308" t="s">
        <v>4284</v>
      </c>
      <c r="C308">
        <v>10025</v>
      </c>
    </row>
    <row r="309" spans="1:3" x14ac:dyDescent="0.25">
      <c r="A309">
        <v>593</v>
      </c>
      <c r="B309" t="s">
        <v>4285</v>
      </c>
      <c r="C309">
        <v>10008</v>
      </c>
    </row>
    <row r="310" spans="1:3" x14ac:dyDescent="0.25">
      <c r="A310">
        <v>594</v>
      </c>
      <c r="B310" t="s">
        <v>4286</v>
      </c>
      <c r="C310">
        <v>10018</v>
      </c>
    </row>
    <row r="311" spans="1:3" x14ac:dyDescent="0.25">
      <c r="A311">
        <v>595</v>
      </c>
      <c r="B311" t="s">
        <v>4287</v>
      </c>
      <c r="C311">
        <v>10026</v>
      </c>
    </row>
    <row r="312" spans="1:3" x14ac:dyDescent="0.25">
      <c r="A312">
        <v>596</v>
      </c>
      <c r="B312" t="s">
        <v>4288</v>
      </c>
      <c r="C312">
        <v>10003</v>
      </c>
    </row>
    <row r="313" spans="1:3" x14ac:dyDescent="0.25">
      <c r="A313">
        <v>597</v>
      </c>
      <c r="B313" t="s">
        <v>4289</v>
      </c>
      <c r="C313">
        <v>10024</v>
      </c>
    </row>
    <row r="314" spans="1:3" x14ac:dyDescent="0.25">
      <c r="A314">
        <v>598</v>
      </c>
      <c r="B314" t="s">
        <v>4290</v>
      </c>
      <c r="C314">
        <v>10007</v>
      </c>
    </row>
    <row r="315" spans="1:3" x14ac:dyDescent="0.25">
      <c r="A315">
        <v>599</v>
      </c>
      <c r="B315" t="s">
        <v>4291</v>
      </c>
      <c r="C315">
        <v>10006</v>
      </c>
    </row>
    <row r="316" spans="1:3" x14ac:dyDescent="0.25">
      <c r="A316">
        <v>600</v>
      </c>
      <c r="B316" t="s">
        <v>4292</v>
      </c>
      <c r="C316">
        <v>10014</v>
      </c>
    </row>
    <row r="317" spans="1:3" x14ac:dyDescent="0.25">
      <c r="A317">
        <v>601</v>
      </c>
      <c r="B317" t="s">
        <v>4293</v>
      </c>
      <c r="C317">
        <v>10005</v>
      </c>
    </row>
    <row r="318" spans="1:3" x14ac:dyDescent="0.25">
      <c r="A318">
        <v>602</v>
      </c>
      <c r="B318" t="s">
        <v>4294</v>
      </c>
      <c r="C318">
        <v>10011</v>
      </c>
    </row>
    <row r="319" spans="1:3" x14ac:dyDescent="0.25">
      <c r="A319">
        <v>603</v>
      </c>
      <c r="B319" t="s">
        <v>4295</v>
      </c>
      <c r="C319">
        <v>10017</v>
      </c>
    </row>
    <row r="320" spans="1:3" x14ac:dyDescent="0.25">
      <c r="A320">
        <v>604</v>
      </c>
      <c r="B320" t="s">
        <v>4296</v>
      </c>
      <c r="C320">
        <v>10021</v>
      </c>
    </row>
    <row r="321" spans="1:4" x14ac:dyDescent="0.25">
      <c r="A321">
        <v>605</v>
      </c>
      <c r="B321" t="s">
        <v>4297</v>
      </c>
      <c r="C321">
        <v>10020</v>
      </c>
    </row>
    <row r="322" spans="1:4" x14ac:dyDescent="0.25">
      <c r="A322">
        <v>606</v>
      </c>
      <c r="B322" t="s">
        <v>4298</v>
      </c>
      <c r="C322">
        <v>10004</v>
      </c>
    </row>
    <row r="323" spans="1:4" x14ac:dyDescent="0.25">
      <c r="A323">
        <v>607</v>
      </c>
      <c r="B323" t="s">
        <v>4299</v>
      </c>
      <c r="C323">
        <v>10022</v>
      </c>
    </row>
    <row r="324" spans="1:4" x14ac:dyDescent="0.25">
      <c r="A324">
        <v>608</v>
      </c>
      <c r="B324" t="s">
        <v>4300</v>
      </c>
      <c r="C324">
        <v>10023</v>
      </c>
    </row>
    <row r="325" spans="1:4" x14ac:dyDescent="0.25">
      <c r="A325">
        <v>609</v>
      </c>
      <c r="B325" t="s">
        <v>4301</v>
      </c>
      <c r="C325">
        <v>10009</v>
      </c>
    </row>
    <row r="326" spans="1:4" x14ac:dyDescent="0.25">
      <c r="A326">
        <v>612</v>
      </c>
      <c r="B326" t="s">
        <v>4302</v>
      </c>
      <c r="C326">
        <v>10008</v>
      </c>
    </row>
    <row r="327" spans="1:4" x14ac:dyDescent="0.25">
      <c r="A327">
        <v>613</v>
      </c>
      <c r="B327" t="s">
        <v>4303</v>
      </c>
      <c r="C327">
        <v>10018</v>
      </c>
    </row>
    <row r="328" spans="1:4" x14ac:dyDescent="0.25">
      <c r="A328">
        <v>614</v>
      </c>
      <c r="B328" t="s">
        <v>4304</v>
      </c>
      <c r="C328">
        <v>10016</v>
      </c>
    </row>
    <row r="329" spans="1:4" x14ac:dyDescent="0.25">
      <c r="A329">
        <v>616</v>
      </c>
      <c r="B329" t="s">
        <v>3381</v>
      </c>
      <c r="C329">
        <v>4671</v>
      </c>
    </row>
    <row r="330" spans="1:4" x14ac:dyDescent="0.25">
      <c r="A330">
        <v>617</v>
      </c>
      <c r="B330" t="s">
        <v>3412</v>
      </c>
      <c r="C330">
        <v>4864</v>
      </c>
    </row>
    <row r="331" spans="1:4" x14ac:dyDescent="0.25">
      <c r="A331">
        <v>618</v>
      </c>
      <c r="B331" t="s">
        <v>3420</v>
      </c>
      <c r="C331">
        <v>4946</v>
      </c>
    </row>
    <row r="332" spans="1:4" x14ac:dyDescent="0.25">
      <c r="A332">
        <v>620</v>
      </c>
      <c r="B332" t="s">
        <v>2932</v>
      </c>
      <c r="C332">
        <v>2937</v>
      </c>
    </row>
    <row r="333" spans="1:4" x14ac:dyDescent="0.25">
      <c r="A333">
        <v>621</v>
      </c>
      <c r="B333" t="s">
        <v>3648</v>
      </c>
      <c r="C333">
        <v>5621</v>
      </c>
    </row>
    <row r="334" spans="1:4" x14ac:dyDescent="0.25">
      <c r="A334">
        <v>622</v>
      </c>
      <c r="B334" t="s">
        <v>3862</v>
      </c>
      <c r="C334">
        <v>6109</v>
      </c>
      <c r="D334" t="s">
        <v>4305</v>
      </c>
    </row>
    <row r="335" spans="1:4" x14ac:dyDescent="0.25">
      <c r="A335">
        <v>623</v>
      </c>
      <c r="B335" t="s">
        <v>763</v>
      </c>
      <c r="C335">
        <v>2125</v>
      </c>
    </row>
    <row r="336" spans="1:4" x14ac:dyDescent="0.25">
      <c r="A336">
        <v>624</v>
      </c>
      <c r="B336" t="s">
        <v>4306</v>
      </c>
      <c r="C336">
        <v>6458</v>
      </c>
    </row>
    <row r="337" spans="1:4" x14ac:dyDescent="0.25">
      <c r="A337">
        <v>625</v>
      </c>
      <c r="B337" t="s">
        <v>4307</v>
      </c>
      <c r="C337">
        <v>6153</v>
      </c>
    </row>
    <row r="338" spans="1:4" x14ac:dyDescent="0.25">
      <c r="A338">
        <v>626</v>
      </c>
      <c r="B338" t="s">
        <v>172</v>
      </c>
      <c r="C338">
        <v>139</v>
      </c>
    </row>
    <row r="339" spans="1:4" x14ac:dyDescent="0.25">
      <c r="A339">
        <v>627</v>
      </c>
      <c r="B339" t="s">
        <v>4308</v>
      </c>
      <c r="C339">
        <v>2422</v>
      </c>
      <c r="D339" t="s">
        <v>4309</v>
      </c>
    </row>
    <row r="340" spans="1:4" x14ac:dyDescent="0.25">
      <c r="A340">
        <v>627</v>
      </c>
      <c r="B340" t="s">
        <v>4308</v>
      </c>
      <c r="C340">
        <v>2471</v>
      </c>
      <c r="D340" t="s">
        <v>4309</v>
      </c>
    </row>
    <row r="341" spans="1:4" x14ac:dyDescent="0.25">
      <c r="A341">
        <v>627</v>
      </c>
      <c r="B341" t="s">
        <v>4308</v>
      </c>
      <c r="C341">
        <v>2473</v>
      </c>
      <c r="D341" t="s">
        <v>4309</v>
      </c>
    </row>
    <row r="342" spans="1:4" x14ac:dyDescent="0.25">
      <c r="A342">
        <v>627</v>
      </c>
      <c r="B342" t="s">
        <v>4308</v>
      </c>
      <c r="C342">
        <v>2474</v>
      </c>
      <c r="D342" t="s">
        <v>4309</v>
      </c>
    </row>
    <row r="343" spans="1:4" x14ac:dyDescent="0.25">
      <c r="A343">
        <v>627</v>
      </c>
      <c r="B343" t="s">
        <v>4308</v>
      </c>
      <c r="C343">
        <v>2475</v>
      </c>
      <c r="D343" t="s">
        <v>4309</v>
      </c>
    </row>
    <row r="344" spans="1:4" x14ac:dyDescent="0.25">
      <c r="A344">
        <v>627</v>
      </c>
      <c r="B344" t="s">
        <v>4308</v>
      </c>
      <c r="C344">
        <v>2479</v>
      </c>
      <c r="D344" t="s">
        <v>4309</v>
      </c>
    </row>
    <row r="345" spans="1:4" x14ac:dyDescent="0.25">
      <c r="A345">
        <v>627</v>
      </c>
      <c r="B345" t="s">
        <v>4308</v>
      </c>
      <c r="C345">
        <v>2481</v>
      </c>
      <c r="D345" t="s">
        <v>4309</v>
      </c>
    </row>
    <row r="346" spans="1:4" x14ac:dyDescent="0.25">
      <c r="A346">
        <v>627</v>
      </c>
      <c r="B346" t="s">
        <v>4308</v>
      </c>
      <c r="C346">
        <v>2493</v>
      </c>
      <c r="D346" t="s">
        <v>4309</v>
      </c>
    </row>
    <row r="347" spans="1:4" x14ac:dyDescent="0.25">
      <c r="A347">
        <v>627</v>
      </c>
      <c r="B347" t="s">
        <v>4308</v>
      </c>
      <c r="C347">
        <v>2495</v>
      </c>
      <c r="D347" t="s">
        <v>4309</v>
      </c>
    </row>
    <row r="348" spans="1:4" x14ac:dyDescent="0.25">
      <c r="A348">
        <v>627</v>
      </c>
      <c r="B348" t="s">
        <v>4308</v>
      </c>
      <c r="C348">
        <v>2499</v>
      </c>
      <c r="D348" t="s">
        <v>4309</v>
      </c>
    </row>
    <row r="349" spans="1:4" x14ac:dyDescent="0.25">
      <c r="A349">
        <v>627</v>
      </c>
      <c r="B349" t="s">
        <v>4308</v>
      </c>
      <c r="C349">
        <v>2500</v>
      </c>
      <c r="D349" t="s">
        <v>4309</v>
      </c>
    </row>
    <row r="350" spans="1:4" x14ac:dyDescent="0.25">
      <c r="A350">
        <v>627</v>
      </c>
      <c r="B350" t="s">
        <v>4308</v>
      </c>
      <c r="C350">
        <v>2501</v>
      </c>
      <c r="D350" t="s">
        <v>4309</v>
      </c>
    </row>
    <row r="351" spans="1:4" x14ac:dyDescent="0.25">
      <c r="A351">
        <v>627</v>
      </c>
      <c r="B351" t="s">
        <v>4308</v>
      </c>
      <c r="C351">
        <v>2502</v>
      </c>
      <c r="D351" t="s">
        <v>4309</v>
      </c>
    </row>
    <row r="352" spans="1:4" x14ac:dyDescent="0.25">
      <c r="A352">
        <v>627</v>
      </c>
      <c r="B352" t="s">
        <v>4308</v>
      </c>
      <c r="C352">
        <v>2582</v>
      </c>
      <c r="D352" t="s">
        <v>4309</v>
      </c>
    </row>
    <row r="353" spans="1:4" x14ac:dyDescent="0.25">
      <c r="A353">
        <v>627</v>
      </c>
      <c r="B353" t="s">
        <v>4308</v>
      </c>
      <c r="C353">
        <v>2583</v>
      </c>
      <c r="D353" t="s">
        <v>4309</v>
      </c>
    </row>
    <row r="354" spans="1:4" x14ac:dyDescent="0.25">
      <c r="A354">
        <v>627</v>
      </c>
      <c r="B354" t="s">
        <v>4308</v>
      </c>
      <c r="C354">
        <v>2584</v>
      </c>
      <c r="D354" t="s">
        <v>4309</v>
      </c>
    </row>
    <row r="355" spans="1:4" x14ac:dyDescent="0.25">
      <c r="A355">
        <v>627</v>
      </c>
      <c r="B355" t="s">
        <v>4308</v>
      </c>
      <c r="C355">
        <v>2585</v>
      </c>
      <c r="D355" t="s">
        <v>4309</v>
      </c>
    </row>
    <row r="356" spans="1:4" x14ac:dyDescent="0.25">
      <c r="A356">
        <v>627</v>
      </c>
      <c r="B356" t="s">
        <v>4308</v>
      </c>
      <c r="C356">
        <v>2611</v>
      </c>
      <c r="D356" t="s">
        <v>4309</v>
      </c>
    </row>
    <row r="357" spans="1:4" x14ac:dyDescent="0.25">
      <c r="A357">
        <v>627</v>
      </c>
      <c r="B357" t="s">
        <v>4308</v>
      </c>
      <c r="C357">
        <v>2612</v>
      </c>
      <c r="D357" t="s">
        <v>4309</v>
      </c>
    </row>
    <row r="358" spans="1:4" x14ac:dyDescent="0.25">
      <c r="A358">
        <v>627</v>
      </c>
      <c r="B358" t="s">
        <v>4308</v>
      </c>
      <c r="C358">
        <v>2613</v>
      </c>
      <c r="D358" t="s">
        <v>4309</v>
      </c>
    </row>
    <row r="359" spans="1:4" x14ac:dyDescent="0.25">
      <c r="A359">
        <v>627</v>
      </c>
      <c r="B359" t="s">
        <v>4308</v>
      </c>
      <c r="C359">
        <v>2614</v>
      </c>
      <c r="D359" t="s">
        <v>4309</v>
      </c>
    </row>
    <row r="360" spans="1:4" x14ac:dyDescent="0.25">
      <c r="A360">
        <v>627</v>
      </c>
      <c r="B360" t="s">
        <v>4308</v>
      </c>
      <c r="C360">
        <v>2615</v>
      </c>
      <c r="D360" t="s">
        <v>4309</v>
      </c>
    </row>
    <row r="361" spans="1:4" x14ac:dyDescent="0.25">
      <c r="A361">
        <v>627</v>
      </c>
      <c r="B361" t="s">
        <v>4308</v>
      </c>
      <c r="C361">
        <v>2616</v>
      </c>
      <c r="D361" t="s">
        <v>4309</v>
      </c>
    </row>
    <row r="362" spans="1:4" x14ac:dyDescent="0.25">
      <c r="A362">
        <v>627</v>
      </c>
      <c r="B362" t="s">
        <v>4308</v>
      </c>
      <c r="C362">
        <v>2617</v>
      </c>
      <c r="D362" t="s">
        <v>4309</v>
      </c>
    </row>
    <row r="363" spans="1:4" x14ac:dyDescent="0.25">
      <c r="A363">
        <v>627</v>
      </c>
      <c r="B363" t="s">
        <v>4308</v>
      </c>
      <c r="C363">
        <v>2618</v>
      </c>
      <c r="D363" t="s">
        <v>4309</v>
      </c>
    </row>
    <row r="364" spans="1:4" x14ac:dyDescent="0.25">
      <c r="A364">
        <v>627</v>
      </c>
      <c r="B364" t="s">
        <v>4308</v>
      </c>
      <c r="C364">
        <v>2620</v>
      </c>
      <c r="D364" t="s">
        <v>4309</v>
      </c>
    </row>
    <row r="365" spans="1:4" x14ac:dyDescent="0.25">
      <c r="A365">
        <v>627</v>
      </c>
      <c r="B365" t="s">
        <v>4308</v>
      </c>
      <c r="C365">
        <v>2621</v>
      </c>
      <c r="D365" t="s">
        <v>4309</v>
      </c>
    </row>
    <row r="366" spans="1:4" x14ac:dyDescent="0.25">
      <c r="A366">
        <v>627</v>
      </c>
      <c r="B366" t="s">
        <v>4308</v>
      </c>
      <c r="C366">
        <v>2622</v>
      </c>
      <c r="D366" t="s">
        <v>4309</v>
      </c>
    </row>
    <row r="367" spans="1:4" x14ac:dyDescent="0.25">
      <c r="A367">
        <v>627</v>
      </c>
      <c r="B367" t="s">
        <v>4308</v>
      </c>
      <c r="C367">
        <v>2761</v>
      </c>
    </row>
    <row r="368" spans="1:4" x14ac:dyDescent="0.25">
      <c r="A368">
        <v>627</v>
      </c>
      <c r="B368" t="s">
        <v>4308</v>
      </c>
      <c r="C368">
        <v>2762</v>
      </c>
      <c r="D368" t="s">
        <v>4309</v>
      </c>
    </row>
    <row r="369" spans="1:4" x14ac:dyDescent="0.25">
      <c r="A369">
        <v>627</v>
      </c>
      <c r="B369" t="s">
        <v>4308</v>
      </c>
      <c r="C369">
        <v>2763</v>
      </c>
      <c r="D369" t="s">
        <v>4309</v>
      </c>
    </row>
    <row r="370" spans="1:4" x14ac:dyDescent="0.25">
      <c r="A370">
        <v>627</v>
      </c>
      <c r="B370" t="s">
        <v>4308</v>
      </c>
      <c r="C370">
        <v>2765</v>
      </c>
      <c r="D370" t="s">
        <v>4309</v>
      </c>
    </row>
    <row r="371" spans="1:4" x14ac:dyDescent="0.25">
      <c r="A371">
        <v>627</v>
      </c>
      <c r="B371" t="s">
        <v>4308</v>
      </c>
      <c r="C371">
        <v>2766</v>
      </c>
      <c r="D371" t="s">
        <v>4309</v>
      </c>
    </row>
    <row r="372" spans="1:4" x14ac:dyDescent="0.25">
      <c r="A372">
        <v>627</v>
      </c>
      <c r="B372" t="s">
        <v>4308</v>
      </c>
      <c r="C372">
        <v>2767</v>
      </c>
      <c r="D372" t="s">
        <v>4309</v>
      </c>
    </row>
    <row r="373" spans="1:4" x14ac:dyDescent="0.25">
      <c r="A373">
        <v>627</v>
      </c>
      <c r="B373" t="s">
        <v>4308</v>
      </c>
      <c r="C373">
        <v>2768</v>
      </c>
      <c r="D373" t="s">
        <v>4309</v>
      </c>
    </row>
    <row r="374" spans="1:4" x14ac:dyDescent="0.25">
      <c r="A374">
        <v>627</v>
      </c>
      <c r="B374" t="s">
        <v>4308</v>
      </c>
      <c r="C374">
        <v>2769</v>
      </c>
      <c r="D374" t="s">
        <v>4309</v>
      </c>
    </row>
    <row r="375" spans="1:4" x14ac:dyDescent="0.25">
      <c r="A375">
        <v>627</v>
      </c>
      <c r="B375" t="s">
        <v>4308</v>
      </c>
      <c r="C375">
        <v>2770</v>
      </c>
      <c r="D375" t="s">
        <v>4309</v>
      </c>
    </row>
    <row r="376" spans="1:4" x14ac:dyDescent="0.25">
      <c r="A376">
        <v>627</v>
      </c>
      <c r="B376" t="s">
        <v>4308</v>
      </c>
      <c r="C376">
        <v>2771</v>
      </c>
      <c r="D376" t="s">
        <v>4309</v>
      </c>
    </row>
    <row r="377" spans="1:4" x14ac:dyDescent="0.25">
      <c r="A377">
        <v>627</v>
      </c>
      <c r="B377" t="s">
        <v>4308</v>
      </c>
      <c r="C377">
        <v>2772</v>
      </c>
      <c r="D377" t="s">
        <v>4309</v>
      </c>
    </row>
    <row r="378" spans="1:4" x14ac:dyDescent="0.25">
      <c r="A378">
        <v>627</v>
      </c>
      <c r="B378" t="s">
        <v>4308</v>
      </c>
      <c r="C378">
        <v>2773</v>
      </c>
      <c r="D378" t="s">
        <v>4309</v>
      </c>
    </row>
    <row r="379" spans="1:4" x14ac:dyDescent="0.25">
      <c r="A379">
        <v>627</v>
      </c>
      <c r="B379" t="s">
        <v>4308</v>
      </c>
      <c r="C379">
        <v>2774</v>
      </c>
      <c r="D379" t="s">
        <v>4309</v>
      </c>
    </row>
    <row r="380" spans="1:4" x14ac:dyDescent="0.25">
      <c r="A380">
        <v>627</v>
      </c>
      <c r="B380" t="s">
        <v>4308</v>
      </c>
      <c r="C380">
        <v>2775</v>
      </c>
      <c r="D380" t="s">
        <v>4309</v>
      </c>
    </row>
    <row r="381" spans="1:4" x14ac:dyDescent="0.25">
      <c r="A381">
        <v>627</v>
      </c>
      <c r="B381" t="s">
        <v>4308</v>
      </c>
      <c r="C381">
        <v>2782</v>
      </c>
      <c r="D381" t="s">
        <v>4309</v>
      </c>
    </row>
    <row r="382" spans="1:4" x14ac:dyDescent="0.25">
      <c r="A382">
        <v>627</v>
      </c>
      <c r="B382" t="s">
        <v>4308</v>
      </c>
      <c r="C382">
        <v>2783</v>
      </c>
      <c r="D382" t="s">
        <v>4309</v>
      </c>
    </row>
    <row r="383" spans="1:4" x14ac:dyDescent="0.25">
      <c r="A383">
        <v>627</v>
      </c>
      <c r="B383" t="s">
        <v>4308</v>
      </c>
      <c r="C383">
        <v>2785</v>
      </c>
      <c r="D383" t="s">
        <v>4309</v>
      </c>
    </row>
    <row r="384" spans="1:4" x14ac:dyDescent="0.25">
      <c r="A384">
        <v>627</v>
      </c>
      <c r="B384" t="s">
        <v>4308</v>
      </c>
      <c r="C384">
        <v>2786</v>
      </c>
      <c r="D384" t="s">
        <v>4309</v>
      </c>
    </row>
    <row r="385" spans="1:4" x14ac:dyDescent="0.25">
      <c r="A385">
        <v>627</v>
      </c>
      <c r="B385" t="s">
        <v>4308</v>
      </c>
      <c r="C385">
        <v>2787</v>
      </c>
      <c r="D385" t="s">
        <v>4309</v>
      </c>
    </row>
    <row r="386" spans="1:4" x14ac:dyDescent="0.25">
      <c r="A386">
        <v>627</v>
      </c>
      <c r="B386" t="s">
        <v>4308</v>
      </c>
      <c r="C386">
        <v>2788</v>
      </c>
      <c r="D386" t="s">
        <v>4309</v>
      </c>
    </row>
    <row r="387" spans="1:4" x14ac:dyDescent="0.25">
      <c r="A387">
        <v>627</v>
      </c>
      <c r="B387" t="s">
        <v>4308</v>
      </c>
      <c r="C387">
        <v>2830</v>
      </c>
      <c r="D387" t="s">
        <v>4309</v>
      </c>
    </row>
    <row r="388" spans="1:4" x14ac:dyDescent="0.25">
      <c r="A388">
        <v>627</v>
      </c>
      <c r="B388" t="s">
        <v>4308</v>
      </c>
      <c r="C388">
        <v>2831</v>
      </c>
      <c r="D388" t="s">
        <v>4309</v>
      </c>
    </row>
    <row r="389" spans="1:4" x14ac:dyDescent="0.25">
      <c r="A389">
        <v>627</v>
      </c>
      <c r="B389" t="s">
        <v>4308</v>
      </c>
      <c r="C389">
        <v>2883</v>
      </c>
      <c r="D389" t="s">
        <v>4309</v>
      </c>
    </row>
    <row r="390" spans="1:4" x14ac:dyDescent="0.25">
      <c r="A390">
        <v>627</v>
      </c>
      <c r="B390" t="s">
        <v>4308</v>
      </c>
      <c r="C390">
        <v>2889</v>
      </c>
      <c r="D390" t="s">
        <v>4309</v>
      </c>
    </row>
    <row r="391" spans="1:4" x14ac:dyDescent="0.25">
      <c r="A391">
        <v>630</v>
      </c>
      <c r="B391" t="s">
        <v>4310</v>
      </c>
      <c r="C391">
        <v>6266</v>
      </c>
    </row>
    <row r="392" spans="1:4" x14ac:dyDescent="0.25">
      <c r="A392">
        <v>631</v>
      </c>
      <c r="B392" t="s">
        <v>4311</v>
      </c>
      <c r="C392">
        <v>2463</v>
      </c>
    </row>
    <row r="393" spans="1:4" x14ac:dyDescent="0.25">
      <c r="A393">
        <v>633</v>
      </c>
      <c r="B393" t="s">
        <v>4312</v>
      </c>
      <c r="C393">
        <v>10000</v>
      </c>
    </row>
    <row r="394" spans="1:4" x14ac:dyDescent="0.25">
      <c r="A394">
        <v>635</v>
      </c>
      <c r="B394" t="s">
        <v>3939</v>
      </c>
      <c r="C394">
        <v>6290</v>
      </c>
    </row>
    <row r="395" spans="1:4" x14ac:dyDescent="0.25">
      <c r="A395">
        <v>636</v>
      </c>
      <c r="B395" t="s">
        <v>4313</v>
      </c>
      <c r="C395">
        <v>5591</v>
      </c>
    </row>
    <row r="396" spans="1:4" x14ac:dyDescent="0.25">
      <c r="A396">
        <v>637</v>
      </c>
      <c r="B396" t="s">
        <v>4314</v>
      </c>
      <c r="C396">
        <v>4471</v>
      </c>
    </row>
    <row r="397" spans="1:4" x14ac:dyDescent="0.25">
      <c r="A397">
        <v>640</v>
      </c>
      <c r="B397" t="s">
        <v>4315</v>
      </c>
      <c r="C397">
        <v>1331</v>
      </c>
    </row>
    <row r="398" spans="1:4" x14ac:dyDescent="0.25">
      <c r="A398">
        <v>643</v>
      </c>
      <c r="B398" t="s">
        <v>4316</v>
      </c>
      <c r="C398">
        <v>10021</v>
      </c>
    </row>
    <row r="399" spans="1:4" x14ac:dyDescent="0.25">
      <c r="A399">
        <v>644</v>
      </c>
      <c r="B399" t="s">
        <v>3528</v>
      </c>
      <c r="C399">
        <v>5401</v>
      </c>
    </row>
    <row r="400" spans="1:4" x14ac:dyDescent="0.25">
      <c r="A400">
        <v>645</v>
      </c>
      <c r="B400" t="s">
        <v>4317</v>
      </c>
      <c r="C400">
        <v>5512</v>
      </c>
    </row>
    <row r="401" spans="1:4" x14ac:dyDescent="0.25">
      <c r="A401">
        <v>646</v>
      </c>
      <c r="B401" t="s">
        <v>3557</v>
      </c>
      <c r="C401">
        <v>5451</v>
      </c>
    </row>
    <row r="402" spans="1:4" x14ac:dyDescent="0.25">
      <c r="A402">
        <v>647</v>
      </c>
      <c r="B402" t="s">
        <v>4318</v>
      </c>
      <c r="C402">
        <v>5624</v>
      </c>
    </row>
    <row r="403" spans="1:4" x14ac:dyDescent="0.25">
      <c r="A403">
        <v>648</v>
      </c>
      <c r="B403" t="s">
        <v>3629</v>
      </c>
      <c r="C403">
        <v>5582</v>
      </c>
    </row>
    <row r="404" spans="1:4" x14ac:dyDescent="0.25">
      <c r="A404">
        <v>649</v>
      </c>
      <c r="B404" t="s">
        <v>3789</v>
      </c>
      <c r="C404">
        <v>5882</v>
      </c>
    </row>
    <row r="405" spans="1:4" x14ac:dyDescent="0.25">
      <c r="A405">
        <v>650</v>
      </c>
      <c r="B405" t="s">
        <v>3734</v>
      </c>
      <c r="C405">
        <v>5749</v>
      </c>
    </row>
    <row r="406" spans="1:4" x14ac:dyDescent="0.25">
      <c r="A406">
        <v>651</v>
      </c>
      <c r="B406" t="s">
        <v>3569</v>
      </c>
      <c r="C406">
        <v>5480</v>
      </c>
    </row>
    <row r="407" spans="1:4" x14ac:dyDescent="0.25">
      <c r="A407">
        <v>652</v>
      </c>
      <c r="B407" t="s">
        <v>4319</v>
      </c>
      <c r="C407">
        <v>5635</v>
      </c>
    </row>
    <row r="408" spans="1:4" x14ac:dyDescent="0.25">
      <c r="A408">
        <v>653</v>
      </c>
      <c r="B408" t="s">
        <v>3572</v>
      </c>
      <c r="C408">
        <v>5483</v>
      </c>
    </row>
    <row r="409" spans="1:4" x14ac:dyDescent="0.25">
      <c r="A409">
        <v>655</v>
      </c>
      <c r="B409" t="s">
        <v>3586</v>
      </c>
      <c r="C409">
        <v>5498</v>
      </c>
    </row>
    <row r="410" spans="1:4" x14ac:dyDescent="0.25">
      <c r="A410">
        <v>656</v>
      </c>
      <c r="B410" t="s">
        <v>3634</v>
      </c>
      <c r="C410">
        <v>5587</v>
      </c>
    </row>
    <row r="411" spans="1:4" x14ac:dyDescent="0.25">
      <c r="A411">
        <v>657</v>
      </c>
      <c r="B411" t="s">
        <v>3642</v>
      </c>
      <c r="C411">
        <v>5606</v>
      </c>
    </row>
    <row r="412" spans="1:4" x14ac:dyDescent="0.25">
      <c r="A412">
        <v>658</v>
      </c>
      <c r="B412" t="s">
        <v>4320</v>
      </c>
      <c r="C412">
        <v>5489</v>
      </c>
    </row>
    <row r="413" spans="1:4" x14ac:dyDescent="0.25">
      <c r="A413">
        <v>659</v>
      </c>
      <c r="B413" t="s">
        <v>4321</v>
      </c>
      <c r="C413">
        <v>5415</v>
      </c>
    </row>
    <row r="414" spans="1:4" x14ac:dyDescent="0.25">
      <c r="A414">
        <v>661</v>
      </c>
      <c r="B414" t="s">
        <v>4322</v>
      </c>
      <c r="C414">
        <v>5653</v>
      </c>
      <c r="D414" t="s">
        <v>4323</v>
      </c>
    </row>
    <row r="415" spans="1:4" x14ac:dyDescent="0.25">
      <c r="A415">
        <v>662</v>
      </c>
      <c r="B415" t="s">
        <v>4324</v>
      </c>
      <c r="C415">
        <v>5692</v>
      </c>
    </row>
    <row r="416" spans="1:4" x14ac:dyDescent="0.25">
      <c r="A416">
        <v>663</v>
      </c>
      <c r="B416" t="s">
        <v>4325</v>
      </c>
      <c r="C416">
        <v>5414</v>
      </c>
    </row>
    <row r="417" spans="1:4" x14ac:dyDescent="0.25">
      <c r="A417">
        <v>664</v>
      </c>
      <c r="B417" t="s">
        <v>4326</v>
      </c>
      <c r="C417">
        <v>5891</v>
      </c>
      <c r="D417" t="s">
        <v>4327</v>
      </c>
    </row>
    <row r="418" spans="1:4" x14ac:dyDescent="0.25">
      <c r="A418">
        <v>665</v>
      </c>
      <c r="B418" t="s">
        <v>4328</v>
      </c>
      <c r="C418">
        <v>5650</v>
      </c>
    </row>
    <row r="419" spans="1:4" x14ac:dyDescent="0.25">
      <c r="A419">
        <v>666</v>
      </c>
      <c r="B419" t="s">
        <v>4329</v>
      </c>
      <c r="C419">
        <v>5649</v>
      </c>
    </row>
    <row r="420" spans="1:4" x14ac:dyDescent="0.25">
      <c r="A420">
        <v>667</v>
      </c>
      <c r="B420" t="s">
        <v>3581</v>
      </c>
      <c r="C420">
        <v>5492</v>
      </c>
    </row>
    <row r="421" spans="1:4" x14ac:dyDescent="0.25">
      <c r="A421">
        <v>668</v>
      </c>
      <c r="B421" t="s">
        <v>3665</v>
      </c>
      <c r="C421">
        <v>5642</v>
      </c>
    </row>
    <row r="422" spans="1:4" x14ac:dyDescent="0.25">
      <c r="A422">
        <v>669</v>
      </c>
      <c r="B422" t="s">
        <v>4330</v>
      </c>
      <c r="C422">
        <v>5892</v>
      </c>
    </row>
    <row r="423" spans="1:4" x14ac:dyDescent="0.25">
      <c r="A423">
        <v>670</v>
      </c>
      <c r="B423" t="s">
        <v>4331</v>
      </c>
      <c r="C423">
        <v>5534</v>
      </c>
    </row>
    <row r="424" spans="1:4" x14ac:dyDescent="0.25">
      <c r="A424">
        <v>671</v>
      </c>
      <c r="B424" t="s">
        <v>4332</v>
      </c>
      <c r="C424">
        <v>5592</v>
      </c>
    </row>
    <row r="425" spans="1:4" x14ac:dyDescent="0.25">
      <c r="A425">
        <v>672</v>
      </c>
      <c r="B425" t="s">
        <v>4333</v>
      </c>
      <c r="C425">
        <v>5861</v>
      </c>
      <c r="D425" t="s">
        <v>4334</v>
      </c>
    </row>
    <row r="426" spans="1:4" x14ac:dyDescent="0.25">
      <c r="A426">
        <v>673</v>
      </c>
      <c r="B426" t="s">
        <v>4335</v>
      </c>
      <c r="C426">
        <v>5725</v>
      </c>
    </row>
    <row r="427" spans="1:4" x14ac:dyDescent="0.25">
      <c r="A427">
        <v>675</v>
      </c>
      <c r="B427" t="s">
        <v>3740</v>
      </c>
      <c r="C427">
        <v>5757</v>
      </c>
    </row>
    <row r="428" spans="1:4" x14ac:dyDescent="0.25">
      <c r="A428">
        <v>676</v>
      </c>
      <c r="B428" t="s">
        <v>3635</v>
      </c>
      <c r="C428">
        <v>5588</v>
      </c>
    </row>
    <row r="429" spans="1:4" x14ac:dyDescent="0.25">
      <c r="A429">
        <v>677</v>
      </c>
      <c r="B429" t="s">
        <v>4336</v>
      </c>
      <c r="C429">
        <v>1301</v>
      </c>
    </row>
    <row r="430" spans="1:4" x14ac:dyDescent="0.25">
      <c r="A430">
        <v>678</v>
      </c>
      <c r="B430" t="s">
        <v>278</v>
      </c>
      <c r="C430">
        <v>362</v>
      </c>
    </row>
    <row r="431" spans="1:4" x14ac:dyDescent="0.25">
      <c r="A431">
        <v>679</v>
      </c>
      <c r="B431" t="s">
        <v>4337</v>
      </c>
      <c r="C431">
        <v>351</v>
      </c>
    </row>
    <row r="432" spans="1:4" x14ac:dyDescent="0.25">
      <c r="A432">
        <v>680</v>
      </c>
      <c r="B432" t="s">
        <v>4338</v>
      </c>
      <c r="C432">
        <v>10000</v>
      </c>
    </row>
    <row r="433" spans="1:4" x14ac:dyDescent="0.25">
      <c r="A433">
        <v>684</v>
      </c>
      <c r="B433" t="s">
        <v>4231</v>
      </c>
      <c r="C433">
        <v>10000</v>
      </c>
    </row>
    <row r="434" spans="1:4" x14ac:dyDescent="0.25">
      <c r="A434">
        <v>686</v>
      </c>
      <c r="B434" t="s">
        <v>4339</v>
      </c>
      <c r="C434">
        <v>944</v>
      </c>
    </row>
    <row r="435" spans="1:4" x14ac:dyDescent="0.25">
      <c r="A435">
        <v>688</v>
      </c>
      <c r="B435" t="s">
        <v>4177</v>
      </c>
      <c r="C435">
        <v>5584</v>
      </c>
      <c r="D435" t="s">
        <v>4340</v>
      </c>
    </row>
    <row r="436" spans="1:4" x14ac:dyDescent="0.25">
      <c r="A436">
        <v>688</v>
      </c>
      <c r="B436" t="s">
        <v>4177</v>
      </c>
      <c r="C436">
        <v>5585</v>
      </c>
      <c r="D436" t="s">
        <v>4340</v>
      </c>
    </row>
    <row r="437" spans="1:4" x14ac:dyDescent="0.25">
      <c r="A437">
        <v>688</v>
      </c>
      <c r="B437" t="s">
        <v>4177</v>
      </c>
      <c r="C437">
        <v>5586</v>
      </c>
    </row>
    <row r="438" spans="1:4" x14ac:dyDescent="0.25">
      <c r="A438">
        <v>688</v>
      </c>
      <c r="B438" t="s">
        <v>4177</v>
      </c>
      <c r="C438">
        <v>5587</v>
      </c>
      <c r="D438" t="s">
        <v>4340</v>
      </c>
    </row>
    <row r="439" spans="1:4" x14ac:dyDescent="0.25">
      <c r="A439">
        <v>688</v>
      </c>
      <c r="B439" t="s">
        <v>4177</v>
      </c>
      <c r="C439">
        <v>5589</v>
      </c>
      <c r="D439" t="s">
        <v>4340</v>
      </c>
    </row>
    <row r="440" spans="1:4" x14ac:dyDescent="0.25">
      <c r="A440">
        <v>688</v>
      </c>
      <c r="B440" t="s">
        <v>4177</v>
      </c>
      <c r="C440">
        <v>5648</v>
      </c>
      <c r="D440" t="s">
        <v>4340</v>
      </c>
    </row>
    <row r="441" spans="1:4" x14ac:dyDescent="0.25">
      <c r="A441">
        <v>690</v>
      </c>
      <c r="B441" t="s">
        <v>4177</v>
      </c>
      <c r="C441">
        <v>5585</v>
      </c>
      <c r="D441" t="s">
        <v>4341</v>
      </c>
    </row>
    <row r="442" spans="1:4" x14ac:dyDescent="0.25">
      <c r="A442">
        <v>690</v>
      </c>
      <c r="B442" t="s">
        <v>4177</v>
      </c>
      <c r="C442">
        <v>5586</v>
      </c>
    </row>
    <row r="443" spans="1:4" x14ac:dyDescent="0.25">
      <c r="A443">
        <v>690</v>
      </c>
      <c r="B443" t="s">
        <v>4177</v>
      </c>
      <c r="C443">
        <v>5587</v>
      </c>
      <c r="D443" t="s">
        <v>4341</v>
      </c>
    </row>
    <row r="444" spans="1:4" x14ac:dyDescent="0.25">
      <c r="A444">
        <v>690</v>
      </c>
      <c r="B444" t="s">
        <v>4177</v>
      </c>
      <c r="C444">
        <v>5648</v>
      </c>
      <c r="D444" t="s">
        <v>4341</v>
      </c>
    </row>
    <row r="445" spans="1:4" x14ac:dyDescent="0.25">
      <c r="A445">
        <v>694</v>
      </c>
      <c r="B445" t="s">
        <v>3428</v>
      </c>
      <c r="C445">
        <v>5048</v>
      </c>
    </row>
    <row r="446" spans="1:4" x14ac:dyDescent="0.25">
      <c r="A446">
        <v>695</v>
      </c>
      <c r="B446" t="s">
        <v>3431</v>
      </c>
      <c r="C446">
        <v>5061</v>
      </c>
    </row>
    <row r="447" spans="1:4" x14ac:dyDescent="0.25">
      <c r="A447">
        <v>696</v>
      </c>
      <c r="B447" t="s">
        <v>3458</v>
      </c>
      <c r="C447">
        <v>5144</v>
      </c>
    </row>
    <row r="448" spans="1:4" x14ac:dyDescent="0.25">
      <c r="A448">
        <v>697</v>
      </c>
      <c r="B448" t="s">
        <v>3441</v>
      </c>
      <c r="C448">
        <v>5091</v>
      </c>
    </row>
    <row r="449" spans="1:4" x14ac:dyDescent="0.25">
      <c r="A449">
        <v>698</v>
      </c>
      <c r="B449" t="s">
        <v>3503</v>
      </c>
      <c r="C449">
        <v>5242</v>
      </c>
    </row>
    <row r="450" spans="1:4" x14ac:dyDescent="0.25">
      <c r="A450">
        <v>699</v>
      </c>
      <c r="B450" t="s">
        <v>3460</v>
      </c>
      <c r="C450">
        <v>5148</v>
      </c>
    </row>
    <row r="451" spans="1:4" x14ac:dyDescent="0.25">
      <c r="A451">
        <v>701</v>
      </c>
      <c r="B451" t="s">
        <v>3443</v>
      </c>
      <c r="C451">
        <v>5097</v>
      </c>
    </row>
    <row r="452" spans="1:4" x14ac:dyDescent="0.25">
      <c r="A452">
        <v>702</v>
      </c>
      <c r="B452" t="s">
        <v>3464</v>
      </c>
      <c r="C452">
        <v>5160</v>
      </c>
    </row>
    <row r="453" spans="1:4" x14ac:dyDescent="0.25">
      <c r="A453">
        <v>703</v>
      </c>
      <c r="B453" t="s">
        <v>3466</v>
      </c>
      <c r="C453">
        <v>5162</v>
      </c>
      <c r="D453" t="s">
        <v>4342</v>
      </c>
    </row>
    <row r="454" spans="1:4" x14ac:dyDescent="0.25">
      <c r="A454">
        <v>704</v>
      </c>
      <c r="B454" t="s">
        <v>3424</v>
      </c>
      <c r="C454">
        <v>5003</v>
      </c>
    </row>
    <row r="455" spans="1:4" x14ac:dyDescent="0.25">
      <c r="A455">
        <v>705</v>
      </c>
      <c r="B455" t="s">
        <v>3504</v>
      </c>
      <c r="C455">
        <v>5249</v>
      </c>
    </row>
    <row r="456" spans="1:4" x14ac:dyDescent="0.25">
      <c r="A456">
        <v>706</v>
      </c>
      <c r="B456" t="s">
        <v>3519</v>
      </c>
      <c r="C456">
        <v>5310</v>
      </c>
    </row>
    <row r="457" spans="1:4" x14ac:dyDescent="0.25">
      <c r="A457">
        <v>707</v>
      </c>
      <c r="B457" t="s">
        <v>3469</v>
      </c>
      <c r="C457">
        <v>5176</v>
      </c>
    </row>
    <row r="458" spans="1:4" x14ac:dyDescent="0.25">
      <c r="A458">
        <v>708</v>
      </c>
      <c r="B458" t="s">
        <v>4343</v>
      </c>
      <c r="C458">
        <v>1084</v>
      </c>
    </row>
    <row r="459" spans="1:4" x14ac:dyDescent="0.25">
      <c r="A459">
        <v>710</v>
      </c>
      <c r="B459" t="s">
        <v>3436</v>
      </c>
      <c r="C459">
        <v>5073</v>
      </c>
    </row>
    <row r="460" spans="1:4" x14ac:dyDescent="0.25">
      <c r="A460">
        <v>711</v>
      </c>
      <c r="B460" t="s">
        <v>3444</v>
      </c>
      <c r="C460">
        <v>5108</v>
      </c>
    </row>
    <row r="461" spans="1:4" x14ac:dyDescent="0.25">
      <c r="A461">
        <v>712</v>
      </c>
      <c r="B461" t="s">
        <v>3473</v>
      </c>
      <c r="C461">
        <v>5187</v>
      </c>
    </row>
    <row r="462" spans="1:4" ht="60" x14ac:dyDescent="0.25">
      <c r="A462">
        <v>713</v>
      </c>
      <c r="B462" t="s">
        <v>3474</v>
      </c>
      <c r="C462">
        <v>5189</v>
      </c>
      <c r="D462" s="1" t="s">
        <v>4344</v>
      </c>
    </row>
    <row r="463" spans="1:4" x14ac:dyDescent="0.25">
      <c r="A463">
        <v>714</v>
      </c>
      <c r="B463" t="s">
        <v>3446</v>
      </c>
      <c r="C463">
        <v>5113</v>
      </c>
      <c r="D463" t="s">
        <v>4345</v>
      </c>
    </row>
    <row r="464" spans="1:4" x14ac:dyDescent="0.25">
      <c r="A464">
        <v>715</v>
      </c>
      <c r="B464" t="s">
        <v>3447</v>
      </c>
      <c r="C464">
        <v>5115</v>
      </c>
    </row>
    <row r="465" spans="1:4" x14ac:dyDescent="0.25">
      <c r="A465">
        <v>716</v>
      </c>
      <c r="B465" t="s">
        <v>3475</v>
      </c>
      <c r="C465">
        <v>5192</v>
      </c>
      <c r="D465" t="s">
        <v>4346</v>
      </c>
    </row>
    <row r="466" spans="1:4" x14ac:dyDescent="0.25">
      <c r="A466">
        <v>718</v>
      </c>
      <c r="B466" t="s">
        <v>4347</v>
      </c>
      <c r="C466">
        <v>5317</v>
      </c>
    </row>
    <row r="467" spans="1:4" x14ac:dyDescent="0.25">
      <c r="A467">
        <v>719</v>
      </c>
      <c r="B467" t="s">
        <v>3476</v>
      </c>
      <c r="C467">
        <v>5193</v>
      </c>
    </row>
    <row r="468" spans="1:4" x14ac:dyDescent="0.25">
      <c r="A468">
        <v>721</v>
      </c>
      <c r="B468" t="s">
        <v>3448</v>
      </c>
      <c r="C468">
        <v>5117</v>
      </c>
    </row>
    <row r="469" spans="1:4" x14ac:dyDescent="0.25">
      <c r="A469">
        <v>725</v>
      </c>
      <c r="B469" t="s">
        <v>3487</v>
      </c>
      <c r="C469">
        <v>5210</v>
      </c>
      <c r="D469" t="s">
        <v>4348</v>
      </c>
    </row>
    <row r="470" spans="1:4" x14ac:dyDescent="0.25">
      <c r="A470">
        <v>726</v>
      </c>
      <c r="B470" t="s">
        <v>3437</v>
      </c>
      <c r="C470">
        <v>5076</v>
      </c>
    </row>
    <row r="471" spans="1:4" x14ac:dyDescent="0.25">
      <c r="A471">
        <v>728</v>
      </c>
      <c r="B471" t="s">
        <v>3491</v>
      </c>
      <c r="C471">
        <v>5221</v>
      </c>
    </row>
    <row r="472" spans="1:4" x14ac:dyDescent="0.25">
      <c r="A472">
        <v>730</v>
      </c>
      <c r="B472" t="s">
        <v>3492</v>
      </c>
      <c r="C472">
        <v>5225</v>
      </c>
    </row>
    <row r="473" spans="1:4" x14ac:dyDescent="0.25">
      <c r="A473">
        <v>731</v>
      </c>
      <c r="B473" t="s">
        <v>3511</v>
      </c>
      <c r="C473">
        <v>5266</v>
      </c>
    </row>
    <row r="474" spans="1:4" x14ac:dyDescent="0.25">
      <c r="A474">
        <v>732</v>
      </c>
      <c r="B474" t="s">
        <v>3496</v>
      </c>
      <c r="C474">
        <v>5231</v>
      </c>
    </row>
    <row r="475" spans="1:4" x14ac:dyDescent="0.25">
      <c r="A475">
        <v>733</v>
      </c>
      <c r="B475" t="s">
        <v>4349</v>
      </c>
      <c r="C475">
        <v>6152</v>
      </c>
    </row>
    <row r="476" spans="1:4" x14ac:dyDescent="0.25">
      <c r="A476">
        <v>735</v>
      </c>
      <c r="B476" t="s">
        <v>3620</v>
      </c>
      <c r="C476">
        <v>5561</v>
      </c>
    </row>
    <row r="477" spans="1:4" x14ac:dyDescent="0.25">
      <c r="A477">
        <v>736</v>
      </c>
      <c r="B477" t="s">
        <v>4350</v>
      </c>
      <c r="C477">
        <v>794</v>
      </c>
    </row>
    <row r="478" spans="1:4" x14ac:dyDescent="0.25">
      <c r="A478">
        <v>738</v>
      </c>
      <c r="B478" t="s">
        <v>3457</v>
      </c>
      <c r="C478">
        <v>5143</v>
      </c>
    </row>
    <row r="479" spans="1:4" x14ac:dyDescent="0.25">
      <c r="A479">
        <v>741</v>
      </c>
      <c r="B479" t="s">
        <v>3423</v>
      </c>
      <c r="C479">
        <v>5002</v>
      </c>
    </row>
    <row r="480" spans="1:4" x14ac:dyDescent="0.25">
      <c r="A480">
        <v>742</v>
      </c>
      <c r="B480" t="s">
        <v>3514</v>
      </c>
      <c r="C480">
        <v>5281</v>
      </c>
    </row>
    <row r="481" spans="1:4" x14ac:dyDescent="0.25">
      <c r="A481">
        <v>743</v>
      </c>
      <c r="B481" t="s">
        <v>3463</v>
      </c>
      <c r="C481">
        <v>5154</v>
      </c>
    </row>
    <row r="482" spans="1:4" x14ac:dyDescent="0.25">
      <c r="A482">
        <v>746</v>
      </c>
      <c r="B482" t="s">
        <v>4351</v>
      </c>
      <c r="C482">
        <v>5096</v>
      </c>
    </row>
    <row r="483" spans="1:4" x14ac:dyDescent="0.25">
      <c r="A483">
        <v>747</v>
      </c>
      <c r="B483" t="s">
        <v>3465</v>
      </c>
      <c r="C483">
        <v>5161</v>
      </c>
    </row>
    <row r="484" spans="1:4" x14ac:dyDescent="0.25">
      <c r="A484">
        <v>748</v>
      </c>
      <c r="B484" t="s">
        <v>3467</v>
      </c>
      <c r="C484">
        <v>5167</v>
      </c>
    </row>
    <row r="485" spans="1:4" x14ac:dyDescent="0.25">
      <c r="A485">
        <v>750</v>
      </c>
      <c r="B485" t="s">
        <v>3468</v>
      </c>
      <c r="C485">
        <v>5171</v>
      </c>
    </row>
    <row r="486" spans="1:4" x14ac:dyDescent="0.25">
      <c r="A486">
        <v>751</v>
      </c>
      <c r="B486" t="s">
        <v>3472</v>
      </c>
      <c r="C486">
        <v>5186</v>
      </c>
    </row>
    <row r="487" spans="1:4" x14ac:dyDescent="0.25">
      <c r="A487">
        <v>754</v>
      </c>
      <c r="B487" t="s">
        <v>3478</v>
      </c>
      <c r="C487">
        <v>5196</v>
      </c>
      <c r="D487" t="s">
        <v>4352</v>
      </c>
    </row>
    <row r="488" spans="1:4" x14ac:dyDescent="0.25">
      <c r="A488">
        <v>756</v>
      </c>
      <c r="B488" t="s">
        <v>3508</v>
      </c>
      <c r="C488">
        <v>5257</v>
      </c>
    </row>
    <row r="489" spans="1:4" x14ac:dyDescent="0.25">
      <c r="A489">
        <v>757</v>
      </c>
      <c r="B489" t="s">
        <v>3482</v>
      </c>
      <c r="C489">
        <v>5203</v>
      </c>
    </row>
    <row r="490" spans="1:4" x14ac:dyDescent="0.25">
      <c r="A490">
        <v>758</v>
      </c>
      <c r="B490" t="s">
        <v>3483</v>
      </c>
      <c r="C490">
        <v>5205</v>
      </c>
    </row>
    <row r="491" spans="1:4" x14ac:dyDescent="0.25">
      <c r="A491">
        <v>759</v>
      </c>
      <c r="B491" t="s">
        <v>3484</v>
      </c>
      <c r="C491">
        <v>5206</v>
      </c>
    </row>
    <row r="492" spans="1:4" x14ac:dyDescent="0.25">
      <c r="A492">
        <v>760</v>
      </c>
      <c r="B492" t="s">
        <v>3486</v>
      </c>
      <c r="C492">
        <v>5208</v>
      </c>
    </row>
    <row r="493" spans="1:4" x14ac:dyDescent="0.25">
      <c r="A493">
        <v>761</v>
      </c>
      <c r="B493" t="s">
        <v>4353</v>
      </c>
      <c r="C493">
        <v>5212</v>
      </c>
    </row>
    <row r="494" spans="1:4" x14ac:dyDescent="0.25">
      <c r="A494">
        <v>762</v>
      </c>
      <c r="B494" t="s">
        <v>3489</v>
      </c>
      <c r="C494">
        <v>5214</v>
      </c>
    </row>
    <row r="495" spans="1:4" x14ac:dyDescent="0.25">
      <c r="A495">
        <v>763</v>
      </c>
      <c r="B495" t="s">
        <v>3490</v>
      </c>
      <c r="C495">
        <v>5216</v>
      </c>
    </row>
    <row r="496" spans="1:4" x14ac:dyDescent="0.25">
      <c r="A496">
        <v>764</v>
      </c>
      <c r="B496" t="s">
        <v>3440</v>
      </c>
      <c r="C496">
        <v>5079</v>
      </c>
    </row>
    <row r="497" spans="1:3" x14ac:dyDescent="0.25">
      <c r="A497">
        <v>769</v>
      </c>
      <c r="B497" t="s">
        <v>3512</v>
      </c>
      <c r="C497">
        <v>5268</v>
      </c>
    </row>
    <row r="498" spans="1:3" x14ac:dyDescent="0.25">
      <c r="A498">
        <v>770</v>
      </c>
      <c r="B498" t="s">
        <v>3495</v>
      </c>
      <c r="C498">
        <v>5230</v>
      </c>
    </row>
    <row r="499" spans="1:3" x14ac:dyDescent="0.25">
      <c r="A499">
        <v>772</v>
      </c>
      <c r="B499" t="s">
        <v>4354</v>
      </c>
      <c r="C499">
        <v>9</v>
      </c>
    </row>
    <row r="500" spans="1:3" x14ac:dyDescent="0.25">
      <c r="A500">
        <v>773</v>
      </c>
      <c r="B500" t="s">
        <v>4355</v>
      </c>
      <c r="C500">
        <v>4021</v>
      </c>
    </row>
    <row r="501" spans="1:3" x14ac:dyDescent="0.25">
      <c r="A501">
        <v>776</v>
      </c>
      <c r="B501" t="s">
        <v>4356</v>
      </c>
      <c r="C501">
        <v>293</v>
      </c>
    </row>
    <row r="502" spans="1:3" x14ac:dyDescent="0.25">
      <c r="A502">
        <v>778</v>
      </c>
      <c r="B502" t="s">
        <v>4357</v>
      </c>
      <c r="C502">
        <v>4201</v>
      </c>
    </row>
    <row r="503" spans="1:3" x14ac:dyDescent="0.25">
      <c r="A503">
        <v>779</v>
      </c>
      <c r="B503" t="s">
        <v>4358</v>
      </c>
      <c r="C503">
        <v>10000</v>
      </c>
    </row>
    <row r="504" spans="1:3" x14ac:dyDescent="0.25">
      <c r="A504">
        <v>780</v>
      </c>
      <c r="B504" t="s">
        <v>4359</v>
      </c>
      <c r="C504">
        <v>10000</v>
      </c>
    </row>
    <row r="505" spans="1:3" x14ac:dyDescent="0.25">
      <c r="A505">
        <v>782</v>
      </c>
      <c r="B505" t="s">
        <v>4360</v>
      </c>
      <c r="C505">
        <v>1069</v>
      </c>
    </row>
    <row r="506" spans="1:3" x14ac:dyDescent="0.25">
      <c r="A506">
        <v>783</v>
      </c>
      <c r="B506" t="s">
        <v>4361</v>
      </c>
      <c r="C506">
        <v>5724</v>
      </c>
    </row>
    <row r="507" spans="1:3" x14ac:dyDescent="0.25">
      <c r="A507">
        <v>784</v>
      </c>
      <c r="B507" t="s">
        <v>4362</v>
      </c>
      <c r="C507">
        <v>5889</v>
      </c>
    </row>
    <row r="508" spans="1:3" x14ac:dyDescent="0.25">
      <c r="A508">
        <v>785</v>
      </c>
      <c r="B508" t="s">
        <v>4363</v>
      </c>
      <c r="C508">
        <v>6265</v>
      </c>
    </row>
    <row r="509" spans="1:3" x14ac:dyDescent="0.25">
      <c r="A509">
        <v>786</v>
      </c>
      <c r="B509" t="s">
        <v>4364</v>
      </c>
      <c r="C509">
        <v>6133</v>
      </c>
    </row>
    <row r="510" spans="1:3" x14ac:dyDescent="0.25">
      <c r="A510">
        <v>787</v>
      </c>
      <c r="B510" t="s">
        <v>4365</v>
      </c>
      <c r="C510">
        <v>223</v>
      </c>
    </row>
    <row r="511" spans="1:3" x14ac:dyDescent="0.25">
      <c r="A511">
        <v>788</v>
      </c>
      <c r="B511" t="s">
        <v>4366</v>
      </c>
      <c r="C511">
        <v>6630</v>
      </c>
    </row>
    <row r="512" spans="1:3" x14ac:dyDescent="0.25">
      <c r="A512">
        <v>789</v>
      </c>
      <c r="B512" t="s">
        <v>4367</v>
      </c>
      <c r="C512">
        <v>3274</v>
      </c>
    </row>
    <row r="513" spans="1:5" x14ac:dyDescent="0.25">
      <c r="A513">
        <v>790</v>
      </c>
      <c r="B513" t="s">
        <v>4368</v>
      </c>
      <c r="C513">
        <v>96</v>
      </c>
    </row>
    <row r="514" spans="1:5" x14ac:dyDescent="0.25">
      <c r="A514">
        <v>791</v>
      </c>
      <c r="B514" t="s">
        <v>4369</v>
      </c>
      <c r="C514">
        <v>2830</v>
      </c>
    </row>
    <row r="515" spans="1:5" x14ac:dyDescent="0.25">
      <c r="A515">
        <v>793</v>
      </c>
      <c r="B515" t="s">
        <v>4158</v>
      </c>
      <c r="C515">
        <v>10015</v>
      </c>
    </row>
    <row r="516" spans="1:5" x14ac:dyDescent="0.25">
      <c r="A516">
        <v>794</v>
      </c>
      <c r="B516" t="s">
        <v>4370</v>
      </c>
      <c r="C516">
        <v>1054</v>
      </c>
    </row>
    <row r="517" spans="1:5" x14ac:dyDescent="0.25">
      <c r="A517">
        <v>795</v>
      </c>
      <c r="B517" t="s">
        <v>4371</v>
      </c>
      <c r="C517">
        <v>2143</v>
      </c>
    </row>
    <row r="518" spans="1:5" x14ac:dyDescent="0.25">
      <c r="A518">
        <v>798</v>
      </c>
      <c r="B518" t="s">
        <v>4372</v>
      </c>
      <c r="C518">
        <v>306</v>
      </c>
    </row>
    <row r="519" spans="1:5" x14ac:dyDescent="0.25">
      <c r="A519">
        <v>800</v>
      </c>
      <c r="B519" t="s">
        <v>4222</v>
      </c>
      <c r="C519">
        <v>10000</v>
      </c>
    </row>
    <row r="520" spans="1:5" x14ac:dyDescent="0.25">
      <c r="A520">
        <v>801</v>
      </c>
      <c r="B520" t="s">
        <v>4373</v>
      </c>
      <c r="C520">
        <v>4236</v>
      </c>
    </row>
    <row r="521" spans="1:5" x14ac:dyDescent="0.25">
      <c r="A521">
        <v>803</v>
      </c>
      <c r="B521" t="s">
        <v>4374</v>
      </c>
      <c r="C521">
        <v>176</v>
      </c>
    </row>
    <row r="522" spans="1:5" x14ac:dyDescent="0.25">
      <c r="A522">
        <v>805</v>
      </c>
      <c r="B522" t="s">
        <v>4375</v>
      </c>
      <c r="C522">
        <v>2220</v>
      </c>
      <c r="D522" t="s">
        <v>4376</v>
      </c>
    </row>
    <row r="523" spans="1:5" x14ac:dyDescent="0.25">
      <c r="A523">
        <v>806</v>
      </c>
      <c r="B523" t="s">
        <v>4377</v>
      </c>
      <c r="C523">
        <v>10000</v>
      </c>
    </row>
    <row r="524" spans="1:5" x14ac:dyDescent="0.25">
      <c r="A524">
        <v>807</v>
      </c>
      <c r="B524" t="s">
        <v>4378</v>
      </c>
      <c r="C524">
        <v>627</v>
      </c>
    </row>
    <row r="525" spans="1:5" x14ac:dyDescent="0.25">
      <c r="A525">
        <v>808</v>
      </c>
      <c r="B525" t="s">
        <v>4224</v>
      </c>
      <c r="C525">
        <v>10000</v>
      </c>
      <c r="E525" t="b">
        <v>1</v>
      </c>
    </row>
    <row r="526" spans="1:5" x14ac:dyDescent="0.25">
      <c r="A526">
        <v>809</v>
      </c>
      <c r="B526" t="s">
        <v>4379</v>
      </c>
      <c r="C526">
        <v>5741</v>
      </c>
      <c r="D526" t="s">
        <v>4380</v>
      </c>
    </row>
    <row r="527" spans="1:5" x14ac:dyDescent="0.25">
      <c r="A527">
        <v>809</v>
      </c>
      <c r="B527" t="s">
        <v>4379</v>
      </c>
      <c r="C527">
        <v>5742</v>
      </c>
      <c r="D527" t="s">
        <v>4380</v>
      </c>
    </row>
    <row r="528" spans="1:5" x14ac:dyDescent="0.25">
      <c r="A528">
        <v>809</v>
      </c>
      <c r="B528" t="s">
        <v>4379</v>
      </c>
      <c r="C528">
        <v>5743</v>
      </c>
      <c r="D528" t="s">
        <v>4380</v>
      </c>
    </row>
    <row r="529" spans="1:4" x14ac:dyDescent="0.25">
      <c r="A529">
        <v>809</v>
      </c>
      <c r="B529" t="s">
        <v>4379</v>
      </c>
      <c r="C529">
        <v>5744</v>
      </c>
      <c r="D529" t="s">
        <v>4380</v>
      </c>
    </row>
    <row r="530" spans="1:4" x14ac:dyDescent="0.25">
      <c r="A530">
        <v>809</v>
      </c>
      <c r="B530" t="s">
        <v>4379</v>
      </c>
      <c r="C530">
        <v>5747</v>
      </c>
      <c r="D530" t="s">
        <v>4380</v>
      </c>
    </row>
    <row r="531" spans="1:4" x14ac:dyDescent="0.25">
      <c r="A531">
        <v>809</v>
      </c>
      <c r="B531" t="s">
        <v>4379</v>
      </c>
      <c r="C531">
        <v>5749</v>
      </c>
      <c r="D531" t="s">
        <v>4380</v>
      </c>
    </row>
    <row r="532" spans="1:4" x14ac:dyDescent="0.25">
      <c r="A532">
        <v>809</v>
      </c>
      <c r="B532" t="s">
        <v>4379</v>
      </c>
      <c r="C532">
        <v>5750</v>
      </c>
      <c r="D532" t="s">
        <v>4380</v>
      </c>
    </row>
    <row r="533" spans="1:4" x14ac:dyDescent="0.25">
      <c r="A533">
        <v>809</v>
      </c>
      <c r="B533" t="s">
        <v>4379</v>
      </c>
      <c r="C533">
        <v>5752</v>
      </c>
      <c r="D533" t="s">
        <v>4380</v>
      </c>
    </row>
    <row r="534" spans="1:4" x14ac:dyDescent="0.25">
      <c r="A534">
        <v>809</v>
      </c>
      <c r="B534" t="s">
        <v>4379</v>
      </c>
      <c r="C534">
        <v>5755</v>
      </c>
      <c r="D534" t="s">
        <v>4380</v>
      </c>
    </row>
    <row r="535" spans="1:4" x14ac:dyDescent="0.25">
      <c r="A535">
        <v>809</v>
      </c>
      <c r="B535" t="s">
        <v>4379</v>
      </c>
      <c r="C535">
        <v>5756</v>
      </c>
      <c r="D535" t="s">
        <v>4380</v>
      </c>
    </row>
    <row r="536" spans="1:4" x14ac:dyDescent="0.25">
      <c r="A536">
        <v>809</v>
      </c>
      <c r="B536" t="s">
        <v>4379</v>
      </c>
      <c r="C536">
        <v>5757</v>
      </c>
      <c r="D536" t="s">
        <v>4380</v>
      </c>
    </row>
    <row r="537" spans="1:4" x14ac:dyDescent="0.25">
      <c r="A537">
        <v>809</v>
      </c>
      <c r="B537" t="s">
        <v>4379</v>
      </c>
      <c r="C537">
        <v>5761</v>
      </c>
      <c r="D537" t="s">
        <v>4380</v>
      </c>
    </row>
    <row r="538" spans="1:4" x14ac:dyDescent="0.25">
      <c r="A538">
        <v>809</v>
      </c>
      <c r="B538" t="s">
        <v>4379</v>
      </c>
      <c r="C538">
        <v>5763</v>
      </c>
      <c r="D538" t="s">
        <v>4380</v>
      </c>
    </row>
    <row r="539" spans="1:4" x14ac:dyDescent="0.25">
      <c r="A539">
        <v>809</v>
      </c>
      <c r="B539" t="s">
        <v>4379</v>
      </c>
      <c r="C539">
        <v>5764</v>
      </c>
      <c r="D539" t="s">
        <v>4380</v>
      </c>
    </row>
    <row r="540" spans="1:4" x14ac:dyDescent="0.25">
      <c r="A540">
        <v>809</v>
      </c>
      <c r="B540" t="s">
        <v>4379</v>
      </c>
      <c r="C540">
        <v>5765</v>
      </c>
      <c r="D540" t="s">
        <v>4380</v>
      </c>
    </row>
    <row r="541" spans="1:4" x14ac:dyDescent="0.25">
      <c r="A541">
        <v>810</v>
      </c>
      <c r="B541" t="s">
        <v>4381</v>
      </c>
      <c r="C541">
        <v>700</v>
      </c>
    </row>
    <row r="542" spans="1:4" x14ac:dyDescent="0.25">
      <c r="A542">
        <v>811</v>
      </c>
      <c r="B542" t="s">
        <v>4382</v>
      </c>
      <c r="C542">
        <v>6712</v>
      </c>
    </row>
    <row r="543" spans="1:4" x14ac:dyDescent="0.25">
      <c r="A543">
        <v>812</v>
      </c>
      <c r="B543" t="s">
        <v>4383</v>
      </c>
      <c r="C543">
        <v>404</v>
      </c>
    </row>
    <row r="544" spans="1:4" x14ac:dyDescent="0.25">
      <c r="A544">
        <v>813</v>
      </c>
      <c r="B544" t="s">
        <v>4384</v>
      </c>
      <c r="C544">
        <v>6628</v>
      </c>
    </row>
    <row r="545" spans="1:3" x14ac:dyDescent="0.25">
      <c r="A545">
        <v>814</v>
      </c>
      <c r="B545" t="s">
        <v>4385</v>
      </c>
      <c r="C545">
        <v>5402</v>
      </c>
    </row>
    <row r="546" spans="1:3" x14ac:dyDescent="0.25">
      <c r="A546">
        <v>816</v>
      </c>
      <c r="B546" t="s">
        <v>4386</v>
      </c>
      <c r="C546">
        <v>10000</v>
      </c>
    </row>
    <row r="547" spans="1:3" x14ac:dyDescent="0.25">
      <c r="A547">
        <v>817</v>
      </c>
      <c r="B547" t="s">
        <v>4387</v>
      </c>
      <c r="C547">
        <v>135</v>
      </c>
    </row>
    <row r="548" spans="1:3" x14ac:dyDescent="0.25">
      <c r="A548">
        <v>820</v>
      </c>
      <c r="B548" t="s">
        <v>4388</v>
      </c>
      <c r="C548">
        <v>6607</v>
      </c>
    </row>
    <row r="549" spans="1:3" x14ac:dyDescent="0.25">
      <c r="A549">
        <v>821</v>
      </c>
      <c r="B549" t="s">
        <v>4389</v>
      </c>
      <c r="C549">
        <v>2556</v>
      </c>
    </row>
    <row r="550" spans="1:3" x14ac:dyDescent="0.25">
      <c r="A550">
        <v>822</v>
      </c>
      <c r="B550" t="s">
        <v>4390</v>
      </c>
      <c r="C550">
        <v>1710</v>
      </c>
    </row>
    <row r="551" spans="1:3" x14ac:dyDescent="0.25">
      <c r="A551">
        <v>823</v>
      </c>
      <c r="B551" t="s">
        <v>4391</v>
      </c>
      <c r="C551">
        <v>4045</v>
      </c>
    </row>
    <row r="552" spans="1:3" x14ac:dyDescent="0.25">
      <c r="A552">
        <v>824</v>
      </c>
      <c r="B552" t="s">
        <v>4392</v>
      </c>
      <c r="C552">
        <v>196</v>
      </c>
    </row>
    <row r="553" spans="1:3" x14ac:dyDescent="0.25">
      <c r="A553">
        <v>826</v>
      </c>
      <c r="B553" t="s">
        <v>3095</v>
      </c>
      <c r="C553">
        <v>3785</v>
      </c>
    </row>
    <row r="554" spans="1:3" x14ac:dyDescent="0.25">
      <c r="A554">
        <v>827</v>
      </c>
      <c r="B554" t="s">
        <v>4393</v>
      </c>
      <c r="C554">
        <v>4310</v>
      </c>
    </row>
    <row r="555" spans="1:3" x14ac:dyDescent="0.25">
      <c r="A555">
        <v>828</v>
      </c>
      <c r="B555" t="s">
        <v>4394</v>
      </c>
      <c r="C555">
        <v>6601</v>
      </c>
    </row>
    <row r="556" spans="1:3" x14ac:dyDescent="0.25">
      <c r="A556">
        <v>829</v>
      </c>
      <c r="B556" t="s">
        <v>4395</v>
      </c>
      <c r="C556">
        <v>5851</v>
      </c>
    </row>
    <row r="557" spans="1:3" x14ac:dyDescent="0.25">
      <c r="A557">
        <v>830</v>
      </c>
      <c r="B557" t="s">
        <v>4396</v>
      </c>
      <c r="C557">
        <v>6606</v>
      </c>
    </row>
    <row r="558" spans="1:3" x14ac:dyDescent="0.25">
      <c r="A558">
        <v>831</v>
      </c>
      <c r="B558" t="s">
        <v>4397</v>
      </c>
      <c r="C558">
        <v>5628</v>
      </c>
    </row>
    <row r="559" spans="1:3" x14ac:dyDescent="0.25">
      <c r="A559">
        <v>833</v>
      </c>
      <c r="B559" t="s">
        <v>4398</v>
      </c>
      <c r="C559">
        <v>56</v>
      </c>
    </row>
    <row r="560" spans="1:3" x14ac:dyDescent="0.25">
      <c r="A560">
        <v>835</v>
      </c>
      <c r="B560" t="s">
        <v>4399</v>
      </c>
      <c r="C560">
        <v>1367</v>
      </c>
    </row>
    <row r="561" spans="1:3" x14ac:dyDescent="0.25">
      <c r="A561">
        <v>836</v>
      </c>
      <c r="B561" t="s">
        <v>4400</v>
      </c>
      <c r="C561">
        <v>10000</v>
      </c>
    </row>
    <row r="562" spans="1:3" x14ac:dyDescent="0.25">
      <c r="A562">
        <v>838</v>
      </c>
      <c r="B562" t="s">
        <v>4401</v>
      </c>
      <c r="C562">
        <v>10003</v>
      </c>
    </row>
    <row r="563" spans="1:3" x14ac:dyDescent="0.25">
      <c r="A563">
        <v>839</v>
      </c>
      <c r="B563" t="s">
        <v>4402</v>
      </c>
      <c r="C563">
        <v>942</v>
      </c>
    </row>
    <row r="564" spans="1:3" x14ac:dyDescent="0.25">
      <c r="A564">
        <v>841</v>
      </c>
      <c r="B564" t="s">
        <v>4403</v>
      </c>
      <c r="C564">
        <v>4226</v>
      </c>
    </row>
    <row r="565" spans="1:3" x14ac:dyDescent="0.25">
      <c r="A565">
        <v>842</v>
      </c>
      <c r="B565" t="s">
        <v>4404</v>
      </c>
      <c r="C565">
        <v>3024</v>
      </c>
    </row>
    <row r="566" spans="1:3" x14ac:dyDescent="0.25">
      <c r="A566">
        <v>843</v>
      </c>
      <c r="B566" t="s">
        <v>4405</v>
      </c>
      <c r="C566">
        <v>4252</v>
      </c>
    </row>
    <row r="567" spans="1:3" x14ac:dyDescent="0.25">
      <c r="A567">
        <v>844</v>
      </c>
      <c r="B567" t="s">
        <v>4406</v>
      </c>
      <c r="C567">
        <v>3392</v>
      </c>
    </row>
    <row r="568" spans="1:3" x14ac:dyDescent="0.25">
      <c r="A568">
        <v>847</v>
      </c>
      <c r="B568" t="s">
        <v>4407</v>
      </c>
      <c r="C568">
        <v>10000</v>
      </c>
    </row>
    <row r="569" spans="1:3" x14ac:dyDescent="0.25">
      <c r="A569">
        <v>848</v>
      </c>
      <c r="B569" t="s">
        <v>179</v>
      </c>
      <c r="C569">
        <v>155</v>
      </c>
    </row>
    <row r="570" spans="1:3" x14ac:dyDescent="0.25">
      <c r="A570">
        <v>849</v>
      </c>
      <c r="B570" t="s">
        <v>4408</v>
      </c>
      <c r="C570">
        <v>619</v>
      </c>
    </row>
    <row r="571" spans="1:3" x14ac:dyDescent="0.25">
      <c r="A571">
        <v>852</v>
      </c>
      <c r="B571" t="s">
        <v>4409</v>
      </c>
      <c r="C571">
        <v>10000</v>
      </c>
    </row>
    <row r="572" spans="1:3" x14ac:dyDescent="0.25">
      <c r="A572">
        <v>855</v>
      </c>
      <c r="B572" t="s">
        <v>4224</v>
      </c>
      <c r="C572">
        <v>10000</v>
      </c>
    </row>
    <row r="573" spans="1:3" x14ac:dyDescent="0.25">
      <c r="A573">
        <v>857</v>
      </c>
      <c r="B573" t="s">
        <v>4410</v>
      </c>
      <c r="C573">
        <v>10000</v>
      </c>
    </row>
    <row r="574" spans="1:3" x14ac:dyDescent="0.25">
      <c r="A574">
        <v>858</v>
      </c>
      <c r="B574" t="s">
        <v>4410</v>
      </c>
      <c r="C574">
        <v>10000</v>
      </c>
    </row>
    <row r="575" spans="1:3" x14ac:dyDescent="0.25">
      <c r="A575">
        <v>859</v>
      </c>
      <c r="B575" t="s">
        <v>4410</v>
      </c>
      <c r="C575">
        <v>10000</v>
      </c>
    </row>
    <row r="576" spans="1:3" x14ac:dyDescent="0.25">
      <c r="A576">
        <v>860</v>
      </c>
      <c r="B576" t="s">
        <v>4410</v>
      </c>
      <c r="C576">
        <v>10000</v>
      </c>
    </row>
    <row r="577" spans="1:3" x14ac:dyDescent="0.25">
      <c r="A577">
        <v>861</v>
      </c>
      <c r="B577" t="s">
        <v>4411</v>
      </c>
      <c r="C577">
        <v>67</v>
      </c>
    </row>
    <row r="578" spans="1:3" x14ac:dyDescent="0.25">
      <c r="A578">
        <v>863</v>
      </c>
      <c r="B578" t="s">
        <v>4412</v>
      </c>
      <c r="C578">
        <v>371</v>
      </c>
    </row>
    <row r="579" spans="1:3" x14ac:dyDescent="0.25">
      <c r="A579">
        <v>865</v>
      </c>
      <c r="B579" t="s">
        <v>4413</v>
      </c>
      <c r="C579">
        <v>6215</v>
      </c>
    </row>
    <row r="580" spans="1:3" x14ac:dyDescent="0.25">
      <c r="A580">
        <v>866</v>
      </c>
      <c r="B580" t="s">
        <v>3982</v>
      </c>
      <c r="C580">
        <v>6610</v>
      </c>
    </row>
    <row r="581" spans="1:3" x14ac:dyDescent="0.25">
      <c r="A581">
        <v>867</v>
      </c>
      <c r="B581" t="s">
        <v>4414</v>
      </c>
      <c r="C581">
        <v>3407</v>
      </c>
    </row>
    <row r="582" spans="1:3" x14ac:dyDescent="0.25">
      <c r="A582">
        <v>868</v>
      </c>
      <c r="B582" t="s">
        <v>4415</v>
      </c>
      <c r="C582">
        <v>593</v>
      </c>
    </row>
    <row r="583" spans="1:3" x14ac:dyDescent="0.25">
      <c r="A583">
        <v>871</v>
      </c>
      <c r="B583" t="s">
        <v>3866</v>
      </c>
      <c r="C583">
        <v>6113</v>
      </c>
    </row>
    <row r="584" spans="1:3" x14ac:dyDescent="0.25">
      <c r="A584">
        <v>872</v>
      </c>
      <c r="B584" t="s">
        <v>4416</v>
      </c>
      <c r="C584">
        <v>6181</v>
      </c>
    </row>
    <row r="585" spans="1:3" x14ac:dyDescent="0.25">
      <c r="A585">
        <v>873</v>
      </c>
      <c r="B585" t="s">
        <v>4224</v>
      </c>
      <c r="C585">
        <v>10000</v>
      </c>
    </row>
    <row r="586" spans="1:3" x14ac:dyDescent="0.25">
      <c r="A586">
        <v>874</v>
      </c>
      <c r="B586" t="s">
        <v>4417</v>
      </c>
      <c r="C586">
        <v>6253</v>
      </c>
    </row>
    <row r="587" spans="1:3" x14ac:dyDescent="0.25">
      <c r="A587">
        <v>879</v>
      </c>
      <c r="B587" t="s">
        <v>4418</v>
      </c>
      <c r="C587">
        <v>2228</v>
      </c>
    </row>
    <row r="588" spans="1:3" x14ac:dyDescent="0.25">
      <c r="A588">
        <v>880</v>
      </c>
      <c r="B588" t="s">
        <v>4419</v>
      </c>
      <c r="C588">
        <v>2826</v>
      </c>
    </row>
    <row r="589" spans="1:3" x14ac:dyDescent="0.25">
      <c r="A589">
        <v>884</v>
      </c>
      <c r="B589" t="s">
        <v>4420</v>
      </c>
      <c r="C589">
        <v>409</v>
      </c>
    </row>
    <row r="590" spans="1:3" x14ac:dyDescent="0.25">
      <c r="A590">
        <v>885</v>
      </c>
      <c r="B590" t="s">
        <v>4421</v>
      </c>
      <c r="C590">
        <v>616</v>
      </c>
    </row>
    <row r="591" spans="1:3" x14ac:dyDescent="0.25">
      <c r="A591">
        <v>886</v>
      </c>
      <c r="B591" t="s">
        <v>4422</v>
      </c>
      <c r="C591">
        <v>6633</v>
      </c>
    </row>
    <row r="592" spans="1:3" x14ac:dyDescent="0.25">
      <c r="A592">
        <v>887</v>
      </c>
      <c r="B592" t="s">
        <v>4423</v>
      </c>
      <c r="C592">
        <v>5631</v>
      </c>
    </row>
    <row r="593" spans="1:3" x14ac:dyDescent="0.25">
      <c r="A593">
        <v>889</v>
      </c>
      <c r="B593" t="s">
        <v>4424</v>
      </c>
      <c r="C593">
        <v>10017</v>
      </c>
    </row>
    <row r="594" spans="1:3" x14ac:dyDescent="0.25">
      <c r="A594">
        <v>890</v>
      </c>
      <c r="B594" t="s">
        <v>4425</v>
      </c>
      <c r="C594">
        <v>494</v>
      </c>
    </row>
    <row r="595" spans="1:3" x14ac:dyDescent="0.25">
      <c r="A595">
        <v>891</v>
      </c>
      <c r="B595" t="s">
        <v>4426</v>
      </c>
      <c r="C595">
        <v>755</v>
      </c>
    </row>
    <row r="596" spans="1:3" x14ac:dyDescent="0.25">
      <c r="A596">
        <v>893</v>
      </c>
      <c r="B596" t="s">
        <v>4427</v>
      </c>
      <c r="C596">
        <v>3374</v>
      </c>
    </row>
    <row r="597" spans="1:3" x14ac:dyDescent="0.25">
      <c r="A597">
        <v>894</v>
      </c>
      <c r="B597" t="s">
        <v>4428</v>
      </c>
      <c r="C597">
        <v>6619</v>
      </c>
    </row>
    <row r="598" spans="1:3" x14ac:dyDescent="0.25">
      <c r="A598">
        <v>895</v>
      </c>
      <c r="B598" t="s">
        <v>4429</v>
      </c>
      <c r="C598">
        <v>10003</v>
      </c>
    </row>
    <row r="599" spans="1:3" x14ac:dyDescent="0.25">
      <c r="A599">
        <v>896</v>
      </c>
      <c r="B599" t="s">
        <v>4430</v>
      </c>
      <c r="C599">
        <v>5636</v>
      </c>
    </row>
    <row r="600" spans="1:3" x14ac:dyDescent="0.25">
      <c r="A600">
        <v>897</v>
      </c>
      <c r="B600" t="s">
        <v>3765</v>
      </c>
      <c r="C600">
        <v>5822</v>
      </c>
    </row>
    <row r="601" spans="1:3" x14ac:dyDescent="0.25">
      <c r="A601">
        <v>899</v>
      </c>
      <c r="B601" t="s">
        <v>4431</v>
      </c>
      <c r="C601">
        <v>138</v>
      </c>
    </row>
    <row r="602" spans="1:3" x14ac:dyDescent="0.25">
      <c r="A602">
        <v>900</v>
      </c>
      <c r="B602" t="s">
        <v>4432</v>
      </c>
      <c r="C602">
        <v>6413</v>
      </c>
    </row>
    <row r="603" spans="1:3" x14ac:dyDescent="0.25">
      <c r="A603">
        <v>901</v>
      </c>
      <c r="B603" t="s">
        <v>4433</v>
      </c>
      <c r="C603">
        <v>690</v>
      </c>
    </row>
    <row r="604" spans="1:3" x14ac:dyDescent="0.25">
      <c r="A604">
        <v>902</v>
      </c>
      <c r="B604" t="s">
        <v>3385</v>
      </c>
      <c r="C604">
        <v>4696</v>
      </c>
    </row>
    <row r="605" spans="1:3" x14ac:dyDescent="0.25">
      <c r="A605">
        <v>903</v>
      </c>
      <c r="B605" t="s">
        <v>4434</v>
      </c>
      <c r="C605">
        <v>843</v>
      </c>
    </row>
    <row r="606" spans="1:3" x14ac:dyDescent="0.25">
      <c r="A606">
        <v>904</v>
      </c>
      <c r="B606" t="s">
        <v>4435</v>
      </c>
      <c r="C606">
        <v>250</v>
      </c>
    </row>
    <row r="607" spans="1:3" x14ac:dyDescent="0.25">
      <c r="A607">
        <v>906</v>
      </c>
      <c r="B607" t="s">
        <v>4436</v>
      </c>
      <c r="C607">
        <v>10000</v>
      </c>
    </row>
    <row r="608" spans="1:3" x14ac:dyDescent="0.25">
      <c r="A608">
        <v>907</v>
      </c>
      <c r="B608" t="s">
        <v>3657</v>
      </c>
      <c r="C608">
        <v>5633</v>
      </c>
    </row>
    <row r="609" spans="1:3" x14ac:dyDescent="0.25">
      <c r="A609">
        <v>908</v>
      </c>
      <c r="B609" t="s">
        <v>3663</v>
      </c>
      <c r="C609">
        <v>5639</v>
      </c>
    </row>
    <row r="610" spans="1:3" x14ac:dyDescent="0.25">
      <c r="A610">
        <v>909</v>
      </c>
      <c r="B610" t="s">
        <v>3662</v>
      </c>
      <c r="C610">
        <v>5638</v>
      </c>
    </row>
    <row r="611" spans="1:3" x14ac:dyDescent="0.25">
      <c r="A611">
        <v>910</v>
      </c>
      <c r="B611" t="s">
        <v>4437</v>
      </c>
      <c r="C611">
        <v>5643</v>
      </c>
    </row>
    <row r="612" spans="1:3" x14ac:dyDescent="0.25">
      <c r="A612">
        <v>911</v>
      </c>
      <c r="B612" t="s">
        <v>3589</v>
      </c>
      <c r="C612">
        <v>5503</v>
      </c>
    </row>
    <row r="613" spans="1:3" x14ac:dyDescent="0.25">
      <c r="A613">
        <v>917</v>
      </c>
      <c r="B613" t="s">
        <v>3434</v>
      </c>
      <c r="C613">
        <v>5071</v>
      </c>
    </row>
    <row r="614" spans="1:3" x14ac:dyDescent="0.25">
      <c r="A614">
        <v>921</v>
      </c>
      <c r="B614" t="s">
        <v>3450</v>
      </c>
      <c r="C614">
        <v>5120</v>
      </c>
    </row>
    <row r="615" spans="1:3" x14ac:dyDescent="0.25">
      <c r="A615">
        <v>922</v>
      </c>
      <c r="B615" t="s">
        <v>3451</v>
      </c>
      <c r="C615">
        <v>5121</v>
      </c>
    </row>
    <row r="616" spans="1:3" x14ac:dyDescent="0.25">
      <c r="A616">
        <v>923</v>
      </c>
      <c r="B616" t="s">
        <v>3438</v>
      </c>
      <c r="C616">
        <v>5077</v>
      </c>
    </row>
    <row r="617" spans="1:3" x14ac:dyDescent="0.25">
      <c r="A617">
        <v>926</v>
      </c>
      <c r="B617" t="s">
        <v>3452</v>
      </c>
      <c r="C617">
        <v>5125</v>
      </c>
    </row>
    <row r="618" spans="1:3" x14ac:dyDescent="0.25">
      <c r="A618">
        <v>929</v>
      </c>
      <c r="B618" t="s">
        <v>4438</v>
      </c>
      <c r="C618">
        <v>5516</v>
      </c>
    </row>
    <row r="619" spans="1:3" x14ac:dyDescent="0.25">
      <c r="A619">
        <v>930</v>
      </c>
      <c r="B619" t="s">
        <v>3951</v>
      </c>
      <c r="C619">
        <v>6408</v>
      </c>
    </row>
    <row r="620" spans="1:3" x14ac:dyDescent="0.25">
      <c r="A620">
        <v>932</v>
      </c>
      <c r="B620" t="s">
        <v>4439</v>
      </c>
      <c r="C620">
        <v>6616</v>
      </c>
    </row>
  </sheetData>
  <autoFilter ref="A1:E620" xr:uid="{8D57E548-F162-4610-A943-40BD1002A4F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EB7B3-71B3-4729-BD3F-0B79DBCCCC27}">
  <dimension ref="A1:D27"/>
  <sheetViews>
    <sheetView workbookViewId="0">
      <selection activeCell="C6" sqref="C6"/>
    </sheetView>
  </sheetViews>
  <sheetFormatPr defaultRowHeight="15" x14ac:dyDescent="0.25"/>
  <cols>
    <col min="3" max="3" width="23.85546875" customWidth="1"/>
    <col min="4" max="4" width="32.5703125" customWidth="1"/>
  </cols>
  <sheetData>
    <row r="1" spans="1:4" x14ac:dyDescent="0.25">
      <c r="A1" s="2" t="s">
        <v>886</v>
      </c>
      <c r="B1" s="2" t="s">
        <v>0</v>
      </c>
      <c r="C1" s="2" t="s">
        <v>1</v>
      </c>
      <c r="D1" s="2" t="s">
        <v>2</v>
      </c>
    </row>
    <row r="2" spans="1:4" x14ac:dyDescent="0.25">
      <c r="A2">
        <v>10001</v>
      </c>
      <c r="B2" t="s">
        <v>3</v>
      </c>
      <c r="C2" t="s">
        <v>4</v>
      </c>
      <c r="D2" t="s">
        <v>5</v>
      </c>
    </row>
    <row r="3" spans="1:4" x14ac:dyDescent="0.25">
      <c r="A3">
        <v>10002</v>
      </c>
      <c r="B3" t="s">
        <v>6</v>
      </c>
      <c r="C3" t="s">
        <v>7</v>
      </c>
      <c r="D3" t="s">
        <v>8</v>
      </c>
    </row>
    <row r="4" spans="1:4" x14ac:dyDescent="0.25">
      <c r="A4">
        <v>10003</v>
      </c>
      <c r="B4" t="s">
        <v>9</v>
      </c>
      <c r="C4" t="s">
        <v>10</v>
      </c>
      <c r="D4" t="s">
        <v>11</v>
      </c>
    </row>
    <row r="5" spans="1:4" x14ac:dyDescent="0.25">
      <c r="A5">
        <v>10004</v>
      </c>
      <c r="B5" t="s">
        <v>12</v>
      </c>
      <c r="C5" t="s">
        <v>13</v>
      </c>
      <c r="D5" t="s">
        <v>13</v>
      </c>
    </row>
    <row r="6" spans="1:4" x14ac:dyDescent="0.25">
      <c r="A6">
        <v>10005</v>
      </c>
      <c r="B6" t="s">
        <v>14</v>
      </c>
      <c r="C6" t="s">
        <v>15</v>
      </c>
      <c r="D6" t="s">
        <v>15</v>
      </c>
    </row>
    <row r="7" spans="1:4" x14ac:dyDescent="0.25">
      <c r="A7">
        <v>10006</v>
      </c>
      <c r="B7" t="s">
        <v>16</v>
      </c>
      <c r="C7" t="s">
        <v>17</v>
      </c>
      <c r="D7" t="s">
        <v>18</v>
      </c>
    </row>
    <row r="8" spans="1:4" x14ac:dyDescent="0.25">
      <c r="A8">
        <v>10007</v>
      </c>
      <c r="B8" t="s">
        <v>19</v>
      </c>
      <c r="C8" t="s">
        <v>20</v>
      </c>
      <c r="D8" t="s">
        <v>21</v>
      </c>
    </row>
    <row r="9" spans="1:4" x14ac:dyDescent="0.25">
      <c r="A9">
        <v>10008</v>
      </c>
      <c r="B9" t="s">
        <v>22</v>
      </c>
      <c r="C9" t="s">
        <v>23</v>
      </c>
      <c r="D9" t="s">
        <v>24</v>
      </c>
    </row>
    <row r="10" spans="1:4" x14ac:dyDescent="0.25">
      <c r="A10">
        <v>10009</v>
      </c>
      <c r="B10" t="s">
        <v>25</v>
      </c>
      <c r="C10" t="s">
        <v>26</v>
      </c>
      <c r="D10" t="s">
        <v>27</v>
      </c>
    </row>
    <row r="11" spans="1:4" x14ac:dyDescent="0.25">
      <c r="A11">
        <v>10010</v>
      </c>
      <c r="B11" t="s">
        <v>28</v>
      </c>
      <c r="C11" t="s">
        <v>29</v>
      </c>
      <c r="D11" t="s">
        <v>30</v>
      </c>
    </row>
    <row r="12" spans="1:4" x14ac:dyDescent="0.25">
      <c r="A12">
        <v>10011</v>
      </c>
      <c r="B12" t="s">
        <v>31</v>
      </c>
      <c r="C12" t="s">
        <v>32</v>
      </c>
      <c r="D12" t="s">
        <v>33</v>
      </c>
    </row>
    <row r="13" spans="1:4" x14ac:dyDescent="0.25">
      <c r="A13">
        <v>10012</v>
      </c>
      <c r="B13" t="s">
        <v>34</v>
      </c>
      <c r="C13" t="s">
        <v>35</v>
      </c>
      <c r="D13" t="s">
        <v>36</v>
      </c>
    </row>
    <row r="14" spans="1:4" x14ac:dyDescent="0.25">
      <c r="A14">
        <v>10013</v>
      </c>
      <c r="B14" t="s">
        <v>37</v>
      </c>
      <c r="C14" t="s">
        <v>38</v>
      </c>
      <c r="D14" t="s">
        <v>39</v>
      </c>
    </row>
    <row r="15" spans="1:4" x14ac:dyDescent="0.25">
      <c r="A15">
        <v>10014</v>
      </c>
      <c r="B15" t="s">
        <v>40</v>
      </c>
      <c r="C15" t="s">
        <v>41</v>
      </c>
      <c r="D15" t="s">
        <v>42</v>
      </c>
    </row>
    <row r="16" spans="1:4" x14ac:dyDescent="0.25">
      <c r="A16">
        <v>10015</v>
      </c>
      <c r="B16" t="s">
        <v>43</v>
      </c>
      <c r="C16" t="s">
        <v>44</v>
      </c>
      <c r="D16" t="s">
        <v>45</v>
      </c>
    </row>
    <row r="17" spans="1:4" x14ac:dyDescent="0.25">
      <c r="A17">
        <v>10016</v>
      </c>
      <c r="B17" t="s">
        <v>46</v>
      </c>
      <c r="C17" t="s">
        <v>47</v>
      </c>
      <c r="D17" t="s">
        <v>48</v>
      </c>
    </row>
    <row r="18" spans="1:4" x14ac:dyDescent="0.25">
      <c r="A18">
        <v>10017</v>
      </c>
      <c r="B18" t="s">
        <v>49</v>
      </c>
      <c r="C18" t="s">
        <v>50</v>
      </c>
      <c r="D18" t="s">
        <v>51</v>
      </c>
    </row>
    <row r="19" spans="1:4" x14ac:dyDescent="0.25">
      <c r="A19">
        <v>10018</v>
      </c>
      <c r="B19" t="s">
        <v>52</v>
      </c>
      <c r="C19" t="s">
        <v>53</v>
      </c>
      <c r="D19" t="s">
        <v>54</v>
      </c>
    </row>
    <row r="20" spans="1:4" x14ac:dyDescent="0.25">
      <c r="A20">
        <v>10019</v>
      </c>
      <c r="B20" t="s">
        <v>55</v>
      </c>
      <c r="C20" t="s">
        <v>56</v>
      </c>
      <c r="D20" t="s">
        <v>57</v>
      </c>
    </row>
    <row r="21" spans="1:4" x14ac:dyDescent="0.25">
      <c r="A21">
        <v>10020</v>
      </c>
      <c r="B21" t="s">
        <v>58</v>
      </c>
      <c r="C21" t="s">
        <v>59</v>
      </c>
      <c r="D21" t="s">
        <v>60</v>
      </c>
    </row>
    <row r="22" spans="1:4" x14ac:dyDescent="0.25">
      <c r="A22">
        <v>10021</v>
      </c>
      <c r="B22" t="s">
        <v>61</v>
      </c>
      <c r="C22" t="s">
        <v>62</v>
      </c>
      <c r="D22" t="s">
        <v>62</v>
      </c>
    </row>
    <row r="23" spans="1:4" x14ac:dyDescent="0.25">
      <c r="A23">
        <v>10022</v>
      </c>
      <c r="B23" t="s">
        <v>63</v>
      </c>
      <c r="C23" t="s">
        <v>64</v>
      </c>
      <c r="D23" t="s">
        <v>65</v>
      </c>
    </row>
    <row r="24" spans="1:4" x14ac:dyDescent="0.25">
      <c r="A24">
        <v>10023</v>
      </c>
      <c r="B24" t="s">
        <v>66</v>
      </c>
      <c r="C24" t="s">
        <v>67</v>
      </c>
      <c r="D24" t="s">
        <v>68</v>
      </c>
    </row>
    <row r="25" spans="1:4" x14ac:dyDescent="0.25">
      <c r="A25">
        <v>10024</v>
      </c>
      <c r="B25" t="s">
        <v>69</v>
      </c>
      <c r="C25" t="s">
        <v>70</v>
      </c>
      <c r="D25" t="s">
        <v>71</v>
      </c>
    </row>
    <row r="26" spans="1:4" x14ac:dyDescent="0.25">
      <c r="A26">
        <v>10025</v>
      </c>
      <c r="B26" t="s">
        <v>72</v>
      </c>
      <c r="C26" t="s">
        <v>73</v>
      </c>
      <c r="D26" t="s">
        <v>74</v>
      </c>
    </row>
    <row r="27" spans="1:4" x14ac:dyDescent="0.25">
      <c r="A27">
        <v>10026</v>
      </c>
      <c r="B27" t="s">
        <v>75</v>
      </c>
      <c r="C27" t="s">
        <v>76</v>
      </c>
      <c r="D27" t="s">
        <v>76</v>
      </c>
    </row>
  </sheetData>
  <autoFilter ref="A1:D27" xr:uid="{98AEB7B3-71B3-4729-BD3F-0B79DBCCCC2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B0A3-844A-4259-9854-4E7DB73103C0}">
  <dimension ref="A1:C2122"/>
  <sheetViews>
    <sheetView workbookViewId="0">
      <pane ySplit="1" topLeftCell="A2" activePane="bottomLeft" state="frozen"/>
      <selection pane="bottomLeft" activeCell="B1" sqref="B1"/>
    </sheetView>
  </sheetViews>
  <sheetFormatPr defaultRowHeight="15" x14ac:dyDescent="0.25"/>
  <cols>
    <col min="2" max="2" width="30.5703125" customWidth="1"/>
  </cols>
  <sheetData>
    <row r="1" spans="1:3" x14ac:dyDescent="0.25">
      <c r="A1" s="2" t="s">
        <v>886</v>
      </c>
      <c r="B1" s="2" t="s">
        <v>884</v>
      </c>
      <c r="C1" s="2" t="s">
        <v>885</v>
      </c>
    </row>
    <row r="2" spans="1:3" x14ac:dyDescent="0.25">
      <c r="A2">
        <v>1</v>
      </c>
      <c r="B2" t="s">
        <v>77</v>
      </c>
      <c r="C2" t="s">
        <v>3</v>
      </c>
    </row>
    <row r="3" spans="1:3" x14ac:dyDescent="0.25">
      <c r="A3">
        <v>2</v>
      </c>
      <c r="B3" t="s">
        <v>78</v>
      </c>
      <c r="C3" t="s">
        <v>3</v>
      </c>
    </row>
    <row r="4" spans="1:3" x14ac:dyDescent="0.25">
      <c r="A4">
        <v>3</v>
      </c>
      <c r="B4" t="s">
        <v>79</v>
      </c>
      <c r="C4" t="s">
        <v>3</v>
      </c>
    </row>
    <row r="5" spans="1:3" x14ac:dyDescent="0.25">
      <c r="A5">
        <v>4</v>
      </c>
      <c r="B5" t="s">
        <v>80</v>
      </c>
      <c r="C5" t="s">
        <v>3</v>
      </c>
    </row>
    <row r="6" spans="1:3" x14ac:dyDescent="0.25">
      <c r="A6">
        <v>5</v>
      </c>
      <c r="B6" t="s">
        <v>81</v>
      </c>
      <c r="C6" t="s">
        <v>3</v>
      </c>
    </row>
    <row r="7" spans="1:3" x14ac:dyDescent="0.25">
      <c r="A7">
        <v>6</v>
      </c>
      <c r="B7" t="s">
        <v>82</v>
      </c>
      <c r="C7" t="s">
        <v>3</v>
      </c>
    </row>
    <row r="8" spans="1:3" x14ac:dyDescent="0.25">
      <c r="A8">
        <v>7</v>
      </c>
      <c r="B8" t="s">
        <v>83</v>
      </c>
      <c r="C8" t="s">
        <v>3</v>
      </c>
    </row>
    <row r="9" spans="1:3" x14ac:dyDescent="0.25">
      <c r="A9">
        <v>8</v>
      </c>
      <c r="B9" t="s">
        <v>84</v>
      </c>
      <c r="C9" t="s">
        <v>3</v>
      </c>
    </row>
    <row r="10" spans="1:3" x14ac:dyDescent="0.25">
      <c r="A10">
        <v>9</v>
      </c>
      <c r="B10" t="s">
        <v>85</v>
      </c>
      <c r="C10" t="s">
        <v>3</v>
      </c>
    </row>
    <row r="11" spans="1:3" x14ac:dyDescent="0.25">
      <c r="A11">
        <v>10</v>
      </c>
      <c r="B11" t="s">
        <v>86</v>
      </c>
      <c r="C11" t="s">
        <v>3</v>
      </c>
    </row>
    <row r="12" spans="1:3" x14ac:dyDescent="0.25">
      <c r="A12">
        <v>11</v>
      </c>
      <c r="B12" t="s">
        <v>87</v>
      </c>
      <c r="C12" t="s">
        <v>3</v>
      </c>
    </row>
    <row r="13" spans="1:3" x14ac:dyDescent="0.25">
      <c r="A13">
        <v>12</v>
      </c>
      <c r="B13" t="s">
        <v>88</v>
      </c>
      <c r="C13" t="s">
        <v>3</v>
      </c>
    </row>
    <row r="14" spans="1:3" x14ac:dyDescent="0.25">
      <c r="A14">
        <v>13</v>
      </c>
      <c r="B14" t="s">
        <v>89</v>
      </c>
      <c r="C14" t="s">
        <v>3</v>
      </c>
    </row>
    <row r="15" spans="1:3" x14ac:dyDescent="0.25">
      <c r="A15">
        <v>14</v>
      </c>
      <c r="B15" t="s">
        <v>90</v>
      </c>
      <c r="C15" t="s">
        <v>3</v>
      </c>
    </row>
    <row r="16" spans="1:3" x14ac:dyDescent="0.25">
      <c r="A16">
        <v>22</v>
      </c>
      <c r="B16" t="s">
        <v>91</v>
      </c>
      <c r="C16" t="s">
        <v>3</v>
      </c>
    </row>
    <row r="17" spans="1:3" x14ac:dyDescent="0.25">
      <c r="A17">
        <v>23</v>
      </c>
      <c r="B17" t="s">
        <v>92</v>
      </c>
      <c r="C17" t="s">
        <v>3</v>
      </c>
    </row>
    <row r="18" spans="1:3" x14ac:dyDescent="0.25">
      <c r="A18">
        <v>24</v>
      </c>
      <c r="B18" t="s">
        <v>93</v>
      </c>
      <c r="C18" t="s">
        <v>3</v>
      </c>
    </row>
    <row r="19" spans="1:3" x14ac:dyDescent="0.25">
      <c r="A19">
        <v>25</v>
      </c>
      <c r="B19" t="s">
        <v>94</v>
      </c>
      <c r="C19" t="s">
        <v>3</v>
      </c>
    </row>
    <row r="20" spans="1:3" x14ac:dyDescent="0.25">
      <c r="A20">
        <v>26</v>
      </c>
      <c r="B20" t="s">
        <v>95</v>
      </c>
      <c r="C20" t="s">
        <v>3</v>
      </c>
    </row>
    <row r="21" spans="1:3" x14ac:dyDescent="0.25">
      <c r="A21">
        <v>27</v>
      </c>
      <c r="B21" t="s">
        <v>96</v>
      </c>
      <c r="C21" t="s">
        <v>3</v>
      </c>
    </row>
    <row r="22" spans="1:3" x14ac:dyDescent="0.25">
      <c r="A22">
        <v>28</v>
      </c>
      <c r="B22" t="s">
        <v>97</v>
      </c>
      <c r="C22" t="s">
        <v>3</v>
      </c>
    </row>
    <row r="23" spans="1:3" x14ac:dyDescent="0.25">
      <c r="A23">
        <v>29</v>
      </c>
      <c r="B23" t="s">
        <v>98</v>
      </c>
      <c r="C23" t="s">
        <v>3</v>
      </c>
    </row>
    <row r="24" spans="1:3" x14ac:dyDescent="0.25">
      <c r="A24">
        <v>31</v>
      </c>
      <c r="B24" t="s">
        <v>100</v>
      </c>
      <c r="C24" t="s">
        <v>3</v>
      </c>
    </row>
    <row r="25" spans="1:3" x14ac:dyDescent="0.25">
      <c r="A25">
        <v>33</v>
      </c>
      <c r="B25" t="s">
        <v>101</v>
      </c>
      <c r="C25" t="s">
        <v>3</v>
      </c>
    </row>
    <row r="26" spans="1:3" x14ac:dyDescent="0.25">
      <c r="A26">
        <v>34</v>
      </c>
      <c r="B26" t="s">
        <v>102</v>
      </c>
      <c r="C26" t="s">
        <v>3</v>
      </c>
    </row>
    <row r="27" spans="1:3" x14ac:dyDescent="0.25">
      <c r="A27">
        <v>35</v>
      </c>
      <c r="B27" t="s">
        <v>103</v>
      </c>
      <c r="C27" t="s">
        <v>3</v>
      </c>
    </row>
    <row r="28" spans="1:3" x14ac:dyDescent="0.25">
      <c r="A28">
        <v>37</v>
      </c>
      <c r="B28" t="s">
        <v>104</v>
      </c>
      <c r="C28" t="s">
        <v>3</v>
      </c>
    </row>
    <row r="29" spans="1:3" x14ac:dyDescent="0.25">
      <c r="A29">
        <v>38</v>
      </c>
      <c r="B29" t="s">
        <v>105</v>
      </c>
      <c r="C29" t="s">
        <v>3</v>
      </c>
    </row>
    <row r="30" spans="1:3" x14ac:dyDescent="0.25">
      <c r="A30">
        <v>39</v>
      </c>
      <c r="B30" t="s">
        <v>106</v>
      </c>
      <c r="C30" t="s">
        <v>3</v>
      </c>
    </row>
    <row r="31" spans="1:3" x14ac:dyDescent="0.25">
      <c r="A31">
        <v>40</v>
      </c>
      <c r="B31" t="s">
        <v>107</v>
      </c>
      <c r="C31" t="s">
        <v>3</v>
      </c>
    </row>
    <row r="32" spans="1:3" x14ac:dyDescent="0.25">
      <c r="A32">
        <v>41</v>
      </c>
      <c r="B32" t="s">
        <v>108</v>
      </c>
      <c r="C32" t="s">
        <v>3</v>
      </c>
    </row>
    <row r="33" spans="1:3" x14ac:dyDescent="0.25">
      <c r="A33">
        <v>43</v>
      </c>
      <c r="B33" t="s">
        <v>109</v>
      </c>
      <c r="C33" t="s">
        <v>3</v>
      </c>
    </row>
    <row r="34" spans="1:3" x14ac:dyDescent="0.25">
      <c r="A34">
        <v>51</v>
      </c>
      <c r="B34" t="s">
        <v>110</v>
      </c>
      <c r="C34" t="s">
        <v>3</v>
      </c>
    </row>
    <row r="35" spans="1:3" x14ac:dyDescent="0.25">
      <c r="A35">
        <v>52</v>
      </c>
      <c r="B35" t="s">
        <v>111</v>
      </c>
      <c r="C35" t="s">
        <v>3</v>
      </c>
    </row>
    <row r="36" spans="1:3" x14ac:dyDescent="0.25">
      <c r="A36">
        <v>53</v>
      </c>
      <c r="B36" t="s">
        <v>112</v>
      </c>
      <c r="C36" t="s">
        <v>3</v>
      </c>
    </row>
    <row r="37" spans="1:3" x14ac:dyDescent="0.25">
      <c r="A37">
        <v>54</v>
      </c>
      <c r="B37" t="s">
        <v>113</v>
      </c>
      <c r="C37" t="s">
        <v>3</v>
      </c>
    </row>
    <row r="38" spans="1:3" x14ac:dyDescent="0.25">
      <c r="A38">
        <v>55</v>
      </c>
      <c r="B38" t="s">
        <v>114</v>
      </c>
      <c r="C38" t="s">
        <v>3</v>
      </c>
    </row>
    <row r="39" spans="1:3" x14ac:dyDescent="0.25">
      <c r="A39">
        <v>56</v>
      </c>
      <c r="B39" t="s">
        <v>115</v>
      </c>
      <c r="C39" t="s">
        <v>3</v>
      </c>
    </row>
    <row r="40" spans="1:3" x14ac:dyDescent="0.25">
      <c r="A40">
        <v>57</v>
      </c>
      <c r="B40" t="s">
        <v>116</v>
      </c>
      <c r="C40" t="s">
        <v>3</v>
      </c>
    </row>
    <row r="41" spans="1:3" x14ac:dyDescent="0.25">
      <c r="A41">
        <v>58</v>
      </c>
      <c r="B41" t="s">
        <v>117</v>
      </c>
      <c r="C41" t="s">
        <v>3</v>
      </c>
    </row>
    <row r="42" spans="1:3" x14ac:dyDescent="0.25">
      <c r="A42">
        <v>59</v>
      </c>
      <c r="B42" t="s">
        <v>118</v>
      </c>
      <c r="C42" t="s">
        <v>3</v>
      </c>
    </row>
    <row r="43" spans="1:3" x14ac:dyDescent="0.25">
      <c r="A43">
        <v>60</v>
      </c>
      <c r="B43" t="s">
        <v>119</v>
      </c>
      <c r="C43" t="s">
        <v>3</v>
      </c>
    </row>
    <row r="44" spans="1:3" x14ac:dyDescent="0.25">
      <c r="A44">
        <v>61</v>
      </c>
      <c r="B44" t="s">
        <v>120</v>
      </c>
      <c r="C44" t="s">
        <v>3</v>
      </c>
    </row>
    <row r="45" spans="1:3" x14ac:dyDescent="0.25">
      <c r="A45">
        <v>62</v>
      </c>
      <c r="B45" t="s">
        <v>121</v>
      </c>
      <c r="C45" t="s">
        <v>3</v>
      </c>
    </row>
    <row r="46" spans="1:3" x14ac:dyDescent="0.25">
      <c r="A46">
        <v>63</v>
      </c>
      <c r="B46" t="s">
        <v>122</v>
      </c>
      <c r="C46" t="s">
        <v>3</v>
      </c>
    </row>
    <row r="47" spans="1:3" x14ac:dyDescent="0.25">
      <c r="A47">
        <v>64</v>
      </c>
      <c r="B47" t="s">
        <v>123</v>
      </c>
      <c r="C47" t="s">
        <v>3</v>
      </c>
    </row>
    <row r="48" spans="1:3" x14ac:dyDescent="0.25">
      <c r="A48">
        <v>65</v>
      </c>
      <c r="B48" t="s">
        <v>124</v>
      </c>
      <c r="C48" t="s">
        <v>3</v>
      </c>
    </row>
    <row r="49" spans="1:3" x14ac:dyDescent="0.25">
      <c r="A49">
        <v>66</v>
      </c>
      <c r="B49" t="s">
        <v>125</v>
      </c>
      <c r="C49" t="s">
        <v>3</v>
      </c>
    </row>
    <row r="50" spans="1:3" x14ac:dyDescent="0.25">
      <c r="A50">
        <v>67</v>
      </c>
      <c r="B50" t="s">
        <v>126</v>
      </c>
      <c r="C50" t="s">
        <v>3</v>
      </c>
    </row>
    <row r="51" spans="1:3" x14ac:dyDescent="0.25">
      <c r="A51">
        <v>68</v>
      </c>
      <c r="B51" t="s">
        <v>127</v>
      </c>
      <c r="C51" t="s">
        <v>3</v>
      </c>
    </row>
    <row r="52" spans="1:3" x14ac:dyDescent="0.25">
      <c r="A52">
        <v>69</v>
      </c>
      <c r="B52" t="s">
        <v>128</v>
      </c>
      <c r="C52" t="s">
        <v>3</v>
      </c>
    </row>
    <row r="53" spans="1:3" x14ac:dyDescent="0.25">
      <c r="A53">
        <v>70</v>
      </c>
      <c r="B53" t="s">
        <v>129</v>
      </c>
      <c r="C53" t="s">
        <v>3</v>
      </c>
    </row>
    <row r="54" spans="1:3" x14ac:dyDescent="0.25">
      <c r="A54">
        <v>71</v>
      </c>
      <c r="B54" t="s">
        <v>130</v>
      </c>
      <c r="C54" t="s">
        <v>3</v>
      </c>
    </row>
    <row r="55" spans="1:3" x14ac:dyDescent="0.25">
      <c r="A55">
        <v>72</v>
      </c>
      <c r="B55" t="s">
        <v>131</v>
      </c>
      <c r="C55" t="s">
        <v>3</v>
      </c>
    </row>
    <row r="56" spans="1:3" x14ac:dyDescent="0.25">
      <c r="A56">
        <v>81</v>
      </c>
      <c r="B56" t="s">
        <v>132</v>
      </c>
      <c r="C56" t="s">
        <v>3</v>
      </c>
    </row>
    <row r="57" spans="1:3" x14ac:dyDescent="0.25">
      <c r="A57">
        <v>82</v>
      </c>
      <c r="B57" t="s">
        <v>133</v>
      </c>
      <c r="C57" t="s">
        <v>3</v>
      </c>
    </row>
    <row r="58" spans="1:3" x14ac:dyDescent="0.25">
      <c r="A58">
        <v>83</v>
      </c>
      <c r="B58" t="s">
        <v>134</v>
      </c>
      <c r="C58" t="s">
        <v>3</v>
      </c>
    </row>
    <row r="59" spans="1:3" x14ac:dyDescent="0.25">
      <c r="A59">
        <v>84</v>
      </c>
      <c r="B59" t="s">
        <v>135</v>
      </c>
      <c r="C59" t="s">
        <v>3</v>
      </c>
    </row>
    <row r="60" spans="1:3" x14ac:dyDescent="0.25">
      <c r="A60">
        <v>85</v>
      </c>
      <c r="B60" t="s">
        <v>136</v>
      </c>
      <c r="C60" t="s">
        <v>3</v>
      </c>
    </row>
    <row r="61" spans="1:3" x14ac:dyDescent="0.25">
      <c r="A61">
        <v>86</v>
      </c>
      <c r="B61" t="s">
        <v>137</v>
      </c>
      <c r="C61" t="s">
        <v>3</v>
      </c>
    </row>
    <row r="62" spans="1:3" x14ac:dyDescent="0.25">
      <c r="A62">
        <v>87</v>
      </c>
      <c r="B62" t="s">
        <v>138</v>
      </c>
      <c r="C62" t="s">
        <v>3</v>
      </c>
    </row>
    <row r="63" spans="1:3" x14ac:dyDescent="0.25">
      <c r="A63">
        <v>88</v>
      </c>
      <c r="B63" t="s">
        <v>139</v>
      </c>
      <c r="C63" t="s">
        <v>3</v>
      </c>
    </row>
    <row r="64" spans="1:3" x14ac:dyDescent="0.25">
      <c r="A64">
        <v>89</v>
      </c>
      <c r="B64" t="s">
        <v>140</v>
      </c>
      <c r="C64" t="s">
        <v>3</v>
      </c>
    </row>
    <row r="65" spans="1:3" x14ac:dyDescent="0.25">
      <c r="A65">
        <v>90</v>
      </c>
      <c r="B65" t="s">
        <v>141</v>
      </c>
      <c r="C65" t="s">
        <v>3</v>
      </c>
    </row>
    <row r="66" spans="1:3" x14ac:dyDescent="0.25">
      <c r="A66">
        <v>91</v>
      </c>
      <c r="B66" t="s">
        <v>142</v>
      </c>
      <c r="C66" t="s">
        <v>3</v>
      </c>
    </row>
    <row r="67" spans="1:3" x14ac:dyDescent="0.25">
      <c r="A67">
        <v>92</v>
      </c>
      <c r="B67" t="s">
        <v>143</v>
      </c>
      <c r="C67" t="s">
        <v>3</v>
      </c>
    </row>
    <row r="68" spans="1:3" x14ac:dyDescent="0.25">
      <c r="A68">
        <v>93</v>
      </c>
      <c r="B68" t="s">
        <v>144</v>
      </c>
      <c r="C68" t="s">
        <v>3</v>
      </c>
    </row>
    <row r="69" spans="1:3" x14ac:dyDescent="0.25">
      <c r="A69">
        <v>94</v>
      </c>
      <c r="B69" t="s">
        <v>145</v>
      </c>
      <c r="C69" t="s">
        <v>3</v>
      </c>
    </row>
    <row r="70" spans="1:3" x14ac:dyDescent="0.25">
      <c r="A70">
        <v>95</v>
      </c>
      <c r="B70" t="s">
        <v>146</v>
      </c>
      <c r="C70" t="s">
        <v>3</v>
      </c>
    </row>
    <row r="71" spans="1:3" x14ac:dyDescent="0.25">
      <c r="A71">
        <v>96</v>
      </c>
      <c r="B71" t="s">
        <v>147</v>
      </c>
      <c r="C71" t="s">
        <v>3</v>
      </c>
    </row>
    <row r="72" spans="1:3" x14ac:dyDescent="0.25">
      <c r="A72">
        <v>97</v>
      </c>
      <c r="B72" t="s">
        <v>148</v>
      </c>
      <c r="C72" t="s">
        <v>3</v>
      </c>
    </row>
    <row r="73" spans="1:3" x14ac:dyDescent="0.25">
      <c r="A73">
        <v>98</v>
      </c>
      <c r="B73" t="s">
        <v>149</v>
      </c>
      <c r="C73" t="s">
        <v>3</v>
      </c>
    </row>
    <row r="74" spans="1:3" x14ac:dyDescent="0.25">
      <c r="A74">
        <v>99</v>
      </c>
      <c r="B74" t="s">
        <v>150</v>
      </c>
      <c r="C74" t="s">
        <v>3</v>
      </c>
    </row>
    <row r="75" spans="1:3" x14ac:dyDescent="0.25">
      <c r="A75">
        <v>100</v>
      </c>
      <c r="B75" t="s">
        <v>151</v>
      </c>
      <c r="C75" t="s">
        <v>3</v>
      </c>
    </row>
    <row r="76" spans="1:3" x14ac:dyDescent="0.25">
      <c r="A76">
        <v>101</v>
      </c>
      <c r="B76" t="s">
        <v>152</v>
      </c>
      <c r="C76" t="s">
        <v>3</v>
      </c>
    </row>
    <row r="77" spans="1:3" x14ac:dyDescent="0.25">
      <c r="A77">
        <v>102</v>
      </c>
      <c r="B77" t="s">
        <v>153</v>
      </c>
      <c r="C77" t="s">
        <v>3</v>
      </c>
    </row>
    <row r="78" spans="1:3" x14ac:dyDescent="0.25">
      <c r="A78">
        <v>111</v>
      </c>
      <c r="B78" t="s">
        <v>154</v>
      </c>
      <c r="C78" t="s">
        <v>3</v>
      </c>
    </row>
    <row r="79" spans="1:3" x14ac:dyDescent="0.25">
      <c r="A79">
        <v>112</v>
      </c>
      <c r="B79" t="s">
        <v>155</v>
      </c>
      <c r="C79" t="s">
        <v>3</v>
      </c>
    </row>
    <row r="80" spans="1:3" x14ac:dyDescent="0.25">
      <c r="A80">
        <v>113</v>
      </c>
      <c r="B80" t="s">
        <v>156</v>
      </c>
      <c r="C80" t="s">
        <v>3</v>
      </c>
    </row>
    <row r="81" spans="1:3" x14ac:dyDescent="0.25">
      <c r="A81">
        <v>114</v>
      </c>
      <c r="B81" t="s">
        <v>157</v>
      </c>
      <c r="C81" t="s">
        <v>3</v>
      </c>
    </row>
    <row r="82" spans="1:3" x14ac:dyDescent="0.25">
      <c r="A82">
        <v>115</v>
      </c>
      <c r="B82" t="s">
        <v>158</v>
      </c>
      <c r="C82" t="s">
        <v>3</v>
      </c>
    </row>
    <row r="83" spans="1:3" x14ac:dyDescent="0.25">
      <c r="A83">
        <v>116</v>
      </c>
      <c r="B83" t="s">
        <v>159</v>
      </c>
      <c r="C83" t="s">
        <v>3</v>
      </c>
    </row>
    <row r="84" spans="1:3" x14ac:dyDescent="0.25">
      <c r="A84">
        <v>117</v>
      </c>
      <c r="B84" t="s">
        <v>160</v>
      </c>
      <c r="C84" t="s">
        <v>3</v>
      </c>
    </row>
    <row r="85" spans="1:3" x14ac:dyDescent="0.25">
      <c r="A85">
        <v>118</v>
      </c>
      <c r="B85" t="s">
        <v>161</v>
      </c>
      <c r="C85" t="s">
        <v>3</v>
      </c>
    </row>
    <row r="86" spans="1:3" x14ac:dyDescent="0.25">
      <c r="A86">
        <v>119</v>
      </c>
      <c r="B86" t="s">
        <v>162</v>
      </c>
      <c r="C86" t="s">
        <v>3</v>
      </c>
    </row>
    <row r="87" spans="1:3" x14ac:dyDescent="0.25">
      <c r="A87">
        <v>120</v>
      </c>
      <c r="B87" t="s">
        <v>163</v>
      </c>
      <c r="C87" t="s">
        <v>3</v>
      </c>
    </row>
    <row r="88" spans="1:3" x14ac:dyDescent="0.25">
      <c r="A88">
        <v>121</v>
      </c>
      <c r="B88" t="s">
        <v>164</v>
      </c>
      <c r="C88" t="s">
        <v>3</v>
      </c>
    </row>
    <row r="89" spans="1:3" x14ac:dyDescent="0.25">
      <c r="A89">
        <v>131</v>
      </c>
      <c r="B89" t="s">
        <v>166</v>
      </c>
      <c r="C89" t="s">
        <v>3</v>
      </c>
    </row>
    <row r="90" spans="1:3" x14ac:dyDescent="0.25">
      <c r="A90">
        <v>135</v>
      </c>
      <c r="B90" t="s">
        <v>168</v>
      </c>
      <c r="C90" t="s">
        <v>3</v>
      </c>
    </row>
    <row r="91" spans="1:3" x14ac:dyDescent="0.25">
      <c r="A91">
        <v>136</v>
      </c>
      <c r="B91" t="s">
        <v>169</v>
      </c>
      <c r="C91" t="s">
        <v>3</v>
      </c>
    </row>
    <row r="92" spans="1:3" x14ac:dyDescent="0.25">
      <c r="A92">
        <v>137</v>
      </c>
      <c r="B92" t="s">
        <v>170</v>
      </c>
      <c r="C92" t="s">
        <v>3</v>
      </c>
    </row>
    <row r="93" spans="1:3" x14ac:dyDescent="0.25">
      <c r="A93">
        <v>138</v>
      </c>
      <c r="B93" t="s">
        <v>171</v>
      </c>
      <c r="C93" t="s">
        <v>3</v>
      </c>
    </row>
    <row r="94" spans="1:3" x14ac:dyDescent="0.25">
      <c r="A94">
        <v>139</v>
      </c>
      <c r="B94" t="s">
        <v>172</v>
      </c>
      <c r="C94" t="s">
        <v>3</v>
      </c>
    </row>
    <row r="95" spans="1:3" x14ac:dyDescent="0.25">
      <c r="A95">
        <v>141</v>
      </c>
      <c r="B95" t="s">
        <v>173</v>
      </c>
      <c r="C95" t="s">
        <v>3</v>
      </c>
    </row>
    <row r="96" spans="1:3" x14ac:dyDescent="0.25">
      <c r="A96">
        <v>151</v>
      </c>
      <c r="B96" t="s">
        <v>175</v>
      </c>
      <c r="C96" t="s">
        <v>3</v>
      </c>
    </row>
    <row r="97" spans="1:3" x14ac:dyDescent="0.25">
      <c r="A97">
        <v>152</v>
      </c>
      <c r="B97" t="s">
        <v>176</v>
      </c>
      <c r="C97" t="s">
        <v>3</v>
      </c>
    </row>
    <row r="98" spans="1:3" x14ac:dyDescent="0.25">
      <c r="A98">
        <v>153</v>
      </c>
      <c r="B98" t="s">
        <v>177</v>
      </c>
      <c r="C98" t="s">
        <v>3</v>
      </c>
    </row>
    <row r="99" spans="1:3" x14ac:dyDescent="0.25">
      <c r="A99">
        <v>154</v>
      </c>
      <c r="B99" t="s">
        <v>178</v>
      </c>
      <c r="C99" t="s">
        <v>3</v>
      </c>
    </row>
    <row r="100" spans="1:3" x14ac:dyDescent="0.25">
      <c r="A100">
        <v>155</v>
      </c>
      <c r="B100" t="s">
        <v>179</v>
      </c>
      <c r="C100" t="s">
        <v>3</v>
      </c>
    </row>
    <row r="101" spans="1:3" x14ac:dyDescent="0.25">
      <c r="A101">
        <v>156</v>
      </c>
      <c r="B101" t="s">
        <v>180</v>
      </c>
      <c r="C101" t="s">
        <v>3</v>
      </c>
    </row>
    <row r="102" spans="1:3" x14ac:dyDescent="0.25">
      <c r="A102">
        <v>157</v>
      </c>
      <c r="B102" t="s">
        <v>181</v>
      </c>
      <c r="C102" t="s">
        <v>3</v>
      </c>
    </row>
    <row r="103" spans="1:3" x14ac:dyDescent="0.25">
      <c r="A103">
        <v>158</v>
      </c>
      <c r="B103" t="s">
        <v>182</v>
      </c>
      <c r="C103" t="s">
        <v>3</v>
      </c>
    </row>
    <row r="104" spans="1:3" x14ac:dyDescent="0.25">
      <c r="A104">
        <v>159</v>
      </c>
      <c r="B104" t="s">
        <v>183</v>
      </c>
      <c r="C104" t="s">
        <v>3</v>
      </c>
    </row>
    <row r="105" spans="1:3" x14ac:dyDescent="0.25">
      <c r="A105">
        <v>160</v>
      </c>
      <c r="B105" t="s">
        <v>184</v>
      </c>
      <c r="C105" t="s">
        <v>3</v>
      </c>
    </row>
    <row r="106" spans="1:3" x14ac:dyDescent="0.25">
      <c r="A106">
        <v>161</v>
      </c>
      <c r="B106" t="s">
        <v>185</v>
      </c>
      <c r="C106" t="s">
        <v>3</v>
      </c>
    </row>
    <row r="107" spans="1:3" x14ac:dyDescent="0.25">
      <c r="A107">
        <v>172</v>
      </c>
      <c r="B107" t="s">
        <v>187</v>
      </c>
      <c r="C107" t="s">
        <v>3</v>
      </c>
    </row>
    <row r="108" spans="1:3" x14ac:dyDescent="0.25">
      <c r="A108">
        <v>173</v>
      </c>
      <c r="B108" t="s">
        <v>188</v>
      </c>
      <c r="C108" t="s">
        <v>3</v>
      </c>
    </row>
    <row r="109" spans="1:3" x14ac:dyDescent="0.25">
      <c r="A109">
        <v>176</v>
      </c>
      <c r="B109" t="s">
        <v>190</v>
      </c>
      <c r="C109" t="s">
        <v>3</v>
      </c>
    </row>
    <row r="110" spans="1:3" x14ac:dyDescent="0.25">
      <c r="A110">
        <v>177</v>
      </c>
      <c r="B110" t="s">
        <v>191</v>
      </c>
      <c r="C110" t="s">
        <v>3</v>
      </c>
    </row>
    <row r="111" spans="1:3" x14ac:dyDescent="0.25">
      <c r="A111">
        <v>178</v>
      </c>
      <c r="B111" t="s">
        <v>192</v>
      </c>
      <c r="C111" t="s">
        <v>3</v>
      </c>
    </row>
    <row r="112" spans="1:3" x14ac:dyDescent="0.25">
      <c r="A112">
        <v>180</v>
      </c>
      <c r="B112" t="s">
        <v>193</v>
      </c>
      <c r="C112" t="s">
        <v>3</v>
      </c>
    </row>
    <row r="113" spans="1:3" x14ac:dyDescent="0.25">
      <c r="A113">
        <v>181</v>
      </c>
      <c r="B113" t="s">
        <v>194</v>
      </c>
      <c r="C113" t="s">
        <v>3</v>
      </c>
    </row>
    <row r="114" spans="1:3" x14ac:dyDescent="0.25">
      <c r="A114">
        <v>182</v>
      </c>
      <c r="B114" t="s">
        <v>195</v>
      </c>
      <c r="C114" t="s">
        <v>3</v>
      </c>
    </row>
    <row r="115" spans="1:3" x14ac:dyDescent="0.25">
      <c r="A115">
        <v>191</v>
      </c>
      <c r="B115" t="s">
        <v>196</v>
      </c>
      <c r="C115" t="s">
        <v>3</v>
      </c>
    </row>
    <row r="116" spans="1:3" x14ac:dyDescent="0.25">
      <c r="A116">
        <v>192</v>
      </c>
      <c r="B116" t="s">
        <v>197</v>
      </c>
      <c r="C116" t="s">
        <v>3</v>
      </c>
    </row>
    <row r="117" spans="1:3" x14ac:dyDescent="0.25">
      <c r="A117">
        <v>193</v>
      </c>
      <c r="B117" t="s">
        <v>198</v>
      </c>
      <c r="C117" t="s">
        <v>3</v>
      </c>
    </row>
    <row r="118" spans="1:3" x14ac:dyDescent="0.25">
      <c r="A118">
        <v>194</v>
      </c>
      <c r="B118" t="s">
        <v>199</v>
      </c>
      <c r="C118" t="s">
        <v>3</v>
      </c>
    </row>
    <row r="119" spans="1:3" x14ac:dyDescent="0.25">
      <c r="A119">
        <v>195</v>
      </c>
      <c r="B119" t="s">
        <v>200</v>
      </c>
      <c r="C119" t="s">
        <v>3</v>
      </c>
    </row>
    <row r="120" spans="1:3" x14ac:dyDescent="0.25">
      <c r="A120">
        <v>196</v>
      </c>
      <c r="B120" t="s">
        <v>201</v>
      </c>
      <c r="C120" t="s">
        <v>3</v>
      </c>
    </row>
    <row r="121" spans="1:3" x14ac:dyDescent="0.25">
      <c r="A121">
        <v>197</v>
      </c>
      <c r="B121" t="s">
        <v>202</v>
      </c>
      <c r="C121" t="s">
        <v>3</v>
      </c>
    </row>
    <row r="122" spans="1:3" x14ac:dyDescent="0.25">
      <c r="A122">
        <v>198</v>
      </c>
      <c r="B122" t="s">
        <v>203</v>
      </c>
      <c r="C122" t="s">
        <v>3</v>
      </c>
    </row>
    <row r="123" spans="1:3" x14ac:dyDescent="0.25">
      <c r="A123">
        <v>199</v>
      </c>
      <c r="B123" t="s">
        <v>204</v>
      </c>
      <c r="C123" t="s">
        <v>3</v>
      </c>
    </row>
    <row r="124" spans="1:3" x14ac:dyDescent="0.25">
      <c r="A124">
        <v>200</v>
      </c>
      <c r="B124" t="s">
        <v>205</v>
      </c>
      <c r="C124" t="s">
        <v>3</v>
      </c>
    </row>
    <row r="125" spans="1:3" x14ac:dyDescent="0.25">
      <c r="A125">
        <v>211</v>
      </c>
      <c r="B125" t="s">
        <v>206</v>
      </c>
      <c r="C125" t="s">
        <v>3</v>
      </c>
    </row>
    <row r="126" spans="1:3" x14ac:dyDescent="0.25">
      <c r="A126">
        <v>213</v>
      </c>
      <c r="B126" t="s">
        <v>207</v>
      </c>
      <c r="C126" t="s">
        <v>3</v>
      </c>
    </row>
    <row r="127" spans="1:3" x14ac:dyDescent="0.25">
      <c r="A127">
        <v>214</v>
      </c>
      <c r="B127" t="s">
        <v>208</v>
      </c>
      <c r="C127" t="s">
        <v>3</v>
      </c>
    </row>
    <row r="128" spans="1:3" x14ac:dyDescent="0.25">
      <c r="A128">
        <v>215</v>
      </c>
      <c r="B128" t="s">
        <v>209</v>
      </c>
      <c r="C128" t="s">
        <v>3</v>
      </c>
    </row>
    <row r="129" spans="1:3" x14ac:dyDescent="0.25">
      <c r="A129">
        <v>216</v>
      </c>
      <c r="B129" t="s">
        <v>210</v>
      </c>
      <c r="C129" t="s">
        <v>3</v>
      </c>
    </row>
    <row r="130" spans="1:3" x14ac:dyDescent="0.25">
      <c r="A130">
        <v>218</v>
      </c>
      <c r="B130" t="s">
        <v>212</v>
      </c>
      <c r="C130" t="s">
        <v>3</v>
      </c>
    </row>
    <row r="131" spans="1:3" x14ac:dyDescent="0.25">
      <c r="A131">
        <v>219</v>
      </c>
      <c r="B131" t="s">
        <v>213</v>
      </c>
      <c r="C131" t="s">
        <v>3</v>
      </c>
    </row>
    <row r="132" spans="1:3" x14ac:dyDescent="0.25">
      <c r="A132">
        <v>220</v>
      </c>
      <c r="B132" t="s">
        <v>214</v>
      </c>
      <c r="C132" t="s">
        <v>3</v>
      </c>
    </row>
    <row r="133" spans="1:3" x14ac:dyDescent="0.25">
      <c r="A133">
        <v>221</v>
      </c>
      <c r="B133" t="s">
        <v>215</v>
      </c>
      <c r="C133" t="s">
        <v>3</v>
      </c>
    </row>
    <row r="134" spans="1:3" x14ac:dyDescent="0.25">
      <c r="A134">
        <v>223</v>
      </c>
      <c r="B134" t="s">
        <v>216</v>
      </c>
      <c r="C134" t="s">
        <v>3</v>
      </c>
    </row>
    <row r="135" spans="1:3" x14ac:dyDescent="0.25">
      <c r="A135">
        <v>224</v>
      </c>
      <c r="B135" t="s">
        <v>217</v>
      </c>
      <c r="C135" t="s">
        <v>3</v>
      </c>
    </row>
    <row r="136" spans="1:3" x14ac:dyDescent="0.25">
      <c r="A136">
        <v>225</v>
      </c>
      <c r="B136" t="s">
        <v>218</v>
      </c>
      <c r="C136" t="s">
        <v>3</v>
      </c>
    </row>
    <row r="137" spans="1:3" x14ac:dyDescent="0.25">
      <c r="A137">
        <v>226</v>
      </c>
      <c r="B137" t="s">
        <v>219</v>
      </c>
      <c r="C137" t="s">
        <v>3</v>
      </c>
    </row>
    <row r="138" spans="1:3" x14ac:dyDescent="0.25">
      <c r="A138">
        <v>227</v>
      </c>
      <c r="B138" t="s">
        <v>220</v>
      </c>
      <c r="C138" t="s">
        <v>3</v>
      </c>
    </row>
    <row r="139" spans="1:3" x14ac:dyDescent="0.25">
      <c r="A139">
        <v>228</v>
      </c>
      <c r="B139" t="s">
        <v>221</v>
      </c>
      <c r="C139" t="s">
        <v>3</v>
      </c>
    </row>
    <row r="140" spans="1:3" x14ac:dyDescent="0.25">
      <c r="A140">
        <v>230</v>
      </c>
      <c r="B140" t="s">
        <v>223</v>
      </c>
      <c r="C140" t="s">
        <v>3</v>
      </c>
    </row>
    <row r="141" spans="1:3" x14ac:dyDescent="0.25">
      <c r="A141">
        <v>231</v>
      </c>
      <c r="B141" t="s">
        <v>224</v>
      </c>
      <c r="C141" t="s">
        <v>3</v>
      </c>
    </row>
    <row r="142" spans="1:3" x14ac:dyDescent="0.25">
      <c r="A142">
        <v>241</v>
      </c>
      <c r="B142" t="s">
        <v>225</v>
      </c>
      <c r="C142" t="s">
        <v>3</v>
      </c>
    </row>
    <row r="143" spans="1:3" x14ac:dyDescent="0.25">
      <c r="A143">
        <v>242</v>
      </c>
      <c r="B143" t="s">
        <v>226</v>
      </c>
      <c r="C143" t="s">
        <v>3</v>
      </c>
    </row>
    <row r="144" spans="1:3" x14ac:dyDescent="0.25">
      <c r="A144">
        <v>243</v>
      </c>
      <c r="B144" t="s">
        <v>227</v>
      </c>
      <c r="C144" t="s">
        <v>3</v>
      </c>
    </row>
    <row r="145" spans="1:3" x14ac:dyDescent="0.25">
      <c r="A145">
        <v>244</v>
      </c>
      <c r="B145" t="s">
        <v>228</v>
      </c>
      <c r="C145" t="s">
        <v>3</v>
      </c>
    </row>
    <row r="146" spans="1:3" x14ac:dyDescent="0.25">
      <c r="A146">
        <v>245</v>
      </c>
      <c r="B146" t="s">
        <v>229</v>
      </c>
      <c r="C146" t="s">
        <v>3</v>
      </c>
    </row>
    <row r="147" spans="1:3" x14ac:dyDescent="0.25">
      <c r="A147">
        <v>246</v>
      </c>
      <c r="B147" t="s">
        <v>230</v>
      </c>
      <c r="C147" t="s">
        <v>3</v>
      </c>
    </row>
    <row r="148" spans="1:3" x14ac:dyDescent="0.25">
      <c r="A148">
        <v>247</v>
      </c>
      <c r="B148" t="s">
        <v>231</v>
      </c>
      <c r="C148" t="s">
        <v>3</v>
      </c>
    </row>
    <row r="149" spans="1:3" x14ac:dyDescent="0.25">
      <c r="A149">
        <v>248</v>
      </c>
      <c r="B149" t="s">
        <v>232</v>
      </c>
      <c r="C149" t="s">
        <v>3</v>
      </c>
    </row>
    <row r="150" spans="1:3" x14ac:dyDescent="0.25">
      <c r="A150">
        <v>249</v>
      </c>
      <c r="B150" t="s">
        <v>233</v>
      </c>
      <c r="C150" t="s">
        <v>3</v>
      </c>
    </row>
    <row r="151" spans="1:3" x14ac:dyDescent="0.25">
      <c r="A151">
        <v>250</v>
      </c>
      <c r="B151" t="s">
        <v>234</v>
      </c>
      <c r="C151" t="s">
        <v>3</v>
      </c>
    </row>
    <row r="152" spans="1:3" x14ac:dyDescent="0.25">
      <c r="A152">
        <v>251</v>
      </c>
      <c r="B152" t="s">
        <v>235</v>
      </c>
      <c r="C152" t="s">
        <v>3</v>
      </c>
    </row>
    <row r="153" spans="1:3" x14ac:dyDescent="0.25">
      <c r="A153">
        <v>261</v>
      </c>
      <c r="B153" t="s">
        <v>4</v>
      </c>
      <c r="C153" t="s">
        <v>3</v>
      </c>
    </row>
    <row r="154" spans="1:3" x14ac:dyDescent="0.25">
      <c r="A154">
        <v>291</v>
      </c>
      <c r="B154" t="s">
        <v>99</v>
      </c>
      <c r="C154" t="s">
        <v>3</v>
      </c>
    </row>
    <row r="155" spans="1:3" x14ac:dyDescent="0.25">
      <c r="A155">
        <v>292</v>
      </c>
      <c r="B155" t="s">
        <v>236</v>
      </c>
      <c r="C155" t="s">
        <v>3</v>
      </c>
    </row>
    <row r="156" spans="1:3" x14ac:dyDescent="0.25">
      <c r="A156">
        <v>293</v>
      </c>
      <c r="B156" t="s">
        <v>174</v>
      </c>
      <c r="C156" t="s">
        <v>3</v>
      </c>
    </row>
    <row r="157" spans="1:3" x14ac:dyDescent="0.25">
      <c r="A157">
        <v>294</v>
      </c>
      <c r="B157" t="s">
        <v>211</v>
      </c>
      <c r="C157" t="s">
        <v>3</v>
      </c>
    </row>
    <row r="158" spans="1:3" x14ac:dyDescent="0.25">
      <c r="A158">
        <v>295</v>
      </c>
      <c r="B158" t="s">
        <v>167</v>
      </c>
      <c r="C158" t="s">
        <v>3</v>
      </c>
    </row>
    <row r="159" spans="1:3" x14ac:dyDescent="0.25">
      <c r="A159">
        <v>296</v>
      </c>
      <c r="B159" t="s">
        <v>189</v>
      </c>
      <c r="C159" t="s">
        <v>3</v>
      </c>
    </row>
    <row r="160" spans="1:3" x14ac:dyDescent="0.25">
      <c r="A160">
        <v>297</v>
      </c>
      <c r="B160" t="s">
        <v>186</v>
      </c>
      <c r="C160" t="s">
        <v>3</v>
      </c>
    </row>
    <row r="161" spans="1:3" x14ac:dyDescent="0.25">
      <c r="A161">
        <v>298</v>
      </c>
      <c r="B161" t="s">
        <v>222</v>
      </c>
      <c r="C161" t="s">
        <v>3</v>
      </c>
    </row>
    <row r="162" spans="1:3" x14ac:dyDescent="0.25">
      <c r="A162">
        <v>301</v>
      </c>
      <c r="B162" t="s">
        <v>237</v>
      </c>
      <c r="C162" t="s">
        <v>6</v>
      </c>
    </row>
    <row r="163" spans="1:3" x14ac:dyDescent="0.25">
      <c r="A163">
        <v>302</v>
      </c>
      <c r="B163" t="s">
        <v>238</v>
      </c>
      <c r="C163" t="s">
        <v>6</v>
      </c>
    </row>
    <row r="164" spans="1:3" x14ac:dyDescent="0.25">
      <c r="A164">
        <v>303</v>
      </c>
      <c r="B164" t="s">
        <v>239</v>
      </c>
      <c r="C164" t="s">
        <v>6</v>
      </c>
    </row>
    <row r="165" spans="1:3" x14ac:dyDescent="0.25">
      <c r="A165">
        <v>304</v>
      </c>
      <c r="B165" t="s">
        <v>240</v>
      </c>
      <c r="C165" t="s">
        <v>6</v>
      </c>
    </row>
    <row r="166" spans="1:3" x14ac:dyDescent="0.25">
      <c r="A166">
        <v>305</v>
      </c>
      <c r="B166" t="s">
        <v>241</v>
      </c>
      <c r="C166" t="s">
        <v>6</v>
      </c>
    </row>
    <row r="167" spans="1:3" x14ac:dyDescent="0.25">
      <c r="A167">
        <v>306</v>
      </c>
      <c r="B167" t="s">
        <v>242</v>
      </c>
      <c r="C167" t="s">
        <v>6</v>
      </c>
    </row>
    <row r="168" spans="1:3" x14ac:dyDescent="0.25">
      <c r="A168">
        <v>307</v>
      </c>
      <c r="B168" t="s">
        <v>243</v>
      </c>
      <c r="C168" t="s">
        <v>6</v>
      </c>
    </row>
    <row r="169" spans="1:3" x14ac:dyDescent="0.25">
      <c r="A169">
        <v>309</v>
      </c>
      <c r="B169" t="s">
        <v>244</v>
      </c>
      <c r="C169" t="s">
        <v>6</v>
      </c>
    </row>
    <row r="170" spans="1:3" x14ac:dyDescent="0.25">
      <c r="A170">
        <v>310</v>
      </c>
      <c r="B170" t="s">
        <v>245</v>
      </c>
      <c r="C170" t="s">
        <v>6</v>
      </c>
    </row>
    <row r="171" spans="1:3" x14ac:dyDescent="0.25">
      <c r="A171">
        <v>311</v>
      </c>
      <c r="B171" t="s">
        <v>246</v>
      </c>
      <c r="C171" t="s">
        <v>6</v>
      </c>
    </row>
    <row r="172" spans="1:3" x14ac:dyDescent="0.25">
      <c r="A172">
        <v>312</v>
      </c>
      <c r="B172" t="s">
        <v>247</v>
      </c>
      <c r="C172" t="s">
        <v>6</v>
      </c>
    </row>
    <row r="173" spans="1:3" x14ac:dyDescent="0.25">
      <c r="A173">
        <v>321</v>
      </c>
      <c r="B173" t="s">
        <v>248</v>
      </c>
      <c r="C173" t="s">
        <v>6</v>
      </c>
    </row>
    <row r="174" spans="1:3" x14ac:dyDescent="0.25">
      <c r="A174">
        <v>322</v>
      </c>
      <c r="B174" t="s">
        <v>249</v>
      </c>
      <c r="C174" t="s">
        <v>6</v>
      </c>
    </row>
    <row r="175" spans="1:3" x14ac:dyDescent="0.25">
      <c r="A175">
        <v>323</v>
      </c>
      <c r="B175" t="s">
        <v>250</v>
      </c>
      <c r="C175" t="s">
        <v>6</v>
      </c>
    </row>
    <row r="176" spans="1:3" x14ac:dyDescent="0.25">
      <c r="A176">
        <v>324</v>
      </c>
      <c r="B176" t="s">
        <v>251</v>
      </c>
      <c r="C176" t="s">
        <v>6</v>
      </c>
    </row>
    <row r="177" spans="1:3" x14ac:dyDescent="0.25">
      <c r="A177">
        <v>325</v>
      </c>
      <c r="B177" t="s">
        <v>252</v>
      </c>
      <c r="C177" t="s">
        <v>6</v>
      </c>
    </row>
    <row r="178" spans="1:3" x14ac:dyDescent="0.25">
      <c r="A178">
        <v>326</v>
      </c>
      <c r="B178" t="s">
        <v>253</v>
      </c>
      <c r="C178" t="s">
        <v>6</v>
      </c>
    </row>
    <row r="179" spans="1:3" x14ac:dyDescent="0.25">
      <c r="A179">
        <v>329</v>
      </c>
      <c r="B179" t="s">
        <v>254</v>
      </c>
      <c r="C179" t="s">
        <v>6</v>
      </c>
    </row>
    <row r="180" spans="1:3" x14ac:dyDescent="0.25">
      <c r="A180">
        <v>331</v>
      </c>
      <c r="B180" t="s">
        <v>255</v>
      </c>
      <c r="C180" t="s">
        <v>6</v>
      </c>
    </row>
    <row r="181" spans="1:3" x14ac:dyDescent="0.25">
      <c r="A181">
        <v>332</v>
      </c>
      <c r="B181" t="s">
        <v>256</v>
      </c>
      <c r="C181" t="s">
        <v>6</v>
      </c>
    </row>
    <row r="182" spans="1:3" x14ac:dyDescent="0.25">
      <c r="A182">
        <v>333</v>
      </c>
      <c r="B182" t="s">
        <v>257</v>
      </c>
      <c r="C182" t="s">
        <v>6</v>
      </c>
    </row>
    <row r="183" spans="1:3" x14ac:dyDescent="0.25">
      <c r="A183">
        <v>335</v>
      </c>
      <c r="B183" t="s">
        <v>258</v>
      </c>
      <c r="C183" t="s">
        <v>6</v>
      </c>
    </row>
    <row r="184" spans="1:3" x14ac:dyDescent="0.25">
      <c r="A184">
        <v>336</v>
      </c>
      <c r="B184" t="s">
        <v>259</v>
      </c>
      <c r="C184" t="s">
        <v>6</v>
      </c>
    </row>
    <row r="185" spans="1:3" x14ac:dyDescent="0.25">
      <c r="A185">
        <v>337</v>
      </c>
      <c r="B185" t="s">
        <v>260</v>
      </c>
      <c r="C185" t="s">
        <v>6</v>
      </c>
    </row>
    <row r="186" spans="1:3" x14ac:dyDescent="0.25">
      <c r="A186">
        <v>338</v>
      </c>
      <c r="B186" t="s">
        <v>261</v>
      </c>
      <c r="C186" t="s">
        <v>6</v>
      </c>
    </row>
    <row r="187" spans="1:3" x14ac:dyDescent="0.25">
      <c r="A187">
        <v>339</v>
      </c>
      <c r="B187" t="s">
        <v>262</v>
      </c>
      <c r="C187" t="s">
        <v>6</v>
      </c>
    </row>
    <row r="188" spans="1:3" x14ac:dyDescent="0.25">
      <c r="A188">
        <v>340</v>
      </c>
      <c r="B188" t="s">
        <v>263</v>
      </c>
      <c r="C188" t="s">
        <v>6</v>
      </c>
    </row>
    <row r="189" spans="1:3" x14ac:dyDescent="0.25">
      <c r="A189">
        <v>341</v>
      </c>
      <c r="B189" t="s">
        <v>264</v>
      </c>
      <c r="C189" t="s">
        <v>6</v>
      </c>
    </row>
    <row r="190" spans="1:3" x14ac:dyDescent="0.25">
      <c r="A190">
        <v>342</v>
      </c>
      <c r="B190" t="s">
        <v>265</v>
      </c>
      <c r="C190" t="s">
        <v>6</v>
      </c>
    </row>
    <row r="191" spans="1:3" x14ac:dyDescent="0.25">
      <c r="A191">
        <v>344</v>
      </c>
      <c r="B191" t="s">
        <v>266</v>
      </c>
      <c r="C191" t="s">
        <v>6</v>
      </c>
    </row>
    <row r="192" spans="1:3" x14ac:dyDescent="0.25">
      <c r="A192">
        <v>345</v>
      </c>
      <c r="B192" t="s">
        <v>267</v>
      </c>
      <c r="C192" t="s">
        <v>6</v>
      </c>
    </row>
    <row r="193" spans="1:3" x14ac:dyDescent="0.25">
      <c r="A193">
        <v>351</v>
      </c>
      <c r="B193" t="s">
        <v>7</v>
      </c>
      <c r="C193" t="s">
        <v>6</v>
      </c>
    </row>
    <row r="194" spans="1:3" x14ac:dyDescent="0.25">
      <c r="A194">
        <v>352</v>
      </c>
      <c r="B194" t="s">
        <v>268</v>
      </c>
      <c r="C194" t="s">
        <v>6</v>
      </c>
    </row>
    <row r="195" spans="1:3" x14ac:dyDescent="0.25">
      <c r="A195">
        <v>353</v>
      </c>
      <c r="B195" t="s">
        <v>269</v>
      </c>
      <c r="C195" t="s">
        <v>6</v>
      </c>
    </row>
    <row r="196" spans="1:3" x14ac:dyDescent="0.25">
      <c r="A196">
        <v>354</v>
      </c>
      <c r="B196" t="s">
        <v>270</v>
      </c>
      <c r="C196" t="s">
        <v>6</v>
      </c>
    </row>
    <row r="197" spans="1:3" x14ac:dyDescent="0.25">
      <c r="A197">
        <v>355</v>
      </c>
      <c r="B197" t="s">
        <v>271</v>
      </c>
      <c r="C197" t="s">
        <v>6</v>
      </c>
    </row>
    <row r="198" spans="1:3" x14ac:dyDescent="0.25">
      <c r="A198">
        <v>356</v>
      </c>
      <c r="B198" t="s">
        <v>272</v>
      </c>
      <c r="C198" t="s">
        <v>6</v>
      </c>
    </row>
    <row r="199" spans="1:3" x14ac:dyDescent="0.25">
      <c r="A199">
        <v>357</v>
      </c>
      <c r="B199" t="s">
        <v>273</v>
      </c>
      <c r="C199" t="s">
        <v>6</v>
      </c>
    </row>
    <row r="200" spans="1:3" x14ac:dyDescent="0.25">
      <c r="A200">
        <v>358</v>
      </c>
      <c r="B200" t="s">
        <v>274</v>
      </c>
      <c r="C200" t="s">
        <v>6</v>
      </c>
    </row>
    <row r="201" spans="1:3" x14ac:dyDescent="0.25">
      <c r="A201">
        <v>359</v>
      </c>
      <c r="B201" t="s">
        <v>275</v>
      </c>
      <c r="C201" t="s">
        <v>6</v>
      </c>
    </row>
    <row r="202" spans="1:3" x14ac:dyDescent="0.25">
      <c r="A202">
        <v>360</v>
      </c>
      <c r="B202" t="s">
        <v>276</v>
      </c>
      <c r="C202" t="s">
        <v>6</v>
      </c>
    </row>
    <row r="203" spans="1:3" x14ac:dyDescent="0.25">
      <c r="A203">
        <v>361</v>
      </c>
      <c r="B203" t="s">
        <v>277</v>
      </c>
      <c r="C203" t="s">
        <v>6</v>
      </c>
    </row>
    <row r="204" spans="1:3" x14ac:dyDescent="0.25">
      <c r="A204">
        <v>362</v>
      </c>
      <c r="B204" t="s">
        <v>278</v>
      </c>
      <c r="C204" t="s">
        <v>6</v>
      </c>
    </row>
    <row r="205" spans="1:3" x14ac:dyDescent="0.25">
      <c r="A205">
        <v>363</v>
      </c>
      <c r="B205" t="s">
        <v>279</v>
      </c>
      <c r="C205" t="s">
        <v>6</v>
      </c>
    </row>
    <row r="206" spans="1:3" x14ac:dyDescent="0.25">
      <c r="A206">
        <v>371</v>
      </c>
      <c r="B206" t="s">
        <v>280</v>
      </c>
      <c r="C206" t="s">
        <v>6</v>
      </c>
    </row>
    <row r="207" spans="1:3" x14ac:dyDescent="0.25">
      <c r="A207">
        <v>372</v>
      </c>
      <c r="B207" t="s">
        <v>281</v>
      </c>
      <c r="C207" t="s">
        <v>6</v>
      </c>
    </row>
    <row r="208" spans="1:3" x14ac:dyDescent="0.25">
      <c r="A208">
        <v>381</v>
      </c>
      <c r="B208" t="s">
        <v>282</v>
      </c>
      <c r="C208" t="s">
        <v>6</v>
      </c>
    </row>
    <row r="209" spans="1:3" x14ac:dyDescent="0.25">
      <c r="A209">
        <v>382</v>
      </c>
      <c r="B209" t="s">
        <v>283</v>
      </c>
      <c r="C209" t="s">
        <v>6</v>
      </c>
    </row>
    <row r="210" spans="1:3" x14ac:dyDescent="0.25">
      <c r="A210">
        <v>383</v>
      </c>
      <c r="B210" t="s">
        <v>284</v>
      </c>
      <c r="C210" t="s">
        <v>6</v>
      </c>
    </row>
    <row r="211" spans="1:3" x14ac:dyDescent="0.25">
      <c r="A211">
        <v>385</v>
      </c>
      <c r="B211" t="s">
        <v>285</v>
      </c>
      <c r="C211" t="s">
        <v>6</v>
      </c>
    </row>
    <row r="212" spans="1:3" x14ac:dyDescent="0.25">
      <c r="A212">
        <v>386</v>
      </c>
      <c r="B212" t="s">
        <v>286</v>
      </c>
      <c r="C212" t="s">
        <v>6</v>
      </c>
    </row>
    <row r="213" spans="1:3" x14ac:dyDescent="0.25">
      <c r="A213">
        <v>387</v>
      </c>
      <c r="B213" t="s">
        <v>287</v>
      </c>
      <c r="C213" t="s">
        <v>6</v>
      </c>
    </row>
    <row r="214" spans="1:3" x14ac:dyDescent="0.25">
      <c r="A214">
        <v>388</v>
      </c>
      <c r="B214" t="s">
        <v>288</v>
      </c>
      <c r="C214" t="s">
        <v>6</v>
      </c>
    </row>
    <row r="215" spans="1:3" x14ac:dyDescent="0.25">
      <c r="A215">
        <v>389</v>
      </c>
      <c r="B215" t="s">
        <v>289</v>
      </c>
      <c r="C215" t="s">
        <v>6</v>
      </c>
    </row>
    <row r="216" spans="1:3" x14ac:dyDescent="0.25">
      <c r="A216">
        <v>390</v>
      </c>
      <c r="B216" t="s">
        <v>290</v>
      </c>
      <c r="C216" t="s">
        <v>6</v>
      </c>
    </row>
    <row r="217" spans="1:3" x14ac:dyDescent="0.25">
      <c r="A217">
        <v>391</v>
      </c>
      <c r="B217" t="s">
        <v>291</v>
      </c>
      <c r="C217" t="s">
        <v>6</v>
      </c>
    </row>
    <row r="218" spans="1:3" x14ac:dyDescent="0.25">
      <c r="A218">
        <v>392</v>
      </c>
      <c r="B218" t="s">
        <v>292</v>
      </c>
      <c r="C218" t="s">
        <v>6</v>
      </c>
    </row>
    <row r="219" spans="1:3" x14ac:dyDescent="0.25">
      <c r="A219">
        <v>393</v>
      </c>
      <c r="B219" t="s">
        <v>293</v>
      </c>
      <c r="C219" t="s">
        <v>6</v>
      </c>
    </row>
    <row r="220" spans="1:3" x14ac:dyDescent="0.25">
      <c r="A220">
        <v>394</v>
      </c>
      <c r="B220" t="s">
        <v>294</v>
      </c>
      <c r="C220" t="s">
        <v>6</v>
      </c>
    </row>
    <row r="221" spans="1:3" x14ac:dyDescent="0.25">
      <c r="A221">
        <v>401</v>
      </c>
      <c r="B221" t="s">
        <v>295</v>
      </c>
      <c r="C221" t="s">
        <v>6</v>
      </c>
    </row>
    <row r="222" spans="1:3" x14ac:dyDescent="0.25">
      <c r="A222">
        <v>402</v>
      </c>
      <c r="B222" t="s">
        <v>296</v>
      </c>
      <c r="C222" t="s">
        <v>6</v>
      </c>
    </row>
    <row r="223" spans="1:3" x14ac:dyDescent="0.25">
      <c r="A223">
        <v>403</v>
      </c>
      <c r="B223" t="s">
        <v>297</v>
      </c>
      <c r="C223" t="s">
        <v>6</v>
      </c>
    </row>
    <row r="224" spans="1:3" x14ac:dyDescent="0.25">
      <c r="A224">
        <v>404</v>
      </c>
      <c r="B224" t="s">
        <v>298</v>
      </c>
      <c r="C224" t="s">
        <v>6</v>
      </c>
    </row>
    <row r="225" spans="1:3" x14ac:dyDescent="0.25">
      <c r="A225">
        <v>405</v>
      </c>
      <c r="B225" t="s">
        <v>299</v>
      </c>
      <c r="C225" t="s">
        <v>6</v>
      </c>
    </row>
    <row r="226" spans="1:3" x14ac:dyDescent="0.25">
      <c r="A226">
        <v>406</v>
      </c>
      <c r="B226" t="s">
        <v>300</v>
      </c>
      <c r="C226" t="s">
        <v>6</v>
      </c>
    </row>
    <row r="227" spans="1:3" x14ac:dyDescent="0.25">
      <c r="A227">
        <v>407</v>
      </c>
      <c r="B227" t="s">
        <v>301</v>
      </c>
      <c r="C227" t="s">
        <v>6</v>
      </c>
    </row>
    <row r="228" spans="1:3" x14ac:dyDescent="0.25">
      <c r="A228">
        <v>408</v>
      </c>
      <c r="B228" t="s">
        <v>302</v>
      </c>
      <c r="C228" t="s">
        <v>6</v>
      </c>
    </row>
    <row r="229" spans="1:3" x14ac:dyDescent="0.25">
      <c r="A229">
        <v>409</v>
      </c>
      <c r="B229" t="s">
        <v>303</v>
      </c>
      <c r="C229" t="s">
        <v>6</v>
      </c>
    </row>
    <row r="230" spans="1:3" x14ac:dyDescent="0.25">
      <c r="A230">
        <v>410</v>
      </c>
      <c r="B230" t="s">
        <v>304</v>
      </c>
      <c r="C230" t="s">
        <v>6</v>
      </c>
    </row>
    <row r="231" spans="1:3" x14ac:dyDescent="0.25">
      <c r="A231">
        <v>411</v>
      </c>
      <c r="B231" t="s">
        <v>305</v>
      </c>
      <c r="C231" t="s">
        <v>6</v>
      </c>
    </row>
    <row r="232" spans="1:3" x14ac:dyDescent="0.25">
      <c r="A232">
        <v>412</v>
      </c>
      <c r="B232" t="s">
        <v>306</v>
      </c>
      <c r="C232" t="s">
        <v>6</v>
      </c>
    </row>
    <row r="233" spans="1:3" x14ac:dyDescent="0.25">
      <c r="A233">
        <v>413</v>
      </c>
      <c r="B233" t="s">
        <v>307</v>
      </c>
      <c r="C233" t="s">
        <v>6</v>
      </c>
    </row>
    <row r="234" spans="1:3" x14ac:dyDescent="0.25">
      <c r="A234">
        <v>414</v>
      </c>
      <c r="B234" t="s">
        <v>308</v>
      </c>
      <c r="C234" t="s">
        <v>6</v>
      </c>
    </row>
    <row r="235" spans="1:3" x14ac:dyDescent="0.25">
      <c r="A235">
        <v>415</v>
      </c>
      <c r="B235" t="s">
        <v>309</v>
      </c>
      <c r="C235" t="s">
        <v>6</v>
      </c>
    </row>
    <row r="236" spans="1:3" x14ac:dyDescent="0.25">
      <c r="A236">
        <v>418</v>
      </c>
      <c r="B236" t="s">
        <v>310</v>
      </c>
      <c r="C236" t="s">
        <v>6</v>
      </c>
    </row>
    <row r="237" spans="1:3" x14ac:dyDescent="0.25">
      <c r="A237">
        <v>420</v>
      </c>
      <c r="B237" t="s">
        <v>311</v>
      </c>
      <c r="C237" t="s">
        <v>6</v>
      </c>
    </row>
    <row r="238" spans="1:3" x14ac:dyDescent="0.25">
      <c r="A238">
        <v>421</v>
      </c>
      <c r="B238" t="s">
        <v>312</v>
      </c>
      <c r="C238" t="s">
        <v>6</v>
      </c>
    </row>
    <row r="239" spans="1:3" x14ac:dyDescent="0.25">
      <c r="A239">
        <v>422</v>
      </c>
      <c r="B239" t="s">
        <v>313</v>
      </c>
      <c r="C239" t="s">
        <v>6</v>
      </c>
    </row>
    <row r="240" spans="1:3" x14ac:dyDescent="0.25">
      <c r="A240">
        <v>423</v>
      </c>
      <c r="B240" t="s">
        <v>314</v>
      </c>
      <c r="C240" t="s">
        <v>6</v>
      </c>
    </row>
    <row r="241" spans="1:3" x14ac:dyDescent="0.25">
      <c r="A241">
        <v>424</v>
      </c>
      <c r="B241" t="s">
        <v>315</v>
      </c>
      <c r="C241" t="s">
        <v>6</v>
      </c>
    </row>
    <row r="242" spans="1:3" x14ac:dyDescent="0.25">
      <c r="A242">
        <v>431</v>
      </c>
      <c r="B242" t="s">
        <v>316</v>
      </c>
      <c r="C242" t="s">
        <v>6</v>
      </c>
    </row>
    <row r="243" spans="1:3" x14ac:dyDescent="0.25">
      <c r="A243">
        <v>432</v>
      </c>
      <c r="B243" t="s">
        <v>317</v>
      </c>
      <c r="C243" t="s">
        <v>6</v>
      </c>
    </row>
    <row r="244" spans="1:3" x14ac:dyDescent="0.25">
      <c r="A244">
        <v>433</v>
      </c>
      <c r="B244" t="s">
        <v>318</v>
      </c>
      <c r="C244" t="s">
        <v>6</v>
      </c>
    </row>
    <row r="245" spans="1:3" x14ac:dyDescent="0.25">
      <c r="A245">
        <v>434</v>
      </c>
      <c r="B245" t="s">
        <v>319</v>
      </c>
      <c r="C245" t="s">
        <v>6</v>
      </c>
    </row>
    <row r="246" spans="1:3" x14ac:dyDescent="0.25">
      <c r="A246">
        <v>435</v>
      </c>
      <c r="B246" t="s">
        <v>320</v>
      </c>
      <c r="C246" t="s">
        <v>6</v>
      </c>
    </row>
    <row r="247" spans="1:3" x14ac:dyDescent="0.25">
      <c r="A247">
        <v>437</v>
      </c>
      <c r="B247" t="s">
        <v>321</v>
      </c>
      <c r="C247" t="s">
        <v>6</v>
      </c>
    </row>
    <row r="248" spans="1:3" x14ac:dyDescent="0.25">
      <c r="A248">
        <v>438</v>
      </c>
      <c r="B248" t="s">
        <v>322</v>
      </c>
      <c r="C248" t="s">
        <v>6</v>
      </c>
    </row>
    <row r="249" spans="1:3" x14ac:dyDescent="0.25">
      <c r="A249">
        <v>441</v>
      </c>
      <c r="B249" t="s">
        <v>323</v>
      </c>
      <c r="C249" t="s">
        <v>6</v>
      </c>
    </row>
    <row r="250" spans="1:3" x14ac:dyDescent="0.25">
      <c r="A250">
        <v>442</v>
      </c>
      <c r="B250" t="s">
        <v>324</v>
      </c>
      <c r="C250" t="s">
        <v>6</v>
      </c>
    </row>
    <row r="251" spans="1:3" x14ac:dyDescent="0.25">
      <c r="A251">
        <v>443</v>
      </c>
      <c r="B251" t="s">
        <v>325</v>
      </c>
      <c r="C251" t="s">
        <v>6</v>
      </c>
    </row>
    <row r="252" spans="1:3" x14ac:dyDescent="0.25">
      <c r="A252">
        <v>444</v>
      </c>
      <c r="B252" t="s">
        <v>326</v>
      </c>
      <c r="C252" t="s">
        <v>6</v>
      </c>
    </row>
    <row r="253" spans="1:3" x14ac:dyDescent="0.25">
      <c r="A253">
        <v>445</v>
      </c>
      <c r="B253" t="s">
        <v>327</v>
      </c>
      <c r="C253" t="s">
        <v>6</v>
      </c>
    </row>
    <row r="254" spans="1:3" x14ac:dyDescent="0.25">
      <c r="A254">
        <v>446</v>
      </c>
      <c r="B254" t="s">
        <v>328</v>
      </c>
      <c r="C254" t="s">
        <v>6</v>
      </c>
    </row>
    <row r="255" spans="1:3" x14ac:dyDescent="0.25">
      <c r="A255">
        <v>448</v>
      </c>
      <c r="B255" t="s">
        <v>329</v>
      </c>
      <c r="C255" t="s">
        <v>6</v>
      </c>
    </row>
    <row r="256" spans="1:3" x14ac:dyDescent="0.25">
      <c r="A256">
        <v>449</v>
      </c>
      <c r="B256" t="s">
        <v>330</v>
      </c>
      <c r="C256" t="s">
        <v>6</v>
      </c>
    </row>
    <row r="257" spans="1:3" x14ac:dyDescent="0.25">
      <c r="A257">
        <v>450</v>
      </c>
      <c r="B257" t="s">
        <v>331</v>
      </c>
      <c r="C257" t="s">
        <v>6</v>
      </c>
    </row>
    <row r="258" spans="1:3" x14ac:dyDescent="0.25">
      <c r="A258">
        <v>491</v>
      </c>
      <c r="B258" t="s">
        <v>332</v>
      </c>
      <c r="C258" t="s">
        <v>6</v>
      </c>
    </row>
    <row r="259" spans="1:3" x14ac:dyDescent="0.25">
      <c r="A259">
        <v>492</v>
      </c>
      <c r="B259" t="s">
        <v>333</v>
      </c>
      <c r="C259" t="s">
        <v>6</v>
      </c>
    </row>
    <row r="260" spans="1:3" x14ac:dyDescent="0.25">
      <c r="A260">
        <v>493</v>
      </c>
      <c r="B260" t="s">
        <v>334</v>
      </c>
      <c r="C260" t="s">
        <v>6</v>
      </c>
    </row>
    <row r="261" spans="1:3" x14ac:dyDescent="0.25">
      <c r="A261">
        <v>494</v>
      </c>
      <c r="B261" t="s">
        <v>335</v>
      </c>
      <c r="C261" t="s">
        <v>6</v>
      </c>
    </row>
    <row r="262" spans="1:3" x14ac:dyDescent="0.25">
      <c r="A262">
        <v>495</v>
      </c>
      <c r="B262" t="s">
        <v>336</v>
      </c>
      <c r="C262" t="s">
        <v>6</v>
      </c>
    </row>
    <row r="263" spans="1:3" x14ac:dyDescent="0.25">
      <c r="A263">
        <v>496</v>
      </c>
      <c r="B263" t="s">
        <v>337</v>
      </c>
      <c r="C263" t="s">
        <v>6</v>
      </c>
    </row>
    <row r="264" spans="1:3" x14ac:dyDescent="0.25">
      <c r="A264">
        <v>497</v>
      </c>
      <c r="B264" t="s">
        <v>338</v>
      </c>
      <c r="C264" t="s">
        <v>6</v>
      </c>
    </row>
    <row r="265" spans="1:3" x14ac:dyDescent="0.25">
      <c r="A265">
        <v>498</v>
      </c>
      <c r="B265" t="s">
        <v>339</v>
      </c>
      <c r="C265" t="s">
        <v>6</v>
      </c>
    </row>
    <row r="266" spans="1:3" x14ac:dyDescent="0.25">
      <c r="A266">
        <v>499</v>
      </c>
      <c r="B266" t="s">
        <v>340</v>
      </c>
      <c r="C266" t="s">
        <v>6</v>
      </c>
    </row>
    <row r="267" spans="1:3" x14ac:dyDescent="0.25">
      <c r="A267">
        <v>500</v>
      </c>
      <c r="B267" t="s">
        <v>341</v>
      </c>
      <c r="C267" t="s">
        <v>6</v>
      </c>
    </row>
    <row r="268" spans="1:3" x14ac:dyDescent="0.25">
      <c r="A268">
        <v>501</v>
      </c>
      <c r="B268" t="s">
        <v>342</v>
      </c>
      <c r="C268" t="s">
        <v>6</v>
      </c>
    </row>
    <row r="269" spans="1:3" x14ac:dyDescent="0.25">
      <c r="A269">
        <v>502</v>
      </c>
      <c r="B269" t="s">
        <v>343</v>
      </c>
      <c r="C269" t="s">
        <v>6</v>
      </c>
    </row>
    <row r="270" spans="1:3" x14ac:dyDescent="0.25">
      <c r="A270">
        <v>533</v>
      </c>
      <c r="B270" t="s">
        <v>344</v>
      </c>
      <c r="C270" t="s">
        <v>6</v>
      </c>
    </row>
    <row r="271" spans="1:3" x14ac:dyDescent="0.25">
      <c r="A271">
        <v>535</v>
      </c>
      <c r="B271" t="s">
        <v>345</v>
      </c>
      <c r="C271" t="s">
        <v>6</v>
      </c>
    </row>
    <row r="272" spans="1:3" x14ac:dyDescent="0.25">
      <c r="A272">
        <v>538</v>
      </c>
      <c r="B272" t="s">
        <v>346</v>
      </c>
      <c r="C272" t="s">
        <v>6</v>
      </c>
    </row>
    <row r="273" spans="1:3" x14ac:dyDescent="0.25">
      <c r="A273">
        <v>540</v>
      </c>
      <c r="B273" t="s">
        <v>347</v>
      </c>
      <c r="C273" t="s">
        <v>6</v>
      </c>
    </row>
    <row r="274" spans="1:3" x14ac:dyDescent="0.25">
      <c r="A274">
        <v>541</v>
      </c>
      <c r="B274" t="s">
        <v>348</v>
      </c>
      <c r="C274" t="s">
        <v>6</v>
      </c>
    </row>
    <row r="275" spans="1:3" x14ac:dyDescent="0.25">
      <c r="A275">
        <v>543</v>
      </c>
      <c r="B275" t="s">
        <v>349</v>
      </c>
      <c r="C275" t="s">
        <v>6</v>
      </c>
    </row>
    <row r="276" spans="1:3" x14ac:dyDescent="0.25">
      <c r="A276">
        <v>544</v>
      </c>
      <c r="B276" t="s">
        <v>350</v>
      </c>
      <c r="C276" t="s">
        <v>6</v>
      </c>
    </row>
    <row r="277" spans="1:3" x14ac:dyDescent="0.25">
      <c r="A277">
        <v>546</v>
      </c>
      <c r="B277" t="s">
        <v>351</v>
      </c>
      <c r="C277" t="s">
        <v>6</v>
      </c>
    </row>
    <row r="278" spans="1:3" x14ac:dyDescent="0.25">
      <c r="A278">
        <v>551</v>
      </c>
      <c r="B278" t="s">
        <v>352</v>
      </c>
      <c r="C278" t="s">
        <v>6</v>
      </c>
    </row>
    <row r="279" spans="1:3" x14ac:dyDescent="0.25">
      <c r="A279">
        <v>552</v>
      </c>
      <c r="B279" t="s">
        <v>353</v>
      </c>
      <c r="C279" t="s">
        <v>6</v>
      </c>
    </row>
    <row r="280" spans="1:3" x14ac:dyDescent="0.25">
      <c r="A280">
        <v>553</v>
      </c>
      <c r="B280" t="s">
        <v>354</v>
      </c>
      <c r="C280" t="s">
        <v>6</v>
      </c>
    </row>
    <row r="281" spans="1:3" x14ac:dyDescent="0.25">
      <c r="A281">
        <v>554</v>
      </c>
      <c r="B281" t="s">
        <v>355</v>
      </c>
      <c r="C281" t="s">
        <v>6</v>
      </c>
    </row>
    <row r="282" spans="1:3" x14ac:dyDescent="0.25">
      <c r="A282">
        <v>556</v>
      </c>
      <c r="B282" t="s">
        <v>356</v>
      </c>
      <c r="C282" t="s">
        <v>6</v>
      </c>
    </row>
    <row r="283" spans="1:3" x14ac:dyDescent="0.25">
      <c r="A283">
        <v>557</v>
      </c>
      <c r="B283" t="s">
        <v>357</v>
      </c>
      <c r="C283" t="s">
        <v>6</v>
      </c>
    </row>
    <row r="284" spans="1:3" x14ac:dyDescent="0.25">
      <c r="A284">
        <v>561</v>
      </c>
      <c r="B284" t="s">
        <v>358</v>
      </c>
      <c r="C284" t="s">
        <v>6</v>
      </c>
    </row>
    <row r="285" spans="1:3" x14ac:dyDescent="0.25">
      <c r="A285">
        <v>562</v>
      </c>
      <c r="B285" t="s">
        <v>359</v>
      </c>
      <c r="C285" t="s">
        <v>6</v>
      </c>
    </row>
    <row r="286" spans="1:3" x14ac:dyDescent="0.25">
      <c r="A286">
        <v>563</v>
      </c>
      <c r="B286" t="s">
        <v>360</v>
      </c>
      <c r="C286" t="s">
        <v>6</v>
      </c>
    </row>
    <row r="287" spans="1:3" x14ac:dyDescent="0.25">
      <c r="A287">
        <v>564</v>
      </c>
      <c r="B287" t="s">
        <v>361</v>
      </c>
      <c r="C287" t="s">
        <v>6</v>
      </c>
    </row>
    <row r="288" spans="1:3" x14ac:dyDescent="0.25">
      <c r="A288">
        <v>565</v>
      </c>
      <c r="B288" t="s">
        <v>362</v>
      </c>
      <c r="C288" t="s">
        <v>6</v>
      </c>
    </row>
    <row r="289" spans="1:3" x14ac:dyDescent="0.25">
      <c r="A289">
        <v>566</v>
      </c>
      <c r="B289" t="s">
        <v>363</v>
      </c>
      <c r="C289" t="s">
        <v>6</v>
      </c>
    </row>
    <row r="290" spans="1:3" x14ac:dyDescent="0.25">
      <c r="A290">
        <v>567</v>
      </c>
      <c r="B290" t="s">
        <v>364</v>
      </c>
      <c r="C290" t="s">
        <v>6</v>
      </c>
    </row>
    <row r="291" spans="1:3" x14ac:dyDescent="0.25">
      <c r="A291">
        <v>571</v>
      </c>
      <c r="B291" t="s">
        <v>365</v>
      </c>
      <c r="C291" t="s">
        <v>6</v>
      </c>
    </row>
    <row r="292" spans="1:3" x14ac:dyDescent="0.25">
      <c r="A292">
        <v>572</v>
      </c>
      <c r="B292" t="s">
        <v>366</v>
      </c>
      <c r="C292" t="s">
        <v>6</v>
      </c>
    </row>
    <row r="293" spans="1:3" x14ac:dyDescent="0.25">
      <c r="A293">
        <v>573</v>
      </c>
      <c r="B293" t="s">
        <v>367</v>
      </c>
      <c r="C293" t="s">
        <v>6</v>
      </c>
    </row>
    <row r="294" spans="1:3" x14ac:dyDescent="0.25">
      <c r="A294">
        <v>574</v>
      </c>
      <c r="B294" t="s">
        <v>368</v>
      </c>
      <c r="C294" t="s">
        <v>6</v>
      </c>
    </row>
    <row r="295" spans="1:3" x14ac:dyDescent="0.25">
      <c r="A295">
        <v>575</v>
      </c>
      <c r="B295" t="s">
        <v>369</v>
      </c>
      <c r="C295" t="s">
        <v>6</v>
      </c>
    </row>
    <row r="296" spans="1:3" x14ac:dyDescent="0.25">
      <c r="A296">
        <v>576</v>
      </c>
      <c r="B296" t="s">
        <v>370</v>
      </c>
      <c r="C296" t="s">
        <v>6</v>
      </c>
    </row>
    <row r="297" spans="1:3" x14ac:dyDescent="0.25">
      <c r="A297">
        <v>577</v>
      </c>
      <c r="B297" t="s">
        <v>371</v>
      </c>
      <c r="C297" t="s">
        <v>6</v>
      </c>
    </row>
    <row r="298" spans="1:3" x14ac:dyDescent="0.25">
      <c r="A298">
        <v>578</v>
      </c>
      <c r="B298" t="s">
        <v>372</v>
      </c>
      <c r="C298" t="s">
        <v>6</v>
      </c>
    </row>
    <row r="299" spans="1:3" x14ac:dyDescent="0.25">
      <c r="A299">
        <v>579</v>
      </c>
      <c r="B299" t="s">
        <v>373</v>
      </c>
      <c r="C299" t="s">
        <v>6</v>
      </c>
    </row>
    <row r="300" spans="1:3" x14ac:dyDescent="0.25">
      <c r="A300">
        <v>580</v>
      </c>
      <c r="B300" t="s">
        <v>374</v>
      </c>
      <c r="C300" t="s">
        <v>6</v>
      </c>
    </row>
    <row r="301" spans="1:3" x14ac:dyDescent="0.25">
      <c r="A301">
        <v>581</v>
      </c>
      <c r="B301" t="s">
        <v>375</v>
      </c>
      <c r="C301" t="s">
        <v>6</v>
      </c>
    </row>
    <row r="302" spans="1:3" x14ac:dyDescent="0.25">
      <c r="A302">
        <v>582</v>
      </c>
      <c r="B302" t="s">
        <v>376</v>
      </c>
      <c r="C302" t="s">
        <v>6</v>
      </c>
    </row>
    <row r="303" spans="1:3" x14ac:dyDescent="0.25">
      <c r="A303">
        <v>584</v>
      </c>
      <c r="B303" t="s">
        <v>377</v>
      </c>
      <c r="C303" t="s">
        <v>6</v>
      </c>
    </row>
    <row r="304" spans="1:3" x14ac:dyDescent="0.25">
      <c r="A304">
        <v>585</v>
      </c>
      <c r="B304" t="s">
        <v>378</v>
      </c>
      <c r="C304" t="s">
        <v>6</v>
      </c>
    </row>
    <row r="305" spans="1:3" x14ac:dyDescent="0.25">
      <c r="A305">
        <v>586</v>
      </c>
      <c r="B305" t="s">
        <v>379</v>
      </c>
      <c r="C305" t="s">
        <v>6</v>
      </c>
    </row>
    <row r="306" spans="1:3" x14ac:dyDescent="0.25">
      <c r="A306">
        <v>587</v>
      </c>
      <c r="B306" t="s">
        <v>380</v>
      </c>
      <c r="C306" t="s">
        <v>6</v>
      </c>
    </row>
    <row r="307" spans="1:3" x14ac:dyDescent="0.25">
      <c r="A307">
        <v>588</v>
      </c>
      <c r="B307" t="s">
        <v>381</v>
      </c>
      <c r="C307" t="s">
        <v>6</v>
      </c>
    </row>
    <row r="308" spans="1:3" x14ac:dyDescent="0.25">
      <c r="A308">
        <v>589</v>
      </c>
      <c r="B308" t="s">
        <v>382</v>
      </c>
      <c r="C308" t="s">
        <v>6</v>
      </c>
    </row>
    <row r="309" spans="1:3" x14ac:dyDescent="0.25">
      <c r="A309">
        <v>590</v>
      </c>
      <c r="B309" t="s">
        <v>383</v>
      </c>
      <c r="C309" t="s">
        <v>6</v>
      </c>
    </row>
    <row r="310" spans="1:3" x14ac:dyDescent="0.25">
      <c r="A310">
        <v>591</v>
      </c>
      <c r="B310" t="s">
        <v>384</v>
      </c>
      <c r="C310" t="s">
        <v>6</v>
      </c>
    </row>
    <row r="311" spans="1:3" x14ac:dyDescent="0.25">
      <c r="A311">
        <v>592</v>
      </c>
      <c r="B311" t="s">
        <v>385</v>
      </c>
      <c r="C311" t="s">
        <v>6</v>
      </c>
    </row>
    <row r="312" spans="1:3" x14ac:dyDescent="0.25">
      <c r="A312">
        <v>593</v>
      </c>
      <c r="B312" t="s">
        <v>386</v>
      </c>
      <c r="C312" t="s">
        <v>6</v>
      </c>
    </row>
    <row r="313" spans="1:3" x14ac:dyDescent="0.25">
      <c r="A313">
        <v>594</v>
      </c>
      <c r="B313" t="s">
        <v>387</v>
      </c>
      <c r="C313" t="s">
        <v>6</v>
      </c>
    </row>
    <row r="314" spans="1:3" x14ac:dyDescent="0.25">
      <c r="A314">
        <v>602</v>
      </c>
      <c r="B314" t="s">
        <v>388</v>
      </c>
      <c r="C314" t="s">
        <v>6</v>
      </c>
    </row>
    <row r="315" spans="1:3" x14ac:dyDescent="0.25">
      <c r="A315">
        <v>603</v>
      </c>
      <c r="B315" t="s">
        <v>389</v>
      </c>
      <c r="C315" t="s">
        <v>6</v>
      </c>
    </row>
    <row r="316" spans="1:3" x14ac:dyDescent="0.25">
      <c r="A316">
        <v>605</v>
      </c>
      <c r="B316" t="s">
        <v>390</v>
      </c>
      <c r="C316" t="s">
        <v>6</v>
      </c>
    </row>
    <row r="317" spans="1:3" x14ac:dyDescent="0.25">
      <c r="A317">
        <v>606</v>
      </c>
      <c r="B317" t="s">
        <v>391</v>
      </c>
      <c r="C317" t="s">
        <v>6</v>
      </c>
    </row>
    <row r="318" spans="1:3" x14ac:dyDescent="0.25">
      <c r="A318">
        <v>607</v>
      </c>
      <c r="B318" t="s">
        <v>392</v>
      </c>
      <c r="C318" t="s">
        <v>6</v>
      </c>
    </row>
    <row r="319" spans="1:3" x14ac:dyDescent="0.25">
      <c r="A319">
        <v>608</v>
      </c>
      <c r="B319" t="s">
        <v>393</v>
      </c>
      <c r="C319" t="s">
        <v>6</v>
      </c>
    </row>
    <row r="320" spans="1:3" x14ac:dyDescent="0.25">
      <c r="A320">
        <v>609</v>
      </c>
      <c r="B320" t="s">
        <v>394</v>
      </c>
      <c r="C320" t="s">
        <v>6</v>
      </c>
    </row>
    <row r="321" spans="1:3" x14ac:dyDescent="0.25">
      <c r="A321">
        <v>610</v>
      </c>
      <c r="B321" t="s">
        <v>395</v>
      </c>
      <c r="C321" t="s">
        <v>6</v>
      </c>
    </row>
    <row r="322" spans="1:3" x14ac:dyDescent="0.25">
      <c r="A322">
        <v>611</v>
      </c>
      <c r="B322" t="s">
        <v>396</v>
      </c>
      <c r="C322" t="s">
        <v>6</v>
      </c>
    </row>
    <row r="323" spans="1:3" x14ac:dyDescent="0.25">
      <c r="A323">
        <v>612</v>
      </c>
      <c r="B323" t="s">
        <v>397</v>
      </c>
      <c r="C323" t="s">
        <v>6</v>
      </c>
    </row>
    <row r="324" spans="1:3" x14ac:dyDescent="0.25">
      <c r="A324">
        <v>613</v>
      </c>
      <c r="B324" t="s">
        <v>398</v>
      </c>
      <c r="C324" t="s">
        <v>6</v>
      </c>
    </row>
    <row r="325" spans="1:3" x14ac:dyDescent="0.25">
      <c r="A325">
        <v>614</v>
      </c>
      <c r="B325" t="s">
        <v>399</v>
      </c>
      <c r="C325" t="s">
        <v>6</v>
      </c>
    </row>
    <row r="326" spans="1:3" x14ac:dyDescent="0.25">
      <c r="A326">
        <v>615</v>
      </c>
      <c r="B326" t="s">
        <v>400</v>
      </c>
      <c r="C326" t="s">
        <v>6</v>
      </c>
    </row>
    <row r="327" spans="1:3" x14ac:dyDescent="0.25">
      <c r="A327">
        <v>616</v>
      </c>
      <c r="B327" t="s">
        <v>401</v>
      </c>
      <c r="C327" t="s">
        <v>6</v>
      </c>
    </row>
    <row r="328" spans="1:3" x14ac:dyDescent="0.25">
      <c r="A328">
        <v>617</v>
      </c>
      <c r="B328" t="s">
        <v>402</v>
      </c>
      <c r="C328" t="s">
        <v>6</v>
      </c>
    </row>
    <row r="329" spans="1:3" x14ac:dyDescent="0.25">
      <c r="A329">
        <v>619</v>
      </c>
      <c r="B329" t="s">
        <v>403</v>
      </c>
      <c r="C329" t="s">
        <v>6</v>
      </c>
    </row>
    <row r="330" spans="1:3" x14ac:dyDescent="0.25">
      <c r="A330">
        <v>620</v>
      </c>
      <c r="B330" t="s">
        <v>404</v>
      </c>
      <c r="C330" t="s">
        <v>6</v>
      </c>
    </row>
    <row r="331" spans="1:3" x14ac:dyDescent="0.25">
      <c r="A331">
        <v>622</v>
      </c>
      <c r="B331" t="s">
        <v>405</v>
      </c>
      <c r="C331" t="s">
        <v>6</v>
      </c>
    </row>
    <row r="332" spans="1:3" x14ac:dyDescent="0.25">
      <c r="A332">
        <v>623</v>
      </c>
      <c r="B332" t="s">
        <v>406</v>
      </c>
      <c r="C332" t="s">
        <v>6</v>
      </c>
    </row>
    <row r="333" spans="1:3" x14ac:dyDescent="0.25">
      <c r="A333">
        <v>626</v>
      </c>
      <c r="B333" t="s">
        <v>407</v>
      </c>
      <c r="C333" t="s">
        <v>6</v>
      </c>
    </row>
    <row r="334" spans="1:3" x14ac:dyDescent="0.25">
      <c r="A334">
        <v>627</v>
      </c>
      <c r="B334" t="s">
        <v>408</v>
      </c>
      <c r="C334" t="s">
        <v>6</v>
      </c>
    </row>
    <row r="335" spans="1:3" x14ac:dyDescent="0.25">
      <c r="A335">
        <v>628</v>
      </c>
      <c r="B335" t="s">
        <v>409</v>
      </c>
      <c r="C335" t="s">
        <v>6</v>
      </c>
    </row>
    <row r="336" spans="1:3" x14ac:dyDescent="0.25">
      <c r="A336">
        <v>629</v>
      </c>
      <c r="B336" t="s">
        <v>410</v>
      </c>
      <c r="C336" t="s">
        <v>6</v>
      </c>
    </row>
    <row r="337" spans="1:3" x14ac:dyDescent="0.25">
      <c r="A337">
        <v>630</v>
      </c>
      <c r="B337" t="s">
        <v>411</v>
      </c>
      <c r="C337" t="s">
        <v>6</v>
      </c>
    </row>
    <row r="338" spans="1:3" x14ac:dyDescent="0.25">
      <c r="A338">
        <v>632</v>
      </c>
      <c r="B338" t="s">
        <v>412</v>
      </c>
      <c r="C338" t="s">
        <v>6</v>
      </c>
    </row>
    <row r="339" spans="1:3" x14ac:dyDescent="0.25">
      <c r="A339">
        <v>662</v>
      </c>
      <c r="B339" t="s">
        <v>413</v>
      </c>
      <c r="C339" t="s">
        <v>6</v>
      </c>
    </row>
    <row r="340" spans="1:3" x14ac:dyDescent="0.25">
      <c r="A340">
        <v>663</v>
      </c>
      <c r="B340" t="s">
        <v>414</v>
      </c>
      <c r="C340" t="s">
        <v>6</v>
      </c>
    </row>
    <row r="341" spans="1:3" x14ac:dyDescent="0.25">
      <c r="A341">
        <v>665</v>
      </c>
      <c r="B341" t="s">
        <v>415</v>
      </c>
      <c r="C341" t="s">
        <v>6</v>
      </c>
    </row>
    <row r="342" spans="1:3" x14ac:dyDescent="0.25">
      <c r="A342">
        <v>666</v>
      </c>
      <c r="B342" t="s">
        <v>416</v>
      </c>
      <c r="C342" t="s">
        <v>6</v>
      </c>
    </row>
    <row r="343" spans="1:3" x14ac:dyDescent="0.25">
      <c r="A343">
        <v>667</v>
      </c>
      <c r="B343" t="s">
        <v>417</v>
      </c>
      <c r="C343" t="s">
        <v>6</v>
      </c>
    </row>
    <row r="344" spans="1:3" x14ac:dyDescent="0.25">
      <c r="A344">
        <v>668</v>
      </c>
      <c r="B344" t="s">
        <v>418</v>
      </c>
      <c r="C344" t="s">
        <v>6</v>
      </c>
    </row>
    <row r="345" spans="1:3" x14ac:dyDescent="0.25">
      <c r="A345">
        <v>669</v>
      </c>
      <c r="B345" t="s">
        <v>419</v>
      </c>
      <c r="C345" t="s">
        <v>6</v>
      </c>
    </row>
    <row r="346" spans="1:3" x14ac:dyDescent="0.25">
      <c r="A346">
        <v>670</v>
      </c>
      <c r="B346" t="s">
        <v>420</v>
      </c>
      <c r="C346" t="s">
        <v>6</v>
      </c>
    </row>
    <row r="347" spans="1:3" x14ac:dyDescent="0.25">
      <c r="A347">
        <v>671</v>
      </c>
      <c r="B347" t="s">
        <v>421</v>
      </c>
      <c r="C347" t="s">
        <v>6</v>
      </c>
    </row>
    <row r="348" spans="1:3" x14ac:dyDescent="0.25">
      <c r="A348">
        <v>681</v>
      </c>
      <c r="B348" t="s">
        <v>422</v>
      </c>
      <c r="C348" t="s">
        <v>6</v>
      </c>
    </row>
    <row r="349" spans="1:3" x14ac:dyDescent="0.25">
      <c r="A349">
        <v>683</v>
      </c>
      <c r="B349" t="s">
        <v>423</v>
      </c>
      <c r="C349" t="s">
        <v>6</v>
      </c>
    </row>
    <row r="350" spans="1:3" x14ac:dyDescent="0.25">
      <c r="A350">
        <v>687</v>
      </c>
      <c r="B350" t="s">
        <v>424</v>
      </c>
      <c r="C350" t="s">
        <v>6</v>
      </c>
    </row>
    <row r="351" spans="1:3" x14ac:dyDescent="0.25">
      <c r="A351">
        <v>690</v>
      </c>
      <c r="B351" t="s">
        <v>425</v>
      </c>
      <c r="C351" t="s">
        <v>6</v>
      </c>
    </row>
    <row r="352" spans="1:3" x14ac:dyDescent="0.25">
      <c r="A352">
        <v>691</v>
      </c>
      <c r="B352" t="s">
        <v>426</v>
      </c>
      <c r="C352" t="s">
        <v>6</v>
      </c>
    </row>
    <row r="353" spans="1:3" x14ac:dyDescent="0.25">
      <c r="A353">
        <v>692</v>
      </c>
      <c r="B353" t="s">
        <v>427</v>
      </c>
      <c r="C353" t="s">
        <v>6</v>
      </c>
    </row>
    <row r="354" spans="1:3" x14ac:dyDescent="0.25">
      <c r="A354">
        <v>694</v>
      </c>
      <c r="B354" t="s">
        <v>428</v>
      </c>
      <c r="C354" t="s">
        <v>6</v>
      </c>
    </row>
    <row r="355" spans="1:3" x14ac:dyDescent="0.25">
      <c r="A355">
        <v>696</v>
      </c>
      <c r="B355" t="s">
        <v>429</v>
      </c>
      <c r="C355" t="s">
        <v>6</v>
      </c>
    </row>
    <row r="356" spans="1:3" x14ac:dyDescent="0.25">
      <c r="A356">
        <v>700</v>
      </c>
      <c r="B356" t="s">
        <v>430</v>
      </c>
      <c r="C356" t="s">
        <v>6</v>
      </c>
    </row>
    <row r="357" spans="1:3" x14ac:dyDescent="0.25">
      <c r="A357">
        <v>701</v>
      </c>
      <c r="B357" t="s">
        <v>431</v>
      </c>
      <c r="C357" t="s">
        <v>6</v>
      </c>
    </row>
    <row r="358" spans="1:3" x14ac:dyDescent="0.25">
      <c r="A358">
        <v>703</v>
      </c>
      <c r="B358" t="s">
        <v>432</v>
      </c>
      <c r="C358" t="s">
        <v>6</v>
      </c>
    </row>
    <row r="359" spans="1:3" x14ac:dyDescent="0.25">
      <c r="A359">
        <v>704</v>
      </c>
      <c r="B359" t="s">
        <v>433</v>
      </c>
      <c r="C359" t="s">
        <v>6</v>
      </c>
    </row>
    <row r="360" spans="1:3" x14ac:dyDescent="0.25">
      <c r="A360">
        <v>706</v>
      </c>
      <c r="B360" t="s">
        <v>434</v>
      </c>
      <c r="C360" t="s">
        <v>6</v>
      </c>
    </row>
    <row r="361" spans="1:3" x14ac:dyDescent="0.25">
      <c r="A361">
        <v>707</v>
      </c>
      <c r="B361" t="s">
        <v>435</v>
      </c>
      <c r="C361" t="s">
        <v>6</v>
      </c>
    </row>
    <row r="362" spans="1:3" x14ac:dyDescent="0.25">
      <c r="A362">
        <v>708</v>
      </c>
      <c r="B362" t="s">
        <v>436</v>
      </c>
      <c r="C362" t="s">
        <v>6</v>
      </c>
    </row>
    <row r="363" spans="1:3" x14ac:dyDescent="0.25">
      <c r="A363">
        <v>709</v>
      </c>
      <c r="B363" t="s">
        <v>437</v>
      </c>
      <c r="C363" t="s">
        <v>6</v>
      </c>
    </row>
    <row r="364" spans="1:3" x14ac:dyDescent="0.25">
      <c r="A364">
        <v>711</v>
      </c>
      <c r="B364" t="s">
        <v>438</v>
      </c>
      <c r="C364" t="s">
        <v>6</v>
      </c>
    </row>
    <row r="365" spans="1:3" x14ac:dyDescent="0.25">
      <c r="A365">
        <v>713</v>
      </c>
      <c r="B365" t="s">
        <v>439</v>
      </c>
      <c r="C365" t="s">
        <v>6</v>
      </c>
    </row>
    <row r="366" spans="1:3" x14ac:dyDescent="0.25">
      <c r="A366">
        <v>715</v>
      </c>
      <c r="B366" t="s">
        <v>440</v>
      </c>
      <c r="C366" t="s">
        <v>6</v>
      </c>
    </row>
    <row r="367" spans="1:3" x14ac:dyDescent="0.25">
      <c r="A367">
        <v>716</v>
      </c>
      <c r="B367" t="s">
        <v>441</v>
      </c>
      <c r="C367" t="s">
        <v>6</v>
      </c>
    </row>
    <row r="368" spans="1:3" x14ac:dyDescent="0.25">
      <c r="A368">
        <v>717</v>
      </c>
      <c r="B368" t="s">
        <v>442</v>
      </c>
      <c r="C368" t="s">
        <v>6</v>
      </c>
    </row>
    <row r="369" spans="1:3" x14ac:dyDescent="0.25">
      <c r="A369">
        <v>723</v>
      </c>
      <c r="B369" t="s">
        <v>443</v>
      </c>
      <c r="C369" t="s">
        <v>6</v>
      </c>
    </row>
    <row r="370" spans="1:3" x14ac:dyDescent="0.25">
      <c r="A370">
        <v>724</v>
      </c>
      <c r="B370" t="s">
        <v>444</v>
      </c>
      <c r="C370" t="s">
        <v>6</v>
      </c>
    </row>
    <row r="371" spans="1:3" x14ac:dyDescent="0.25">
      <c r="A371">
        <v>726</v>
      </c>
      <c r="B371" t="s">
        <v>445</v>
      </c>
      <c r="C371" t="s">
        <v>6</v>
      </c>
    </row>
    <row r="372" spans="1:3" x14ac:dyDescent="0.25">
      <c r="A372">
        <v>731</v>
      </c>
      <c r="B372" t="s">
        <v>446</v>
      </c>
      <c r="C372" t="s">
        <v>6</v>
      </c>
    </row>
    <row r="373" spans="1:3" x14ac:dyDescent="0.25">
      <c r="A373">
        <v>732</v>
      </c>
      <c r="B373" t="s">
        <v>447</v>
      </c>
      <c r="C373" t="s">
        <v>6</v>
      </c>
    </row>
    <row r="374" spans="1:3" x14ac:dyDescent="0.25">
      <c r="A374">
        <v>733</v>
      </c>
      <c r="B374" t="s">
        <v>448</v>
      </c>
      <c r="C374" t="s">
        <v>6</v>
      </c>
    </row>
    <row r="375" spans="1:3" x14ac:dyDescent="0.25">
      <c r="A375">
        <v>734</v>
      </c>
      <c r="B375" t="s">
        <v>449</v>
      </c>
      <c r="C375" t="s">
        <v>6</v>
      </c>
    </row>
    <row r="376" spans="1:3" x14ac:dyDescent="0.25">
      <c r="A376">
        <v>735</v>
      </c>
      <c r="B376" t="s">
        <v>450</v>
      </c>
      <c r="C376" t="s">
        <v>6</v>
      </c>
    </row>
    <row r="377" spans="1:3" x14ac:dyDescent="0.25">
      <c r="A377">
        <v>736</v>
      </c>
      <c r="B377" t="s">
        <v>451</v>
      </c>
      <c r="C377" t="s">
        <v>6</v>
      </c>
    </row>
    <row r="378" spans="1:3" x14ac:dyDescent="0.25">
      <c r="A378">
        <v>737</v>
      </c>
      <c r="B378" t="s">
        <v>452</v>
      </c>
      <c r="C378" t="s">
        <v>6</v>
      </c>
    </row>
    <row r="379" spans="1:3" x14ac:dyDescent="0.25">
      <c r="A379">
        <v>738</v>
      </c>
      <c r="B379" t="s">
        <v>453</v>
      </c>
      <c r="C379" t="s">
        <v>6</v>
      </c>
    </row>
    <row r="380" spans="1:3" x14ac:dyDescent="0.25">
      <c r="A380">
        <v>739</v>
      </c>
      <c r="B380" t="s">
        <v>454</v>
      </c>
      <c r="C380" t="s">
        <v>6</v>
      </c>
    </row>
    <row r="381" spans="1:3" x14ac:dyDescent="0.25">
      <c r="A381">
        <v>740</v>
      </c>
      <c r="B381" t="s">
        <v>455</v>
      </c>
      <c r="C381" t="s">
        <v>6</v>
      </c>
    </row>
    <row r="382" spans="1:3" x14ac:dyDescent="0.25">
      <c r="A382">
        <v>741</v>
      </c>
      <c r="B382" t="s">
        <v>456</v>
      </c>
      <c r="C382" t="s">
        <v>6</v>
      </c>
    </row>
    <row r="383" spans="1:3" x14ac:dyDescent="0.25">
      <c r="A383">
        <v>742</v>
      </c>
      <c r="B383" t="s">
        <v>457</v>
      </c>
      <c r="C383" t="s">
        <v>6</v>
      </c>
    </row>
    <row r="384" spans="1:3" x14ac:dyDescent="0.25">
      <c r="A384">
        <v>743</v>
      </c>
      <c r="B384" t="s">
        <v>458</v>
      </c>
      <c r="C384" t="s">
        <v>6</v>
      </c>
    </row>
    <row r="385" spans="1:3" x14ac:dyDescent="0.25">
      <c r="A385">
        <v>744</v>
      </c>
      <c r="B385" t="s">
        <v>459</v>
      </c>
      <c r="C385" t="s">
        <v>6</v>
      </c>
    </row>
    <row r="386" spans="1:3" x14ac:dyDescent="0.25">
      <c r="A386">
        <v>745</v>
      </c>
      <c r="B386" t="s">
        <v>460</v>
      </c>
      <c r="C386" t="s">
        <v>6</v>
      </c>
    </row>
    <row r="387" spans="1:3" x14ac:dyDescent="0.25">
      <c r="A387">
        <v>746</v>
      </c>
      <c r="B387" t="s">
        <v>461</v>
      </c>
      <c r="C387" t="s">
        <v>6</v>
      </c>
    </row>
    <row r="388" spans="1:3" x14ac:dyDescent="0.25">
      <c r="A388">
        <v>747</v>
      </c>
      <c r="B388" t="s">
        <v>462</v>
      </c>
      <c r="C388" t="s">
        <v>6</v>
      </c>
    </row>
    <row r="389" spans="1:3" x14ac:dyDescent="0.25">
      <c r="A389">
        <v>748</v>
      </c>
      <c r="B389" t="s">
        <v>463</v>
      </c>
      <c r="C389" t="s">
        <v>6</v>
      </c>
    </row>
    <row r="390" spans="1:3" x14ac:dyDescent="0.25">
      <c r="A390">
        <v>749</v>
      </c>
      <c r="B390" t="s">
        <v>464</v>
      </c>
      <c r="C390" t="s">
        <v>6</v>
      </c>
    </row>
    <row r="391" spans="1:3" x14ac:dyDescent="0.25">
      <c r="A391">
        <v>750</v>
      </c>
      <c r="B391" t="s">
        <v>465</v>
      </c>
      <c r="C391" t="s">
        <v>6</v>
      </c>
    </row>
    <row r="392" spans="1:3" x14ac:dyDescent="0.25">
      <c r="A392">
        <v>751</v>
      </c>
      <c r="B392" t="s">
        <v>466</v>
      </c>
      <c r="C392" t="s">
        <v>6</v>
      </c>
    </row>
    <row r="393" spans="1:3" x14ac:dyDescent="0.25">
      <c r="A393">
        <v>754</v>
      </c>
      <c r="B393" t="s">
        <v>467</v>
      </c>
      <c r="C393" t="s">
        <v>6</v>
      </c>
    </row>
    <row r="394" spans="1:3" x14ac:dyDescent="0.25">
      <c r="A394">
        <v>755</v>
      </c>
      <c r="B394" t="s">
        <v>468</v>
      </c>
      <c r="C394" t="s">
        <v>6</v>
      </c>
    </row>
    <row r="395" spans="1:3" x14ac:dyDescent="0.25">
      <c r="A395">
        <v>756</v>
      </c>
      <c r="B395" t="s">
        <v>469</v>
      </c>
      <c r="C395" t="s">
        <v>6</v>
      </c>
    </row>
    <row r="396" spans="1:3" x14ac:dyDescent="0.25">
      <c r="A396">
        <v>761</v>
      </c>
      <c r="B396" t="s">
        <v>470</v>
      </c>
      <c r="C396" t="s">
        <v>6</v>
      </c>
    </row>
    <row r="397" spans="1:3" x14ac:dyDescent="0.25">
      <c r="A397">
        <v>762</v>
      </c>
      <c r="B397" t="s">
        <v>471</v>
      </c>
      <c r="C397" t="s">
        <v>6</v>
      </c>
    </row>
    <row r="398" spans="1:3" x14ac:dyDescent="0.25">
      <c r="A398">
        <v>763</v>
      </c>
      <c r="B398" t="s">
        <v>472</v>
      </c>
      <c r="C398" t="s">
        <v>6</v>
      </c>
    </row>
    <row r="399" spans="1:3" x14ac:dyDescent="0.25">
      <c r="A399">
        <v>766</v>
      </c>
      <c r="B399" t="s">
        <v>473</v>
      </c>
      <c r="C399" t="s">
        <v>6</v>
      </c>
    </row>
    <row r="400" spans="1:3" x14ac:dyDescent="0.25">
      <c r="A400">
        <v>767</v>
      </c>
      <c r="B400" t="s">
        <v>474</v>
      </c>
      <c r="C400" t="s">
        <v>6</v>
      </c>
    </row>
    <row r="401" spans="1:3" x14ac:dyDescent="0.25">
      <c r="A401">
        <v>768</v>
      </c>
      <c r="B401" t="s">
        <v>475</v>
      </c>
      <c r="C401" t="s">
        <v>6</v>
      </c>
    </row>
    <row r="402" spans="1:3" x14ac:dyDescent="0.25">
      <c r="A402">
        <v>769</v>
      </c>
      <c r="B402" t="s">
        <v>476</v>
      </c>
      <c r="C402" t="s">
        <v>6</v>
      </c>
    </row>
    <row r="403" spans="1:3" x14ac:dyDescent="0.25">
      <c r="A403">
        <v>770</v>
      </c>
      <c r="B403" t="s">
        <v>477</v>
      </c>
      <c r="C403" t="s">
        <v>6</v>
      </c>
    </row>
    <row r="404" spans="1:3" x14ac:dyDescent="0.25">
      <c r="A404">
        <v>782</v>
      </c>
      <c r="B404" t="s">
        <v>478</v>
      </c>
      <c r="C404" t="s">
        <v>6</v>
      </c>
    </row>
    <row r="405" spans="1:3" x14ac:dyDescent="0.25">
      <c r="A405">
        <v>783</v>
      </c>
      <c r="B405" t="s">
        <v>479</v>
      </c>
      <c r="C405" t="s">
        <v>6</v>
      </c>
    </row>
    <row r="406" spans="1:3" x14ac:dyDescent="0.25">
      <c r="A406">
        <v>784</v>
      </c>
      <c r="B406" t="s">
        <v>480</v>
      </c>
      <c r="C406" t="s">
        <v>6</v>
      </c>
    </row>
    <row r="407" spans="1:3" x14ac:dyDescent="0.25">
      <c r="A407">
        <v>785</v>
      </c>
      <c r="B407" t="s">
        <v>481</v>
      </c>
      <c r="C407" t="s">
        <v>6</v>
      </c>
    </row>
    <row r="408" spans="1:3" x14ac:dyDescent="0.25">
      <c r="A408">
        <v>786</v>
      </c>
      <c r="B408" t="s">
        <v>482</v>
      </c>
      <c r="C408" t="s">
        <v>6</v>
      </c>
    </row>
    <row r="409" spans="1:3" x14ac:dyDescent="0.25">
      <c r="A409">
        <v>791</v>
      </c>
      <c r="B409" t="s">
        <v>483</v>
      </c>
      <c r="C409" t="s">
        <v>6</v>
      </c>
    </row>
    <row r="410" spans="1:3" x14ac:dyDescent="0.25">
      <c r="A410">
        <v>792</v>
      </c>
      <c r="B410" t="s">
        <v>484</v>
      </c>
      <c r="C410" t="s">
        <v>6</v>
      </c>
    </row>
    <row r="411" spans="1:3" x14ac:dyDescent="0.25">
      <c r="A411">
        <v>793</v>
      </c>
      <c r="B411" t="s">
        <v>485</v>
      </c>
      <c r="C411" t="s">
        <v>6</v>
      </c>
    </row>
    <row r="412" spans="1:3" x14ac:dyDescent="0.25">
      <c r="A412">
        <v>794</v>
      </c>
      <c r="B412" t="s">
        <v>486</v>
      </c>
      <c r="C412" t="s">
        <v>6</v>
      </c>
    </row>
    <row r="413" spans="1:3" x14ac:dyDescent="0.25">
      <c r="A413">
        <v>841</v>
      </c>
      <c r="B413" t="s">
        <v>487</v>
      </c>
      <c r="C413" t="s">
        <v>6</v>
      </c>
    </row>
    <row r="414" spans="1:3" x14ac:dyDescent="0.25">
      <c r="A414">
        <v>842</v>
      </c>
      <c r="B414" t="s">
        <v>488</v>
      </c>
      <c r="C414" t="s">
        <v>6</v>
      </c>
    </row>
    <row r="415" spans="1:3" x14ac:dyDescent="0.25">
      <c r="A415">
        <v>843</v>
      </c>
      <c r="B415" t="s">
        <v>489</v>
      </c>
      <c r="C415" t="s">
        <v>6</v>
      </c>
    </row>
    <row r="416" spans="1:3" x14ac:dyDescent="0.25">
      <c r="A416">
        <v>852</v>
      </c>
      <c r="B416" t="s">
        <v>490</v>
      </c>
      <c r="C416" t="s">
        <v>6</v>
      </c>
    </row>
    <row r="417" spans="1:3" x14ac:dyDescent="0.25">
      <c r="A417">
        <v>853</v>
      </c>
      <c r="B417" t="s">
        <v>491</v>
      </c>
      <c r="C417" t="s">
        <v>6</v>
      </c>
    </row>
    <row r="418" spans="1:3" x14ac:dyDescent="0.25">
      <c r="A418">
        <v>855</v>
      </c>
      <c r="B418" t="s">
        <v>492</v>
      </c>
      <c r="C418" t="s">
        <v>6</v>
      </c>
    </row>
    <row r="419" spans="1:3" x14ac:dyDescent="0.25">
      <c r="A419">
        <v>861</v>
      </c>
      <c r="B419" t="s">
        <v>493</v>
      </c>
      <c r="C419" t="s">
        <v>6</v>
      </c>
    </row>
    <row r="420" spans="1:3" x14ac:dyDescent="0.25">
      <c r="A420">
        <v>863</v>
      </c>
      <c r="B420" t="s">
        <v>494</v>
      </c>
      <c r="C420" t="s">
        <v>6</v>
      </c>
    </row>
    <row r="421" spans="1:3" x14ac:dyDescent="0.25">
      <c r="A421">
        <v>866</v>
      </c>
      <c r="B421" t="s">
        <v>495</v>
      </c>
      <c r="C421" t="s">
        <v>6</v>
      </c>
    </row>
    <row r="422" spans="1:3" x14ac:dyDescent="0.25">
      <c r="A422">
        <v>867</v>
      </c>
      <c r="B422" t="s">
        <v>496</v>
      </c>
      <c r="C422" t="s">
        <v>6</v>
      </c>
    </row>
    <row r="423" spans="1:3" x14ac:dyDescent="0.25">
      <c r="A423">
        <v>868</v>
      </c>
      <c r="B423" t="s">
        <v>497</v>
      </c>
      <c r="C423" t="s">
        <v>6</v>
      </c>
    </row>
    <row r="424" spans="1:3" x14ac:dyDescent="0.25">
      <c r="A424">
        <v>869</v>
      </c>
      <c r="B424" t="s">
        <v>498</v>
      </c>
      <c r="C424" t="s">
        <v>6</v>
      </c>
    </row>
    <row r="425" spans="1:3" x14ac:dyDescent="0.25">
      <c r="A425">
        <v>870</v>
      </c>
      <c r="B425" t="s">
        <v>499</v>
      </c>
      <c r="C425" t="s">
        <v>6</v>
      </c>
    </row>
    <row r="426" spans="1:3" x14ac:dyDescent="0.25">
      <c r="A426">
        <v>872</v>
      </c>
      <c r="B426" t="s">
        <v>500</v>
      </c>
      <c r="C426" t="s">
        <v>6</v>
      </c>
    </row>
    <row r="427" spans="1:3" x14ac:dyDescent="0.25">
      <c r="A427">
        <v>877</v>
      </c>
      <c r="B427" t="s">
        <v>501</v>
      </c>
      <c r="C427" t="s">
        <v>6</v>
      </c>
    </row>
    <row r="428" spans="1:3" x14ac:dyDescent="0.25">
      <c r="A428">
        <v>879</v>
      </c>
      <c r="B428" t="s">
        <v>502</v>
      </c>
      <c r="C428" t="s">
        <v>6</v>
      </c>
    </row>
    <row r="429" spans="1:3" x14ac:dyDescent="0.25">
      <c r="A429">
        <v>880</v>
      </c>
      <c r="B429" t="s">
        <v>503</v>
      </c>
      <c r="C429" t="s">
        <v>6</v>
      </c>
    </row>
    <row r="430" spans="1:3" x14ac:dyDescent="0.25">
      <c r="A430">
        <v>883</v>
      </c>
      <c r="B430" t="s">
        <v>504</v>
      </c>
      <c r="C430" t="s">
        <v>6</v>
      </c>
    </row>
    <row r="431" spans="1:3" x14ac:dyDescent="0.25">
      <c r="A431">
        <v>884</v>
      </c>
      <c r="B431" t="s">
        <v>505</v>
      </c>
      <c r="C431" t="s">
        <v>6</v>
      </c>
    </row>
    <row r="432" spans="1:3" x14ac:dyDescent="0.25">
      <c r="A432">
        <v>885</v>
      </c>
      <c r="B432" t="s">
        <v>506</v>
      </c>
      <c r="C432" t="s">
        <v>6</v>
      </c>
    </row>
    <row r="433" spans="1:3" x14ac:dyDescent="0.25">
      <c r="A433">
        <v>886</v>
      </c>
      <c r="B433" t="s">
        <v>507</v>
      </c>
      <c r="C433" t="s">
        <v>6</v>
      </c>
    </row>
    <row r="434" spans="1:3" x14ac:dyDescent="0.25">
      <c r="A434">
        <v>888</v>
      </c>
      <c r="B434" t="s">
        <v>508</v>
      </c>
      <c r="C434" t="s">
        <v>6</v>
      </c>
    </row>
    <row r="435" spans="1:3" x14ac:dyDescent="0.25">
      <c r="A435">
        <v>889</v>
      </c>
      <c r="B435" t="s">
        <v>509</v>
      </c>
      <c r="C435" t="s">
        <v>6</v>
      </c>
    </row>
    <row r="436" spans="1:3" x14ac:dyDescent="0.25">
      <c r="A436">
        <v>901</v>
      </c>
      <c r="B436" t="s">
        <v>510</v>
      </c>
      <c r="C436" t="s">
        <v>6</v>
      </c>
    </row>
    <row r="437" spans="1:3" x14ac:dyDescent="0.25">
      <c r="A437">
        <v>902</v>
      </c>
      <c r="B437" t="s">
        <v>511</v>
      </c>
      <c r="C437" t="s">
        <v>6</v>
      </c>
    </row>
    <row r="438" spans="1:3" x14ac:dyDescent="0.25">
      <c r="A438">
        <v>903</v>
      </c>
      <c r="B438" t="s">
        <v>512</v>
      </c>
      <c r="C438" t="s">
        <v>6</v>
      </c>
    </row>
    <row r="439" spans="1:3" x14ac:dyDescent="0.25">
      <c r="A439">
        <v>904</v>
      </c>
      <c r="B439" t="s">
        <v>513</v>
      </c>
      <c r="C439" t="s">
        <v>6</v>
      </c>
    </row>
    <row r="440" spans="1:3" x14ac:dyDescent="0.25">
      <c r="A440">
        <v>905</v>
      </c>
      <c r="B440" t="s">
        <v>514</v>
      </c>
      <c r="C440" t="s">
        <v>6</v>
      </c>
    </row>
    <row r="441" spans="1:3" x14ac:dyDescent="0.25">
      <c r="A441">
        <v>906</v>
      </c>
      <c r="B441" t="s">
        <v>515</v>
      </c>
      <c r="C441" t="s">
        <v>6</v>
      </c>
    </row>
    <row r="442" spans="1:3" x14ac:dyDescent="0.25">
      <c r="A442">
        <v>907</v>
      </c>
      <c r="B442" t="s">
        <v>516</v>
      </c>
      <c r="C442" t="s">
        <v>6</v>
      </c>
    </row>
    <row r="443" spans="1:3" x14ac:dyDescent="0.25">
      <c r="A443">
        <v>908</v>
      </c>
      <c r="B443" t="s">
        <v>517</v>
      </c>
      <c r="C443" t="s">
        <v>6</v>
      </c>
    </row>
    <row r="444" spans="1:3" x14ac:dyDescent="0.25">
      <c r="A444">
        <v>909</v>
      </c>
      <c r="B444" t="s">
        <v>518</v>
      </c>
      <c r="C444" t="s">
        <v>6</v>
      </c>
    </row>
    <row r="445" spans="1:3" x14ac:dyDescent="0.25">
      <c r="A445">
        <v>921</v>
      </c>
      <c r="B445" t="s">
        <v>519</v>
      </c>
      <c r="C445" t="s">
        <v>6</v>
      </c>
    </row>
    <row r="446" spans="1:3" x14ac:dyDescent="0.25">
      <c r="A446">
        <v>922</v>
      </c>
      <c r="B446" t="s">
        <v>520</v>
      </c>
      <c r="C446" t="s">
        <v>6</v>
      </c>
    </row>
    <row r="447" spans="1:3" x14ac:dyDescent="0.25">
      <c r="A447">
        <v>923</v>
      </c>
      <c r="B447" t="s">
        <v>521</v>
      </c>
      <c r="C447" t="s">
        <v>6</v>
      </c>
    </row>
    <row r="448" spans="1:3" x14ac:dyDescent="0.25">
      <c r="A448">
        <v>924</v>
      </c>
      <c r="B448" t="s">
        <v>522</v>
      </c>
      <c r="C448" t="s">
        <v>6</v>
      </c>
    </row>
    <row r="449" spans="1:3" x14ac:dyDescent="0.25">
      <c r="A449">
        <v>925</v>
      </c>
      <c r="B449" t="s">
        <v>523</v>
      </c>
      <c r="C449" t="s">
        <v>6</v>
      </c>
    </row>
    <row r="450" spans="1:3" x14ac:dyDescent="0.25">
      <c r="A450">
        <v>927</v>
      </c>
      <c r="B450" t="s">
        <v>524</v>
      </c>
      <c r="C450" t="s">
        <v>6</v>
      </c>
    </row>
    <row r="451" spans="1:3" x14ac:dyDescent="0.25">
      <c r="A451">
        <v>928</v>
      </c>
      <c r="B451" t="s">
        <v>525</v>
      </c>
      <c r="C451" t="s">
        <v>6</v>
      </c>
    </row>
    <row r="452" spans="1:3" x14ac:dyDescent="0.25">
      <c r="A452">
        <v>929</v>
      </c>
      <c r="B452" t="s">
        <v>526</v>
      </c>
      <c r="C452" t="s">
        <v>6</v>
      </c>
    </row>
    <row r="453" spans="1:3" x14ac:dyDescent="0.25">
      <c r="A453">
        <v>931</v>
      </c>
      <c r="B453" t="s">
        <v>527</v>
      </c>
      <c r="C453" t="s">
        <v>6</v>
      </c>
    </row>
    <row r="454" spans="1:3" x14ac:dyDescent="0.25">
      <c r="A454">
        <v>932</v>
      </c>
      <c r="B454" t="s">
        <v>528</v>
      </c>
      <c r="C454" t="s">
        <v>6</v>
      </c>
    </row>
    <row r="455" spans="1:3" x14ac:dyDescent="0.25">
      <c r="A455">
        <v>934</v>
      </c>
      <c r="B455" t="s">
        <v>529</v>
      </c>
      <c r="C455" t="s">
        <v>6</v>
      </c>
    </row>
    <row r="456" spans="1:3" x14ac:dyDescent="0.25">
      <c r="A456">
        <v>935</v>
      </c>
      <c r="B456" t="s">
        <v>530</v>
      </c>
      <c r="C456" t="s">
        <v>6</v>
      </c>
    </row>
    <row r="457" spans="1:3" x14ac:dyDescent="0.25">
      <c r="A457">
        <v>936</v>
      </c>
      <c r="B457" t="s">
        <v>531</v>
      </c>
      <c r="C457" t="s">
        <v>6</v>
      </c>
    </row>
    <row r="458" spans="1:3" x14ac:dyDescent="0.25">
      <c r="A458">
        <v>938</v>
      </c>
      <c r="B458" t="s">
        <v>532</v>
      </c>
      <c r="C458" t="s">
        <v>6</v>
      </c>
    </row>
    <row r="459" spans="1:3" x14ac:dyDescent="0.25">
      <c r="A459">
        <v>939</v>
      </c>
      <c r="B459" t="s">
        <v>533</v>
      </c>
      <c r="C459" t="s">
        <v>6</v>
      </c>
    </row>
    <row r="460" spans="1:3" x14ac:dyDescent="0.25">
      <c r="A460">
        <v>940</v>
      </c>
      <c r="B460" t="s">
        <v>534</v>
      </c>
      <c r="C460" t="s">
        <v>6</v>
      </c>
    </row>
    <row r="461" spans="1:3" x14ac:dyDescent="0.25">
      <c r="A461">
        <v>941</v>
      </c>
      <c r="B461" t="s">
        <v>535</v>
      </c>
      <c r="C461" t="s">
        <v>6</v>
      </c>
    </row>
    <row r="462" spans="1:3" x14ac:dyDescent="0.25">
      <c r="A462">
        <v>942</v>
      </c>
      <c r="B462" t="s">
        <v>536</v>
      </c>
      <c r="C462" t="s">
        <v>6</v>
      </c>
    </row>
    <row r="463" spans="1:3" x14ac:dyDescent="0.25">
      <c r="A463">
        <v>943</v>
      </c>
      <c r="B463" t="s">
        <v>537</v>
      </c>
      <c r="C463" t="s">
        <v>6</v>
      </c>
    </row>
    <row r="464" spans="1:3" x14ac:dyDescent="0.25">
      <c r="A464">
        <v>944</v>
      </c>
      <c r="B464" t="s">
        <v>538</v>
      </c>
      <c r="C464" t="s">
        <v>6</v>
      </c>
    </row>
    <row r="465" spans="1:3" x14ac:dyDescent="0.25">
      <c r="A465">
        <v>945</v>
      </c>
      <c r="B465" t="s">
        <v>539</v>
      </c>
      <c r="C465" t="s">
        <v>6</v>
      </c>
    </row>
    <row r="466" spans="1:3" x14ac:dyDescent="0.25">
      <c r="A466">
        <v>946</v>
      </c>
      <c r="B466" t="s">
        <v>540</v>
      </c>
      <c r="C466" t="s">
        <v>6</v>
      </c>
    </row>
    <row r="467" spans="1:3" x14ac:dyDescent="0.25">
      <c r="A467">
        <v>948</v>
      </c>
      <c r="B467" t="s">
        <v>541</v>
      </c>
      <c r="C467" t="s">
        <v>6</v>
      </c>
    </row>
    <row r="468" spans="1:3" x14ac:dyDescent="0.25">
      <c r="A468">
        <v>951</v>
      </c>
      <c r="B468" t="s">
        <v>542</v>
      </c>
      <c r="C468" t="s">
        <v>6</v>
      </c>
    </row>
    <row r="469" spans="1:3" x14ac:dyDescent="0.25">
      <c r="A469">
        <v>952</v>
      </c>
      <c r="B469" t="s">
        <v>543</v>
      </c>
      <c r="C469" t="s">
        <v>6</v>
      </c>
    </row>
    <row r="470" spans="1:3" x14ac:dyDescent="0.25">
      <c r="A470">
        <v>953</v>
      </c>
      <c r="B470" t="s">
        <v>544</v>
      </c>
      <c r="C470" t="s">
        <v>6</v>
      </c>
    </row>
    <row r="471" spans="1:3" x14ac:dyDescent="0.25">
      <c r="A471">
        <v>954</v>
      </c>
      <c r="B471" t="s">
        <v>545</v>
      </c>
      <c r="C471" t="s">
        <v>6</v>
      </c>
    </row>
    <row r="472" spans="1:3" x14ac:dyDescent="0.25">
      <c r="A472">
        <v>955</v>
      </c>
      <c r="B472" t="s">
        <v>546</v>
      </c>
      <c r="C472" t="s">
        <v>6</v>
      </c>
    </row>
    <row r="473" spans="1:3" x14ac:dyDescent="0.25">
      <c r="A473">
        <v>956</v>
      </c>
      <c r="B473" t="s">
        <v>547</v>
      </c>
      <c r="C473" t="s">
        <v>6</v>
      </c>
    </row>
    <row r="474" spans="1:3" x14ac:dyDescent="0.25">
      <c r="A474">
        <v>957</v>
      </c>
      <c r="B474" t="s">
        <v>548</v>
      </c>
      <c r="C474" t="s">
        <v>6</v>
      </c>
    </row>
    <row r="475" spans="1:3" x14ac:dyDescent="0.25">
      <c r="A475">
        <v>958</v>
      </c>
      <c r="B475" t="s">
        <v>549</v>
      </c>
      <c r="C475" t="s">
        <v>6</v>
      </c>
    </row>
    <row r="476" spans="1:3" x14ac:dyDescent="0.25">
      <c r="A476">
        <v>959</v>
      </c>
      <c r="B476" t="s">
        <v>550</v>
      </c>
      <c r="C476" t="s">
        <v>6</v>
      </c>
    </row>
    <row r="477" spans="1:3" x14ac:dyDescent="0.25">
      <c r="A477">
        <v>960</v>
      </c>
      <c r="B477" t="s">
        <v>551</v>
      </c>
      <c r="C477" t="s">
        <v>6</v>
      </c>
    </row>
    <row r="478" spans="1:3" x14ac:dyDescent="0.25">
      <c r="A478">
        <v>971</v>
      </c>
      <c r="B478" t="s">
        <v>552</v>
      </c>
      <c r="C478" t="s">
        <v>6</v>
      </c>
    </row>
    <row r="479" spans="1:3" x14ac:dyDescent="0.25">
      <c r="A479">
        <v>972</v>
      </c>
      <c r="B479" t="s">
        <v>553</v>
      </c>
      <c r="C479" t="s">
        <v>6</v>
      </c>
    </row>
    <row r="480" spans="1:3" x14ac:dyDescent="0.25">
      <c r="A480">
        <v>973</v>
      </c>
      <c r="B480" t="s">
        <v>554</v>
      </c>
      <c r="C480" t="s">
        <v>6</v>
      </c>
    </row>
    <row r="481" spans="1:3" x14ac:dyDescent="0.25">
      <c r="A481">
        <v>975</v>
      </c>
      <c r="B481" t="s">
        <v>555</v>
      </c>
      <c r="C481" t="s">
        <v>6</v>
      </c>
    </row>
    <row r="482" spans="1:3" x14ac:dyDescent="0.25">
      <c r="A482">
        <v>976</v>
      </c>
      <c r="B482" t="s">
        <v>556</v>
      </c>
      <c r="C482" t="s">
        <v>6</v>
      </c>
    </row>
    <row r="483" spans="1:3" x14ac:dyDescent="0.25">
      <c r="A483">
        <v>977</v>
      </c>
      <c r="B483" t="s">
        <v>557</v>
      </c>
      <c r="C483" t="s">
        <v>6</v>
      </c>
    </row>
    <row r="484" spans="1:3" x14ac:dyDescent="0.25">
      <c r="A484">
        <v>979</v>
      </c>
      <c r="B484" t="s">
        <v>558</v>
      </c>
      <c r="C484" t="s">
        <v>6</v>
      </c>
    </row>
    <row r="485" spans="1:3" x14ac:dyDescent="0.25">
      <c r="A485">
        <v>980</v>
      </c>
      <c r="B485" t="s">
        <v>559</v>
      </c>
      <c r="C485" t="s">
        <v>6</v>
      </c>
    </row>
    <row r="486" spans="1:3" x14ac:dyDescent="0.25">
      <c r="A486">
        <v>981</v>
      </c>
      <c r="B486" t="s">
        <v>560</v>
      </c>
      <c r="C486" t="s">
        <v>6</v>
      </c>
    </row>
    <row r="487" spans="1:3" x14ac:dyDescent="0.25">
      <c r="A487">
        <v>982</v>
      </c>
      <c r="B487" t="s">
        <v>561</v>
      </c>
      <c r="C487" t="s">
        <v>6</v>
      </c>
    </row>
    <row r="488" spans="1:3" x14ac:dyDescent="0.25">
      <c r="A488">
        <v>983</v>
      </c>
      <c r="B488" t="s">
        <v>562</v>
      </c>
      <c r="C488" t="s">
        <v>6</v>
      </c>
    </row>
    <row r="489" spans="1:3" x14ac:dyDescent="0.25">
      <c r="A489">
        <v>985</v>
      </c>
      <c r="B489" t="s">
        <v>563</v>
      </c>
      <c r="C489" t="s">
        <v>6</v>
      </c>
    </row>
    <row r="490" spans="1:3" x14ac:dyDescent="0.25">
      <c r="A490">
        <v>987</v>
      </c>
      <c r="B490" t="s">
        <v>564</v>
      </c>
      <c r="C490" t="s">
        <v>6</v>
      </c>
    </row>
    <row r="491" spans="1:3" x14ac:dyDescent="0.25">
      <c r="A491">
        <v>988</v>
      </c>
      <c r="B491" t="s">
        <v>565</v>
      </c>
      <c r="C491" t="s">
        <v>6</v>
      </c>
    </row>
    <row r="492" spans="1:3" x14ac:dyDescent="0.25">
      <c r="A492">
        <v>989</v>
      </c>
      <c r="B492" t="s">
        <v>566</v>
      </c>
      <c r="C492" t="s">
        <v>6</v>
      </c>
    </row>
    <row r="493" spans="1:3" x14ac:dyDescent="0.25">
      <c r="A493">
        <v>990</v>
      </c>
      <c r="B493" t="s">
        <v>567</v>
      </c>
      <c r="C493" t="s">
        <v>6</v>
      </c>
    </row>
    <row r="494" spans="1:3" x14ac:dyDescent="0.25">
      <c r="A494">
        <v>991</v>
      </c>
      <c r="B494" t="s">
        <v>568</v>
      </c>
      <c r="C494" t="s">
        <v>6</v>
      </c>
    </row>
    <row r="495" spans="1:3" x14ac:dyDescent="0.25">
      <c r="A495">
        <v>992</v>
      </c>
      <c r="B495" t="s">
        <v>569</v>
      </c>
      <c r="C495" t="s">
        <v>6</v>
      </c>
    </row>
    <row r="496" spans="1:3" x14ac:dyDescent="0.25">
      <c r="A496">
        <v>995</v>
      </c>
      <c r="B496" t="s">
        <v>570</v>
      </c>
      <c r="C496" t="s">
        <v>6</v>
      </c>
    </row>
    <row r="497" spans="1:3" x14ac:dyDescent="0.25">
      <c r="A497">
        <v>1001</v>
      </c>
      <c r="B497" t="s">
        <v>571</v>
      </c>
      <c r="C497" t="s">
        <v>9</v>
      </c>
    </row>
    <row r="498" spans="1:3" x14ac:dyDescent="0.25">
      <c r="A498">
        <v>1002</v>
      </c>
      <c r="B498" t="s">
        <v>572</v>
      </c>
      <c r="C498" t="s">
        <v>9</v>
      </c>
    </row>
    <row r="499" spans="1:3" x14ac:dyDescent="0.25">
      <c r="A499">
        <v>1004</v>
      </c>
      <c r="B499" t="s">
        <v>573</v>
      </c>
      <c r="C499" t="s">
        <v>9</v>
      </c>
    </row>
    <row r="500" spans="1:3" x14ac:dyDescent="0.25">
      <c r="A500">
        <v>1005</v>
      </c>
      <c r="B500" t="s">
        <v>574</v>
      </c>
      <c r="C500" t="s">
        <v>9</v>
      </c>
    </row>
    <row r="501" spans="1:3" x14ac:dyDescent="0.25">
      <c r="A501">
        <v>1007</v>
      </c>
      <c r="B501" t="s">
        <v>575</v>
      </c>
      <c r="C501" t="s">
        <v>9</v>
      </c>
    </row>
    <row r="502" spans="1:3" x14ac:dyDescent="0.25">
      <c r="A502">
        <v>1008</v>
      </c>
      <c r="B502" t="s">
        <v>576</v>
      </c>
      <c r="C502" t="s">
        <v>9</v>
      </c>
    </row>
    <row r="503" spans="1:3" x14ac:dyDescent="0.25">
      <c r="A503">
        <v>1009</v>
      </c>
      <c r="B503" t="s">
        <v>577</v>
      </c>
      <c r="C503" t="s">
        <v>9</v>
      </c>
    </row>
    <row r="504" spans="1:3" x14ac:dyDescent="0.25">
      <c r="A504">
        <v>1010</v>
      </c>
      <c r="B504" t="s">
        <v>578</v>
      </c>
      <c r="C504" t="s">
        <v>9</v>
      </c>
    </row>
    <row r="505" spans="1:3" x14ac:dyDescent="0.25">
      <c r="A505">
        <v>1021</v>
      </c>
      <c r="B505" t="s">
        <v>579</v>
      </c>
      <c r="C505" t="s">
        <v>9</v>
      </c>
    </row>
    <row r="506" spans="1:3" x14ac:dyDescent="0.25">
      <c r="A506">
        <v>1023</v>
      </c>
      <c r="B506" t="s">
        <v>580</v>
      </c>
      <c r="C506" t="s">
        <v>9</v>
      </c>
    </row>
    <row r="507" spans="1:3" x14ac:dyDescent="0.25">
      <c r="A507">
        <v>1024</v>
      </c>
      <c r="B507" t="s">
        <v>581</v>
      </c>
      <c r="C507" t="s">
        <v>9</v>
      </c>
    </row>
    <row r="508" spans="1:3" x14ac:dyDescent="0.25">
      <c r="A508">
        <v>1025</v>
      </c>
      <c r="B508" t="s">
        <v>582</v>
      </c>
      <c r="C508" t="s">
        <v>9</v>
      </c>
    </row>
    <row r="509" spans="1:3" x14ac:dyDescent="0.25">
      <c r="A509">
        <v>1026</v>
      </c>
      <c r="B509" t="s">
        <v>583</v>
      </c>
      <c r="C509" t="s">
        <v>9</v>
      </c>
    </row>
    <row r="510" spans="1:3" x14ac:dyDescent="0.25">
      <c r="A510">
        <v>1030</v>
      </c>
      <c r="B510" t="s">
        <v>584</v>
      </c>
      <c r="C510" t="s">
        <v>9</v>
      </c>
    </row>
    <row r="511" spans="1:3" x14ac:dyDescent="0.25">
      <c r="A511">
        <v>1031</v>
      </c>
      <c r="B511" t="s">
        <v>585</v>
      </c>
      <c r="C511" t="s">
        <v>9</v>
      </c>
    </row>
    <row r="512" spans="1:3" x14ac:dyDescent="0.25">
      <c r="A512">
        <v>1032</v>
      </c>
      <c r="B512" t="s">
        <v>586</v>
      </c>
      <c r="C512" t="s">
        <v>9</v>
      </c>
    </row>
    <row r="513" spans="1:3" x14ac:dyDescent="0.25">
      <c r="A513">
        <v>1033</v>
      </c>
      <c r="B513" t="s">
        <v>587</v>
      </c>
      <c r="C513" t="s">
        <v>9</v>
      </c>
    </row>
    <row r="514" spans="1:3" x14ac:dyDescent="0.25">
      <c r="A514">
        <v>1037</v>
      </c>
      <c r="B514" t="s">
        <v>588</v>
      </c>
      <c r="C514" t="s">
        <v>9</v>
      </c>
    </row>
    <row r="515" spans="1:3" x14ac:dyDescent="0.25">
      <c r="A515">
        <v>1039</v>
      </c>
      <c r="B515" t="s">
        <v>589</v>
      </c>
      <c r="C515" t="s">
        <v>9</v>
      </c>
    </row>
    <row r="516" spans="1:3" x14ac:dyDescent="0.25">
      <c r="A516">
        <v>1040</v>
      </c>
      <c r="B516" t="s">
        <v>590</v>
      </c>
      <c r="C516" t="s">
        <v>9</v>
      </c>
    </row>
    <row r="517" spans="1:3" x14ac:dyDescent="0.25">
      <c r="A517">
        <v>1041</v>
      </c>
      <c r="B517" t="s">
        <v>591</v>
      </c>
      <c r="C517" t="s">
        <v>9</v>
      </c>
    </row>
    <row r="518" spans="1:3" x14ac:dyDescent="0.25">
      <c r="A518">
        <v>1051</v>
      </c>
      <c r="B518" t="s">
        <v>592</v>
      </c>
      <c r="C518" t="s">
        <v>9</v>
      </c>
    </row>
    <row r="519" spans="1:3" x14ac:dyDescent="0.25">
      <c r="A519">
        <v>1052</v>
      </c>
      <c r="B519" t="s">
        <v>593</v>
      </c>
      <c r="C519" t="s">
        <v>9</v>
      </c>
    </row>
    <row r="520" spans="1:3" x14ac:dyDescent="0.25">
      <c r="A520">
        <v>1053</v>
      </c>
      <c r="B520" t="s">
        <v>594</v>
      </c>
      <c r="C520" t="s">
        <v>9</v>
      </c>
    </row>
    <row r="521" spans="1:3" x14ac:dyDescent="0.25">
      <c r="A521">
        <v>1054</v>
      </c>
      <c r="B521" t="s">
        <v>595</v>
      </c>
      <c r="C521" t="s">
        <v>9</v>
      </c>
    </row>
    <row r="522" spans="1:3" x14ac:dyDescent="0.25">
      <c r="A522">
        <v>1055</v>
      </c>
      <c r="B522" t="s">
        <v>596</v>
      </c>
      <c r="C522" t="s">
        <v>9</v>
      </c>
    </row>
    <row r="523" spans="1:3" x14ac:dyDescent="0.25">
      <c r="A523">
        <v>1056</v>
      </c>
      <c r="B523" t="s">
        <v>597</v>
      </c>
      <c r="C523" t="s">
        <v>9</v>
      </c>
    </row>
    <row r="524" spans="1:3" x14ac:dyDescent="0.25">
      <c r="A524">
        <v>1058</v>
      </c>
      <c r="B524" t="s">
        <v>598</v>
      </c>
      <c r="C524" t="s">
        <v>9</v>
      </c>
    </row>
    <row r="525" spans="1:3" x14ac:dyDescent="0.25">
      <c r="A525">
        <v>1059</v>
      </c>
      <c r="B525" t="s">
        <v>599</v>
      </c>
      <c r="C525" t="s">
        <v>9</v>
      </c>
    </row>
    <row r="526" spans="1:3" x14ac:dyDescent="0.25">
      <c r="A526">
        <v>1061</v>
      </c>
      <c r="B526" t="s">
        <v>10</v>
      </c>
      <c r="C526" t="s">
        <v>9</v>
      </c>
    </row>
    <row r="527" spans="1:3" x14ac:dyDescent="0.25">
      <c r="A527">
        <v>1062</v>
      </c>
      <c r="B527" t="s">
        <v>600</v>
      </c>
      <c r="C527" t="s">
        <v>9</v>
      </c>
    </row>
    <row r="528" spans="1:3" x14ac:dyDescent="0.25">
      <c r="A528">
        <v>1063</v>
      </c>
      <c r="B528" t="s">
        <v>601</v>
      </c>
      <c r="C528" t="s">
        <v>9</v>
      </c>
    </row>
    <row r="529" spans="1:3" x14ac:dyDescent="0.25">
      <c r="A529">
        <v>1064</v>
      </c>
      <c r="B529" t="s">
        <v>602</v>
      </c>
      <c r="C529" t="s">
        <v>9</v>
      </c>
    </row>
    <row r="530" spans="1:3" x14ac:dyDescent="0.25">
      <c r="A530">
        <v>1065</v>
      </c>
      <c r="B530" t="s">
        <v>603</v>
      </c>
      <c r="C530" t="s">
        <v>9</v>
      </c>
    </row>
    <row r="531" spans="1:3" x14ac:dyDescent="0.25">
      <c r="A531">
        <v>1066</v>
      </c>
      <c r="B531" t="s">
        <v>604</v>
      </c>
      <c r="C531" t="s">
        <v>9</v>
      </c>
    </row>
    <row r="532" spans="1:3" x14ac:dyDescent="0.25">
      <c r="A532">
        <v>1067</v>
      </c>
      <c r="B532" t="s">
        <v>605</v>
      </c>
      <c r="C532" t="s">
        <v>9</v>
      </c>
    </row>
    <row r="533" spans="1:3" x14ac:dyDescent="0.25">
      <c r="A533">
        <v>1068</v>
      </c>
      <c r="B533" t="s">
        <v>606</v>
      </c>
      <c r="C533" t="s">
        <v>9</v>
      </c>
    </row>
    <row r="534" spans="1:3" x14ac:dyDescent="0.25">
      <c r="A534">
        <v>1069</v>
      </c>
      <c r="B534" t="s">
        <v>607</v>
      </c>
      <c r="C534" t="s">
        <v>9</v>
      </c>
    </row>
    <row r="535" spans="1:3" x14ac:dyDescent="0.25">
      <c r="A535">
        <v>1081</v>
      </c>
      <c r="B535" t="s">
        <v>608</v>
      </c>
      <c r="C535" t="s">
        <v>9</v>
      </c>
    </row>
    <row r="536" spans="1:3" x14ac:dyDescent="0.25">
      <c r="A536">
        <v>1082</v>
      </c>
      <c r="B536" t="s">
        <v>609</v>
      </c>
      <c r="C536" t="s">
        <v>9</v>
      </c>
    </row>
    <row r="537" spans="1:3" x14ac:dyDescent="0.25">
      <c r="A537">
        <v>1083</v>
      </c>
      <c r="B537" t="s">
        <v>610</v>
      </c>
      <c r="C537" t="s">
        <v>9</v>
      </c>
    </row>
    <row r="538" spans="1:3" x14ac:dyDescent="0.25">
      <c r="A538">
        <v>1084</v>
      </c>
      <c r="B538" t="s">
        <v>611</v>
      </c>
      <c r="C538" t="s">
        <v>9</v>
      </c>
    </row>
    <row r="539" spans="1:3" x14ac:dyDescent="0.25">
      <c r="A539">
        <v>1085</v>
      </c>
      <c r="B539" t="s">
        <v>612</v>
      </c>
      <c r="C539" t="s">
        <v>9</v>
      </c>
    </row>
    <row r="540" spans="1:3" x14ac:dyDescent="0.25">
      <c r="A540">
        <v>1086</v>
      </c>
      <c r="B540" t="s">
        <v>613</v>
      </c>
      <c r="C540" t="s">
        <v>9</v>
      </c>
    </row>
    <row r="541" spans="1:3" x14ac:dyDescent="0.25">
      <c r="A541">
        <v>1088</v>
      </c>
      <c r="B541" t="s">
        <v>614</v>
      </c>
      <c r="C541" t="s">
        <v>9</v>
      </c>
    </row>
    <row r="542" spans="1:3" x14ac:dyDescent="0.25">
      <c r="A542">
        <v>1089</v>
      </c>
      <c r="B542" t="s">
        <v>615</v>
      </c>
      <c r="C542" t="s">
        <v>9</v>
      </c>
    </row>
    <row r="543" spans="1:3" x14ac:dyDescent="0.25">
      <c r="A543">
        <v>1091</v>
      </c>
      <c r="B543" t="s">
        <v>616</v>
      </c>
      <c r="C543" t="s">
        <v>9</v>
      </c>
    </row>
    <row r="544" spans="1:3" x14ac:dyDescent="0.25">
      <c r="A544">
        <v>1093</v>
      </c>
      <c r="B544" t="s">
        <v>617</v>
      </c>
      <c r="C544" t="s">
        <v>9</v>
      </c>
    </row>
    <row r="545" spans="1:3" x14ac:dyDescent="0.25">
      <c r="A545">
        <v>1094</v>
      </c>
      <c r="B545" t="s">
        <v>618</v>
      </c>
      <c r="C545" t="s">
        <v>9</v>
      </c>
    </row>
    <row r="546" spans="1:3" x14ac:dyDescent="0.25">
      <c r="A546">
        <v>1095</v>
      </c>
      <c r="B546" t="s">
        <v>619</v>
      </c>
      <c r="C546" t="s">
        <v>9</v>
      </c>
    </row>
    <row r="547" spans="1:3" x14ac:dyDescent="0.25">
      <c r="A547">
        <v>1097</v>
      </c>
      <c r="B547" t="s">
        <v>620</v>
      </c>
      <c r="C547" t="s">
        <v>9</v>
      </c>
    </row>
    <row r="548" spans="1:3" x14ac:dyDescent="0.25">
      <c r="A548">
        <v>1098</v>
      </c>
      <c r="B548" t="s">
        <v>621</v>
      </c>
      <c r="C548" t="s">
        <v>9</v>
      </c>
    </row>
    <row r="549" spans="1:3" x14ac:dyDescent="0.25">
      <c r="A549">
        <v>1099</v>
      </c>
      <c r="B549" t="s">
        <v>622</v>
      </c>
      <c r="C549" t="s">
        <v>9</v>
      </c>
    </row>
    <row r="550" spans="1:3" x14ac:dyDescent="0.25">
      <c r="A550">
        <v>1100</v>
      </c>
      <c r="B550" t="s">
        <v>623</v>
      </c>
      <c r="C550" t="s">
        <v>9</v>
      </c>
    </row>
    <row r="551" spans="1:3" x14ac:dyDescent="0.25">
      <c r="A551">
        <v>1102</v>
      </c>
      <c r="B551" t="s">
        <v>624</v>
      </c>
      <c r="C551" t="s">
        <v>9</v>
      </c>
    </row>
    <row r="552" spans="1:3" x14ac:dyDescent="0.25">
      <c r="A552">
        <v>1103</v>
      </c>
      <c r="B552" t="s">
        <v>625</v>
      </c>
      <c r="C552" t="s">
        <v>9</v>
      </c>
    </row>
    <row r="553" spans="1:3" x14ac:dyDescent="0.25">
      <c r="A553">
        <v>1104</v>
      </c>
      <c r="B553" t="s">
        <v>626</v>
      </c>
      <c r="C553" t="s">
        <v>9</v>
      </c>
    </row>
    <row r="554" spans="1:3" x14ac:dyDescent="0.25">
      <c r="A554">
        <v>1107</v>
      </c>
      <c r="B554" t="s">
        <v>627</v>
      </c>
      <c r="C554" t="s">
        <v>9</v>
      </c>
    </row>
    <row r="555" spans="1:3" x14ac:dyDescent="0.25">
      <c r="A555">
        <v>1121</v>
      </c>
      <c r="B555" t="s">
        <v>628</v>
      </c>
      <c r="C555" t="s">
        <v>9</v>
      </c>
    </row>
    <row r="556" spans="1:3" x14ac:dyDescent="0.25">
      <c r="A556">
        <v>1122</v>
      </c>
      <c r="B556" t="s">
        <v>629</v>
      </c>
      <c r="C556" t="s">
        <v>9</v>
      </c>
    </row>
    <row r="557" spans="1:3" x14ac:dyDescent="0.25">
      <c r="A557">
        <v>1123</v>
      </c>
      <c r="B557" t="s">
        <v>630</v>
      </c>
      <c r="C557" t="s">
        <v>9</v>
      </c>
    </row>
    <row r="558" spans="1:3" x14ac:dyDescent="0.25">
      <c r="A558">
        <v>1125</v>
      </c>
      <c r="B558" t="s">
        <v>631</v>
      </c>
      <c r="C558" t="s">
        <v>9</v>
      </c>
    </row>
    <row r="559" spans="1:3" x14ac:dyDescent="0.25">
      <c r="A559">
        <v>1127</v>
      </c>
      <c r="B559" t="s">
        <v>632</v>
      </c>
      <c r="C559" t="s">
        <v>9</v>
      </c>
    </row>
    <row r="560" spans="1:3" x14ac:dyDescent="0.25">
      <c r="A560">
        <v>1128</v>
      </c>
      <c r="B560" t="s">
        <v>633</v>
      </c>
      <c r="C560" t="s">
        <v>9</v>
      </c>
    </row>
    <row r="561" spans="1:3" x14ac:dyDescent="0.25">
      <c r="A561">
        <v>1129</v>
      </c>
      <c r="B561" t="s">
        <v>634</v>
      </c>
      <c r="C561" t="s">
        <v>9</v>
      </c>
    </row>
    <row r="562" spans="1:3" x14ac:dyDescent="0.25">
      <c r="A562">
        <v>1131</v>
      </c>
      <c r="B562" t="s">
        <v>635</v>
      </c>
      <c r="C562" t="s">
        <v>9</v>
      </c>
    </row>
    <row r="563" spans="1:3" x14ac:dyDescent="0.25">
      <c r="A563">
        <v>1132</v>
      </c>
      <c r="B563" t="s">
        <v>636</v>
      </c>
      <c r="C563" t="s">
        <v>9</v>
      </c>
    </row>
    <row r="564" spans="1:3" x14ac:dyDescent="0.25">
      <c r="A564">
        <v>1135</v>
      </c>
      <c r="B564" t="s">
        <v>637</v>
      </c>
      <c r="C564" t="s">
        <v>9</v>
      </c>
    </row>
    <row r="565" spans="1:3" x14ac:dyDescent="0.25">
      <c r="A565">
        <v>1136</v>
      </c>
      <c r="B565" t="s">
        <v>638</v>
      </c>
      <c r="C565" t="s">
        <v>9</v>
      </c>
    </row>
    <row r="566" spans="1:3" x14ac:dyDescent="0.25">
      <c r="A566">
        <v>1137</v>
      </c>
      <c r="B566" t="s">
        <v>639</v>
      </c>
      <c r="C566" t="s">
        <v>9</v>
      </c>
    </row>
    <row r="567" spans="1:3" x14ac:dyDescent="0.25">
      <c r="A567">
        <v>1139</v>
      </c>
      <c r="B567" t="s">
        <v>640</v>
      </c>
      <c r="C567" t="s">
        <v>9</v>
      </c>
    </row>
    <row r="568" spans="1:3" x14ac:dyDescent="0.25">
      <c r="A568">
        <v>1140</v>
      </c>
      <c r="B568" t="s">
        <v>641</v>
      </c>
      <c r="C568" t="s">
        <v>9</v>
      </c>
    </row>
    <row r="569" spans="1:3" x14ac:dyDescent="0.25">
      <c r="A569">
        <v>1142</v>
      </c>
      <c r="B569" t="s">
        <v>642</v>
      </c>
      <c r="C569" t="s">
        <v>9</v>
      </c>
    </row>
    <row r="570" spans="1:3" x14ac:dyDescent="0.25">
      <c r="A570">
        <v>1143</v>
      </c>
      <c r="B570" t="s">
        <v>643</v>
      </c>
      <c r="C570" t="s">
        <v>9</v>
      </c>
    </row>
    <row r="571" spans="1:3" x14ac:dyDescent="0.25">
      <c r="A571">
        <v>1145</v>
      </c>
      <c r="B571" t="s">
        <v>644</v>
      </c>
      <c r="C571" t="s">
        <v>9</v>
      </c>
    </row>
    <row r="572" spans="1:3" x14ac:dyDescent="0.25">
      <c r="A572">
        <v>1146</v>
      </c>
      <c r="B572" t="s">
        <v>645</v>
      </c>
      <c r="C572" t="s">
        <v>9</v>
      </c>
    </row>
    <row r="573" spans="1:3" x14ac:dyDescent="0.25">
      <c r="A573">
        <v>1147</v>
      </c>
      <c r="B573" t="s">
        <v>646</v>
      </c>
      <c r="C573" t="s">
        <v>9</v>
      </c>
    </row>
    <row r="574" spans="1:3" x14ac:dyDescent="0.25">
      <c r="A574">
        <v>1150</v>
      </c>
      <c r="B574" t="s">
        <v>647</v>
      </c>
      <c r="C574" t="s">
        <v>9</v>
      </c>
    </row>
    <row r="575" spans="1:3" x14ac:dyDescent="0.25">
      <c r="A575">
        <v>1151</v>
      </c>
      <c r="B575" t="s">
        <v>648</v>
      </c>
      <c r="C575" t="s">
        <v>9</v>
      </c>
    </row>
    <row r="576" spans="1:3" x14ac:dyDescent="0.25">
      <c r="A576">
        <v>1201</v>
      </c>
      <c r="B576" t="s">
        <v>649</v>
      </c>
      <c r="C576" t="s">
        <v>12</v>
      </c>
    </row>
    <row r="577" spans="1:3" x14ac:dyDescent="0.25">
      <c r="A577">
        <v>1202</v>
      </c>
      <c r="B577" t="s">
        <v>650</v>
      </c>
      <c r="C577" t="s">
        <v>12</v>
      </c>
    </row>
    <row r="578" spans="1:3" x14ac:dyDescent="0.25">
      <c r="A578">
        <v>1203</v>
      </c>
      <c r="B578" t="s">
        <v>651</v>
      </c>
      <c r="C578" t="s">
        <v>12</v>
      </c>
    </row>
    <row r="579" spans="1:3" x14ac:dyDescent="0.25">
      <c r="A579">
        <v>1205</v>
      </c>
      <c r="B579" t="s">
        <v>652</v>
      </c>
      <c r="C579" t="s">
        <v>12</v>
      </c>
    </row>
    <row r="580" spans="1:3" x14ac:dyDescent="0.25">
      <c r="A580">
        <v>1206</v>
      </c>
      <c r="B580" t="s">
        <v>653</v>
      </c>
      <c r="C580" t="s">
        <v>12</v>
      </c>
    </row>
    <row r="581" spans="1:3" x14ac:dyDescent="0.25">
      <c r="A581">
        <v>1207</v>
      </c>
      <c r="B581" t="s">
        <v>654</v>
      </c>
      <c r="C581" t="s">
        <v>12</v>
      </c>
    </row>
    <row r="582" spans="1:3" x14ac:dyDescent="0.25">
      <c r="A582">
        <v>1208</v>
      </c>
      <c r="B582" t="s">
        <v>655</v>
      </c>
      <c r="C582" t="s">
        <v>12</v>
      </c>
    </row>
    <row r="583" spans="1:3" x14ac:dyDescent="0.25">
      <c r="A583">
        <v>1209</v>
      </c>
      <c r="B583" t="s">
        <v>656</v>
      </c>
      <c r="C583" t="s">
        <v>12</v>
      </c>
    </row>
    <row r="584" spans="1:3" x14ac:dyDescent="0.25">
      <c r="A584">
        <v>1210</v>
      </c>
      <c r="B584" t="s">
        <v>657</v>
      </c>
      <c r="C584" t="s">
        <v>12</v>
      </c>
    </row>
    <row r="585" spans="1:3" x14ac:dyDescent="0.25">
      <c r="A585">
        <v>1211</v>
      </c>
      <c r="B585" t="s">
        <v>658</v>
      </c>
      <c r="C585" t="s">
        <v>12</v>
      </c>
    </row>
    <row r="586" spans="1:3" x14ac:dyDescent="0.25">
      <c r="A586">
        <v>1212</v>
      </c>
      <c r="B586" t="s">
        <v>659</v>
      </c>
      <c r="C586" t="s">
        <v>12</v>
      </c>
    </row>
    <row r="587" spans="1:3" x14ac:dyDescent="0.25">
      <c r="A587">
        <v>1213</v>
      </c>
      <c r="B587" t="s">
        <v>660</v>
      </c>
      <c r="C587" t="s">
        <v>12</v>
      </c>
    </row>
    <row r="588" spans="1:3" x14ac:dyDescent="0.25">
      <c r="A588">
        <v>1214</v>
      </c>
      <c r="B588" t="s">
        <v>661</v>
      </c>
      <c r="C588" t="s">
        <v>12</v>
      </c>
    </row>
    <row r="589" spans="1:3" x14ac:dyDescent="0.25">
      <c r="A589">
        <v>1215</v>
      </c>
      <c r="B589" t="s">
        <v>662</v>
      </c>
      <c r="C589" t="s">
        <v>12</v>
      </c>
    </row>
    <row r="590" spans="1:3" x14ac:dyDescent="0.25">
      <c r="A590">
        <v>1216</v>
      </c>
      <c r="B590" t="s">
        <v>663</v>
      </c>
      <c r="C590" t="s">
        <v>12</v>
      </c>
    </row>
    <row r="591" spans="1:3" x14ac:dyDescent="0.25">
      <c r="A591">
        <v>1217</v>
      </c>
      <c r="B591" t="s">
        <v>664</v>
      </c>
      <c r="C591" t="s">
        <v>12</v>
      </c>
    </row>
    <row r="592" spans="1:3" x14ac:dyDescent="0.25">
      <c r="A592">
        <v>1218</v>
      </c>
      <c r="B592" t="s">
        <v>665</v>
      </c>
      <c r="C592" t="s">
        <v>12</v>
      </c>
    </row>
    <row r="593" spans="1:3" x14ac:dyDescent="0.25">
      <c r="A593">
        <v>1219</v>
      </c>
      <c r="B593" t="s">
        <v>666</v>
      </c>
      <c r="C593" t="s">
        <v>12</v>
      </c>
    </row>
    <row r="594" spans="1:3" x14ac:dyDescent="0.25">
      <c r="A594">
        <v>1220</v>
      </c>
      <c r="B594" t="s">
        <v>667</v>
      </c>
      <c r="C594" t="s">
        <v>12</v>
      </c>
    </row>
    <row r="595" spans="1:3" x14ac:dyDescent="0.25">
      <c r="A595">
        <v>1301</v>
      </c>
      <c r="B595" t="s">
        <v>668</v>
      </c>
      <c r="C595" t="s">
        <v>14</v>
      </c>
    </row>
    <row r="596" spans="1:3" x14ac:dyDescent="0.25">
      <c r="A596">
        <v>1311</v>
      </c>
      <c r="B596" t="s">
        <v>669</v>
      </c>
      <c r="C596" t="s">
        <v>14</v>
      </c>
    </row>
    <row r="597" spans="1:3" x14ac:dyDescent="0.25">
      <c r="A597">
        <v>1321</v>
      </c>
      <c r="B597" t="s">
        <v>670</v>
      </c>
      <c r="C597" t="s">
        <v>14</v>
      </c>
    </row>
    <row r="598" spans="1:3" x14ac:dyDescent="0.25">
      <c r="A598">
        <v>1322</v>
      </c>
      <c r="B598" t="s">
        <v>671</v>
      </c>
      <c r="C598" t="s">
        <v>14</v>
      </c>
    </row>
    <row r="599" spans="1:3" x14ac:dyDescent="0.25">
      <c r="A599">
        <v>1323</v>
      </c>
      <c r="B599" t="s">
        <v>672</v>
      </c>
      <c r="C599" t="s">
        <v>14</v>
      </c>
    </row>
    <row r="600" spans="1:3" x14ac:dyDescent="0.25">
      <c r="A600">
        <v>1331</v>
      </c>
      <c r="B600" t="s">
        <v>673</v>
      </c>
      <c r="C600" t="s">
        <v>14</v>
      </c>
    </row>
    <row r="601" spans="1:3" x14ac:dyDescent="0.25">
      <c r="A601">
        <v>1341</v>
      </c>
      <c r="B601" t="s">
        <v>674</v>
      </c>
      <c r="C601" t="s">
        <v>14</v>
      </c>
    </row>
    <row r="602" spans="1:3" x14ac:dyDescent="0.25">
      <c r="A602">
        <v>1342</v>
      </c>
      <c r="B602" t="s">
        <v>675</v>
      </c>
      <c r="C602" t="s">
        <v>14</v>
      </c>
    </row>
    <row r="603" spans="1:3" x14ac:dyDescent="0.25">
      <c r="A603">
        <v>1343</v>
      </c>
      <c r="B603" t="s">
        <v>676</v>
      </c>
      <c r="C603" t="s">
        <v>14</v>
      </c>
    </row>
    <row r="604" spans="1:3" x14ac:dyDescent="0.25">
      <c r="A604">
        <v>1344</v>
      </c>
      <c r="B604" t="s">
        <v>677</v>
      </c>
      <c r="C604" t="s">
        <v>14</v>
      </c>
    </row>
    <row r="605" spans="1:3" x14ac:dyDescent="0.25">
      <c r="A605">
        <v>1345</v>
      </c>
      <c r="B605" t="s">
        <v>678</v>
      </c>
      <c r="C605" t="s">
        <v>14</v>
      </c>
    </row>
    <row r="606" spans="1:3" x14ac:dyDescent="0.25">
      <c r="A606">
        <v>1346</v>
      </c>
      <c r="B606" t="s">
        <v>679</v>
      </c>
      <c r="C606" t="s">
        <v>14</v>
      </c>
    </row>
    <row r="607" spans="1:3" x14ac:dyDescent="0.25">
      <c r="A607">
        <v>1347</v>
      </c>
      <c r="B607" t="s">
        <v>680</v>
      </c>
      <c r="C607" t="s">
        <v>14</v>
      </c>
    </row>
    <row r="608" spans="1:3" x14ac:dyDescent="0.25">
      <c r="A608">
        <v>1348</v>
      </c>
      <c r="B608" t="s">
        <v>681</v>
      </c>
      <c r="C608" t="s">
        <v>14</v>
      </c>
    </row>
    <row r="609" spans="1:3" x14ac:dyDescent="0.25">
      <c r="A609">
        <v>1349</v>
      </c>
      <c r="B609" t="s">
        <v>682</v>
      </c>
      <c r="C609" t="s">
        <v>14</v>
      </c>
    </row>
    <row r="610" spans="1:3" x14ac:dyDescent="0.25">
      <c r="A610">
        <v>1361</v>
      </c>
      <c r="B610" t="s">
        <v>683</v>
      </c>
      <c r="C610" t="s">
        <v>14</v>
      </c>
    </row>
    <row r="611" spans="1:3" x14ac:dyDescent="0.25">
      <c r="A611">
        <v>1362</v>
      </c>
      <c r="B611" t="s">
        <v>684</v>
      </c>
      <c r="C611" t="s">
        <v>14</v>
      </c>
    </row>
    <row r="612" spans="1:3" x14ac:dyDescent="0.25">
      <c r="A612">
        <v>1363</v>
      </c>
      <c r="B612" t="s">
        <v>685</v>
      </c>
      <c r="C612" t="s">
        <v>14</v>
      </c>
    </row>
    <row r="613" spans="1:3" x14ac:dyDescent="0.25">
      <c r="A613">
        <v>1364</v>
      </c>
      <c r="B613" t="s">
        <v>686</v>
      </c>
      <c r="C613" t="s">
        <v>14</v>
      </c>
    </row>
    <row r="614" spans="1:3" x14ac:dyDescent="0.25">
      <c r="A614">
        <v>1365</v>
      </c>
      <c r="B614" t="s">
        <v>687</v>
      </c>
      <c r="C614" t="s">
        <v>14</v>
      </c>
    </row>
    <row r="615" spans="1:3" x14ac:dyDescent="0.25">
      <c r="A615">
        <v>1366</v>
      </c>
      <c r="B615" t="s">
        <v>688</v>
      </c>
      <c r="C615" t="s">
        <v>14</v>
      </c>
    </row>
    <row r="616" spans="1:3" x14ac:dyDescent="0.25">
      <c r="A616">
        <v>1367</v>
      </c>
      <c r="B616" t="s">
        <v>689</v>
      </c>
      <c r="C616" t="s">
        <v>14</v>
      </c>
    </row>
    <row r="617" spans="1:3" x14ac:dyDescent="0.25">
      <c r="A617">
        <v>1368</v>
      </c>
      <c r="B617" t="s">
        <v>690</v>
      </c>
      <c r="C617" t="s">
        <v>14</v>
      </c>
    </row>
    <row r="618" spans="1:3" x14ac:dyDescent="0.25">
      <c r="A618">
        <v>1369</v>
      </c>
      <c r="B618" t="s">
        <v>691</v>
      </c>
      <c r="C618" t="s">
        <v>14</v>
      </c>
    </row>
    <row r="619" spans="1:3" x14ac:dyDescent="0.25">
      <c r="A619">
        <v>1370</v>
      </c>
      <c r="B619" t="s">
        <v>692</v>
      </c>
      <c r="C619" t="s">
        <v>14</v>
      </c>
    </row>
    <row r="620" spans="1:3" x14ac:dyDescent="0.25">
      <c r="A620">
        <v>1371</v>
      </c>
      <c r="B620" t="s">
        <v>693</v>
      </c>
      <c r="C620" t="s">
        <v>14</v>
      </c>
    </row>
    <row r="621" spans="1:3" x14ac:dyDescent="0.25">
      <c r="A621">
        <v>1372</v>
      </c>
      <c r="B621" t="s">
        <v>15</v>
      </c>
      <c r="C621" t="s">
        <v>14</v>
      </c>
    </row>
    <row r="622" spans="1:3" x14ac:dyDescent="0.25">
      <c r="A622">
        <v>1373</v>
      </c>
      <c r="B622" t="s">
        <v>694</v>
      </c>
      <c r="C622" t="s">
        <v>14</v>
      </c>
    </row>
    <row r="623" spans="1:3" x14ac:dyDescent="0.25">
      <c r="A623">
        <v>1374</v>
      </c>
      <c r="B623" t="s">
        <v>695</v>
      </c>
      <c r="C623" t="s">
        <v>14</v>
      </c>
    </row>
    <row r="624" spans="1:3" x14ac:dyDescent="0.25">
      <c r="A624">
        <v>1375</v>
      </c>
      <c r="B624" t="s">
        <v>696</v>
      </c>
      <c r="C624" t="s">
        <v>14</v>
      </c>
    </row>
    <row r="625" spans="1:3" x14ac:dyDescent="0.25">
      <c r="A625">
        <v>1401</v>
      </c>
      <c r="B625" t="s">
        <v>697</v>
      </c>
      <c r="C625" t="s">
        <v>16</v>
      </c>
    </row>
    <row r="626" spans="1:3" x14ac:dyDescent="0.25">
      <c r="A626">
        <v>1402</v>
      </c>
      <c r="B626" t="s">
        <v>698</v>
      </c>
      <c r="C626" t="s">
        <v>16</v>
      </c>
    </row>
    <row r="627" spans="1:3" x14ac:dyDescent="0.25">
      <c r="A627">
        <v>1403</v>
      </c>
      <c r="B627" t="s">
        <v>699</v>
      </c>
      <c r="C627" t="s">
        <v>16</v>
      </c>
    </row>
    <row r="628" spans="1:3" x14ac:dyDescent="0.25">
      <c r="A628">
        <v>1404</v>
      </c>
      <c r="B628" t="s">
        <v>700</v>
      </c>
      <c r="C628" t="s">
        <v>16</v>
      </c>
    </row>
    <row r="629" spans="1:3" x14ac:dyDescent="0.25">
      <c r="A629">
        <v>1405</v>
      </c>
      <c r="B629" t="s">
        <v>701</v>
      </c>
      <c r="C629" t="s">
        <v>16</v>
      </c>
    </row>
    <row r="630" spans="1:3" x14ac:dyDescent="0.25">
      <c r="A630">
        <v>1406</v>
      </c>
      <c r="B630" t="s">
        <v>702</v>
      </c>
      <c r="C630" t="s">
        <v>16</v>
      </c>
    </row>
    <row r="631" spans="1:3" x14ac:dyDescent="0.25">
      <c r="A631">
        <v>1407</v>
      </c>
      <c r="B631" t="s">
        <v>703</v>
      </c>
      <c r="C631" t="s">
        <v>16</v>
      </c>
    </row>
    <row r="632" spans="1:3" x14ac:dyDescent="0.25">
      <c r="A632">
        <v>1501</v>
      </c>
      <c r="B632" t="s">
        <v>704</v>
      </c>
      <c r="C632" t="s">
        <v>19</v>
      </c>
    </row>
    <row r="633" spans="1:3" x14ac:dyDescent="0.25">
      <c r="A633">
        <v>1502</v>
      </c>
      <c r="B633" t="s">
        <v>705</v>
      </c>
      <c r="C633" t="s">
        <v>19</v>
      </c>
    </row>
    <row r="634" spans="1:3" x14ac:dyDescent="0.25">
      <c r="A634">
        <v>1503</v>
      </c>
      <c r="B634" t="s">
        <v>706</v>
      </c>
      <c r="C634" t="s">
        <v>19</v>
      </c>
    </row>
    <row r="635" spans="1:3" x14ac:dyDescent="0.25">
      <c r="A635">
        <v>1504</v>
      </c>
      <c r="B635" t="s">
        <v>707</v>
      </c>
      <c r="C635" t="s">
        <v>19</v>
      </c>
    </row>
    <row r="636" spans="1:3" x14ac:dyDescent="0.25">
      <c r="A636">
        <v>1505</v>
      </c>
      <c r="B636" t="s">
        <v>708</v>
      </c>
      <c r="C636" t="s">
        <v>19</v>
      </c>
    </row>
    <row r="637" spans="1:3" x14ac:dyDescent="0.25">
      <c r="A637">
        <v>1506</v>
      </c>
      <c r="B637" t="s">
        <v>709</v>
      </c>
      <c r="C637" t="s">
        <v>19</v>
      </c>
    </row>
    <row r="638" spans="1:3" x14ac:dyDescent="0.25">
      <c r="A638">
        <v>1507</v>
      </c>
      <c r="B638" t="s">
        <v>710</v>
      </c>
      <c r="C638" t="s">
        <v>19</v>
      </c>
    </row>
    <row r="639" spans="1:3" x14ac:dyDescent="0.25">
      <c r="A639">
        <v>1508</v>
      </c>
      <c r="B639" t="s">
        <v>711</v>
      </c>
      <c r="C639" t="s">
        <v>19</v>
      </c>
    </row>
    <row r="640" spans="1:3" x14ac:dyDescent="0.25">
      <c r="A640">
        <v>1509</v>
      </c>
      <c r="B640" t="s">
        <v>712</v>
      </c>
      <c r="C640" t="s">
        <v>19</v>
      </c>
    </row>
    <row r="641" spans="1:3" x14ac:dyDescent="0.25">
      <c r="A641">
        <v>1510</v>
      </c>
      <c r="B641" t="s">
        <v>713</v>
      </c>
      <c r="C641" t="s">
        <v>19</v>
      </c>
    </row>
    <row r="642" spans="1:3" x14ac:dyDescent="0.25">
      <c r="A642">
        <v>1511</v>
      </c>
      <c r="B642" t="s">
        <v>714</v>
      </c>
      <c r="C642" t="s">
        <v>19</v>
      </c>
    </row>
    <row r="643" spans="1:3" x14ac:dyDescent="0.25">
      <c r="A643">
        <v>1630</v>
      </c>
      <c r="B643" t="s">
        <v>715</v>
      </c>
      <c r="C643" t="s">
        <v>22</v>
      </c>
    </row>
    <row r="644" spans="1:3" x14ac:dyDescent="0.25">
      <c r="A644">
        <v>1631</v>
      </c>
      <c r="B644" t="s">
        <v>716</v>
      </c>
      <c r="C644" t="s">
        <v>22</v>
      </c>
    </row>
    <row r="645" spans="1:3" x14ac:dyDescent="0.25">
      <c r="A645">
        <v>1632</v>
      </c>
      <c r="B645" t="s">
        <v>23</v>
      </c>
      <c r="C645" t="s">
        <v>22</v>
      </c>
    </row>
    <row r="646" spans="1:3" x14ac:dyDescent="0.25">
      <c r="A646">
        <v>1701</v>
      </c>
      <c r="B646" t="s">
        <v>717</v>
      </c>
      <c r="C646" t="s">
        <v>25</v>
      </c>
    </row>
    <row r="647" spans="1:3" x14ac:dyDescent="0.25">
      <c r="A647">
        <v>1702</v>
      </c>
      <c r="B647" t="s">
        <v>718</v>
      </c>
      <c r="C647" t="s">
        <v>25</v>
      </c>
    </row>
    <row r="648" spans="1:3" x14ac:dyDescent="0.25">
      <c r="A648">
        <v>1703</v>
      </c>
      <c r="B648" t="s">
        <v>719</v>
      </c>
      <c r="C648" t="s">
        <v>25</v>
      </c>
    </row>
    <row r="649" spans="1:3" x14ac:dyDescent="0.25">
      <c r="A649">
        <v>1704</v>
      </c>
      <c r="B649" t="s">
        <v>720</v>
      </c>
      <c r="C649" t="s">
        <v>25</v>
      </c>
    </row>
    <row r="650" spans="1:3" x14ac:dyDescent="0.25">
      <c r="A650">
        <v>1705</v>
      </c>
      <c r="B650" t="s">
        <v>721</v>
      </c>
      <c r="C650" t="s">
        <v>25</v>
      </c>
    </row>
    <row r="651" spans="1:3" x14ac:dyDescent="0.25">
      <c r="A651">
        <v>1706</v>
      </c>
      <c r="B651" t="s">
        <v>722</v>
      </c>
      <c r="C651" t="s">
        <v>25</v>
      </c>
    </row>
    <row r="652" spans="1:3" x14ac:dyDescent="0.25">
      <c r="A652">
        <v>1707</v>
      </c>
      <c r="B652" t="s">
        <v>723</v>
      </c>
      <c r="C652" t="s">
        <v>25</v>
      </c>
    </row>
    <row r="653" spans="1:3" x14ac:dyDescent="0.25">
      <c r="A653">
        <v>1708</v>
      </c>
      <c r="B653" t="s">
        <v>724</v>
      </c>
      <c r="C653" t="s">
        <v>25</v>
      </c>
    </row>
    <row r="654" spans="1:3" x14ac:dyDescent="0.25">
      <c r="A654">
        <v>1709</v>
      </c>
      <c r="B654" t="s">
        <v>725</v>
      </c>
      <c r="C654" t="s">
        <v>25</v>
      </c>
    </row>
    <row r="655" spans="1:3" x14ac:dyDescent="0.25">
      <c r="A655">
        <v>1710</v>
      </c>
      <c r="B655" t="s">
        <v>726</v>
      </c>
      <c r="C655" t="s">
        <v>25</v>
      </c>
    </row>
    <row r="656" spans="1:3" x14ac:dyDescent="0.25">
      <c r="A656">
        <v>1711</v>
      </c>
      <c r="B656" t="s">
        <v>26</v>
      </c>
      <c r="C656" t="s">
        <v>25</v>
      </c>
    </row>
    <row r="657" spans="1:3" x14ac:dyDescent="0.25">
      <c r="A657">
        <v>2008</v>
      </c>
      <c r="B657" t="s">
        <v>727</v>
      </c>
      <c r="C657" t="s">
        <v>28</v>
      </c>
    </row>
    <row r="658" spans="1:3" x14ac:dyDescent="0.25">
      <c r="A658">
        <v>2011</v>
      </c>
      <c r="B658" t="s">
        <v>728</v>
      </c>
      <c r="C658" t="s">
        <v>28</v>
      </c>
    </row>
    <row r="659" spans="1:3" x14ac:dyDescent="0.25">
      <c r="A659">
        <v>2016</v>
      </c>
      <c r="B659" t="s">
        <v>729</v>
      </c>
      <c r="C659" t="s">
        <v>28</v>
      </c>
    </row>
    <row r="660" spans="1:3" x14ac:dyDescent="0.25">
      <c r="A660">
        <v>2022</v>
      </c>
      <c r="B660" t="s">
        <v>730</v>
      </c>
      <c r="C660" t="s">
        <v>28</v>
      </c>
    </row>
    <row r="661" spans="1:3" x14ac:dyDescent="0.25">
      <c r="A661">
        <v>2025</v>
      </c>
      <c r="B661" t="s">
        <v>731</v>
      </c>
      <c r="C661" t="s">
        <v>28</v>
      </c>
    </row>
    <row r="662" spans="1:3" x14ac:dyDescent="0.25">
      <c r="A662">
        <v>2027</v>
      </c>
      <c r="B662" t="s">
        <v>732</v>
      </c>
      <c r="C662" t="s">
        <v>28</v>
      </c>
    </row>
    <row r="663" spans="1:3" x14ac:dyDescent="0.25">
      <c r="A663">
        <v>2029</v>
      </c>
      <c r="B663" t="s">
        <v>733</v>
      </c>
      <c r="C663" t="s">
        <v>28</v>
      </c>
    </row>
    <row r="664" spans="1:3" x14ac:dyDescent="0.25">
      <c r="A664">
        <v>2035</v>
      </c>
      <c r="B664" t="s">
        <v>734</v>
      </c>
      <c r="C664" t="s">
        <v>28</v>
      </c>
    </row>
    <row r="665" spans="1:3" x14ac:dyDescent="0.25">
      <c r="A665">
        <v>2038</v>
      </c>
      <c r="B665" t="s">
        <v>735</v>
      </c>
      <c r="C665" t="s">
        <v>28</v>
      </c>
    </row>
    <row r="666" spans="1:3" x14ac:dyDescent="0.25">
      <c r="A666">
        <v>2041</v>
      </c>
      <c r="B666" t="s">
        <v>736</v>
      </c>
      <c r="C666" t="s">
        <v>28</v>
      </c>
    </row>
    <row r="667" spans="1:3" x14ac:dyDescent="0.25">
      <c r="A667">
        <v>2043</v>
      </c>
      <c r="B667" t="s">
        <v>737</v>
      </c>
      <c r="C667" t="s">
        <v>28</v>
      </c>
    </row>
    <row r="668" spans="1:3" x14ac:dyDescent="0.25">
      <c r="A668">
        <v>2044</v>
      </c>
      <c r="B668" t="s">
        <v>738</v>
      </c>
      <c r="C668" t="s">
        <v>28</v>
      </c>
    </row>
    <row r="669" spans="1:3" x14ac:dyDescent="0.25">
      <c r="A669">
        <v>2045</v>
      </c>
      <c r="B669" t="s">
        <v>739</v>
      </c>
      <c r="C669" t="s">
        <v>28</v>
      </c>
    </row>
    <row r="670" spans="1:3" x14ac:dyDescent="0.25">
      <c r="A670">
        <v>2050</v>
      </c>
      <c r="B670" t="s">
        <v>740</v>
      </c>
      <c r="C670" t="s">
        <v>28</v>
      </c>
    </row>
    <row r="671" spans="1:3" x14ac:dyDescent="0.25">
      <c r="A671">
        <v>2051</v>
      </c>
      <c r="B671" t="s">
        <v>741</v>
      </c>
      <c r="C671" t="s">
        <v>28</v>
      </c>
    </row>
    <row r="672" spans="1:3" x14ac:dyDescent="0.25">
      <c r="A672">
        <v>2053</v>
      </c>
      <c r="B672" t="s">
        <v>742</v>
      </c>
      <c r="C672" t="s">
        <v>28</v>
      </c>
    </row>
    <row r="673" spans="1:3" x14ac:dyDescent="0.25">
      <c r="A673">
        <v>2054</v>
      </c>
      <c r="B673" t="s">
        <v>743</v>
      </c>
      <c r="C673" t="s">
        <v>28</v>
      </c>
    </row>
    <row r="674" spans="1:3" x14ac:dyDescent="0.25">
      <c r="A674">
        <v>2055</v>
      </c>
      <c r="B674" t="s">
        <v>744</v>
      </c>
      <c r="C674" t="s">
        <v>28</v>
      </c>
    </row>
    <row r="675" spans="1:3" x14ac:dyDescent="0.25">
      <c r="A675">
        <v>2063</v>
      </c>
      <c r="B675" t="s">
        <v>745</v>
      </c>
      <c r="C675" t="s">
        <v>28</v>
      </c>
    </row>
    <row r="676" spans="1:3" x14ac:dyDescent="0.25">
      <c r="A676">
        <v>2067</v>
      </c>
      <c r="B676" t="s">
        <v>746</v>
      </c>
      <c r="C676" t="s">
        <v>28</v>
      </c>
    </row>
    <row r="677" spans="1:3" x14ac:dyDescent="0.25">
      <c r="A677">
        <v>2068</v>
      </c>
      <c r="B677" t="s">
        <v>747</v>
      </c>
      <c r="C677" t="s">
        <v>28</v>
      </c>
    </row>
    <row r="678" spans="1:3" x14ac:dyDescent="0.25">
      <c r="A678">
        <v>2079</v>
      </c>
      <c r="B678" t="s">
        <v>748</v>
      </c>
      <c r="C678" t="s">
        <v>28</v>
      </c>
    </row>
    <row r="679" spans="1:3" x14ac:dyDescent="0.25">
      <c r="A679">
        <v>2086</v>
      </c>
      <c r="B679" t="s">
        <v>749</v>
      </c>
      <c r="C679" t="s">
        <v>28</v>
      </c>
    </row>
    <row r="680" spans="1:3" x14ac:dyDescent="0.25">
      <c r="A680">
        <v>2087</v>
      </c>
      <c r="B680" t="s">
        <v>750</v>
      </c>
      <c r="C680" t="s">
        <v>28</v>
      </c>
    </row>
    <row r="681" spans="1:3" x14ac:dyDescent="0.25">
      <c r="A681">
        <v>2096</v>
      </c>
      <c r="B681" t="s">
        <v>751</v>
      </c>
      <c r="C681" t="s">
        <v>28</v>
      </c>
    </row>
    <row r="682" spans="1:3" x14ac:dyDescent="0.25">
      <c r="A682">
        <v>2097</v>
      </c>
      <c r="B682" t="s">
        <v>752</v>
      </c>
      <c r="C682" t="s">
        <v>28</v>
      </c>
    </row>
    <row r="683" spans="1:3" x14ac:dyDescent="0.25">
      <c r="A683">
        <v>2099</v>
      </c>
      <c r="B683" t="s">
        <v>753</v>
      </c>
      <c r="C683" t="s">
        <v>28</v>
      </c>
    </row>
    <row r="684" spans="1:3" x14ac:dyDescent="0.25">
      <c r="A684">
        <v>2102</v>
      </c>
      <c r="B684" t="s">
        <v>754</v>
      </c>
      <c r="C684" t="s">
        <v>28</v>
      </c>
    </row>
    <row r="685" spans="1:3" x14ac:dyDescent="0.25">
      <c r="A685">
        <v>2113</v>
      </c>
      <c r="B685" t="s">
        <v>755</v>
      </c>
      <c r="C685" t="s">
        <v>28</v>
      </c>
    </row>
    <row r="686" spans="1:3" x14ac:dyDescent="0.25">
      <c r="A686">
        <v>2114</v>
      </c>
      <c r="B686" t="s">
        <v>756</v>
      </c>
      <c r="C686" t="s">
        <v>28</v>
      </c>
    </row>
    <row r="687" spans="1:3" x14ac:dyDescent="0.25">
      <c r="A687">
        <v>2115</v>
      </c>
      <c r="B687" t="s">
        <v>757</v>
      </c>
      <c r="C687" t="s">
        <v>28</v>
      </c>
    </row>
    <row r="688" spans="1:3" x14ac:dyDescent="0.25">
      <c r="A688">
        <v>2117</v>
      </c>
      <c r="B688" t="s">
        <v>758</v>
      </c>
      <c r="C688" t="s">
        <v>28</v>
      </c>
    </row>
    <row r="689" spans="1:3" x14ac:dyDescent="0.25">
      <c r="A689">
        <v>2121</v>
      </c>
      <c r="B689" t="s">
        <v>759</v>
      </c>
      <c r="C689" t="s">
        <v>28</v>
      </c>
    </row>
    <row r="690" spans="1:3" x14ac:dyDescent="0.25">
      <c r="A690">
        <v>2122</v>
      </c>
      <c r="B690" t="s">
        <v>760</v>
      </c>
      <c r="C690" t="s">
        <v>28</v>
      </c>
    </row>
    <row r="691" spans="1:3" x14ac:dyDescent="0.25">
      <c r="A691">
        <v>2123</v>
      </c>
      <c r="B691" t="s">
        <v>761</v>
      </c>
      <c r="C691" t="s">
        <v>28</v>
      </c>
    </row>
    <row r="692" spans="1:3" x14ac:dyDescent="0.25">
      <c r="A692">
        <v>2124</v>
      </c>
      <c r="B692" t="s">
        <v>762</v>
      </c>
      <c r="C692" t="s">
        <v>28</v>
      </c>
    </row>
    <row r="693" spans="1:3" x14ac:dyDescent="0.25">
      <c r="A693">
        <v>2125</v>
      </c>
      <c r="B693" t="s">
        <v>763</v>
      </c>
      <c r="C693" t="s">
        <v>28</v>
      </c>
    </row>
    <row r="694" spans="1:3" x14ac:dyDescent="0.25">
      <c r="A694">
        <v>2128</v>
      </c>
      <c r="B694" t="s">
        <v>764</v>
      </c>
      <c r="C694" t="s">
        <v>28</v>
      </c>
    </row>
    <row r="695" spans="1:3" x14ac:dyDescent="0.25">
      <c r="A695">
        <v>2129</v>
      </c>
      <c r="B695" t="s">
        <v>765</v>
      </c>
      <c r="C695" t="s">
        <v>28</v>
      </c>
    </row>
    <row r="696" spans="1:3" x14ac:dyDescent="0.25">
      <c r="A696">
        <v>2130</v>
      </c>
      <c r="B696" t="s">
        <v>766</v>
      </c>
      <c r="C696" t="s">
        <v>28</v>
      </c>
    </row>
    <row r="697" spans="1:3" x14ac:dyDescent="0.25">
      <c r="A697">
        <v>2131</v>
      </c>
      <c r="B697" t="s">
        <v>767</v>
      </c>
      <c r="C697" t="s">
        <v>28</v>
      </c>
    </row>
    <row r="698" spans="1:3" x14ac:dyDescent="0.25">
      <c r="A698">
        <v>2134</v>
      </c>
      <c r="B698" t="s">
        <v>768</v>
      </c>
      <c r="C698" t="s">
        <v>28</v>
      </c>
    </row>
    <row r="699" spans="1:3" x14ac:dyDescent="0.25">
      <c r="A699">
        <v>2135</v>
      </c>
      <c r="B699" t="s">
        <v>769</v>
      </c>
      <c r="C699" t="s">
        <v>28</v>
      </c>
    </row>
    <row r="700" spans="1:3" x14ac:dyDescent="0.25">
      <c r="A700">
        <v>2137</v>
      </c>
      <c r="B700" t="s">
        <v>770</v>
      </c>
      <c r="C700" t="s">
        <v>28</v>
      </c>
    </row>
    <row r="701" spans="1:3" x14ac:dyDescent="0.25">
      <c r="A701">
        <v>2138</v>
      </c>
      <c r="B701" t="s">
        <v>771</v>
      </c>
      <c r="C701" t="s">
        <v>28</v>
      </c>
    </row>
    <row r="702" spans="1:3" x14ac:dyDescent="0.25">
      <c r="A702">
        <v>2140</v>
      </c>
      <c r="B702" t="s">
        <v>772</v>
      </c>
      <c r="C702" t="s">
        <v>28</v>
      </c>
    </row>
    <row r="703" spans="1:3" x14ac:dyDescent="0.25">
      <c r="A703">
        <v>2143</v>
      </c>
      <c r="B703" t="s">
        <v>773</v>
      </c>
      <c r="C703" t="s">
        <v>28</v>
      </c>
    </row>
    <row r="704" spans="1:3" x14ac:dyDescent="0.25">
      <c r="A704">
        <v>2145</v>
      </c>
      <c r="B704" t="s">
        <v>774</v>
      </c>
      <c r="C704" t="s">
        <v>28</v>
      </c>
    </row>
    <row r="705" spans="1:3" x14ac:dyDescent="0.25">
      <c r="A705">
        <v>2147</v>
      </c>
      <c r="B705" t="s">
        <v>775</v>
      </c>
      <c r="C705" t="s">
        <v>28</v>
      </c>
    </row>
    <row r="706" spans="1:3" x14ac:dyDescent="0.25">
      <c r="A706">
        <v>2148</v>
      </c>
      <c r="B706" t="s">
        <v>776</v>
      </c>
      <c r="C706" t="s">
        <v>28</v>
      </c>
    </row>
    <row r="707" spans="1:3" x14ac:dyDescent="0.25">
      <c r="A707">
        <v>2149</v>
      </c>
      <c r="B707" t="s">
        <v>777</v>
      </c>
      <c r="C707" t="s">
        <v>28</v>
      </c>
    </row>
    <row r="708" spans="1:3" x14ac:dyDescent="0.25">
      <c r="A708">
        <v>2152</v>
      </c>
      <c r="B708" t="s">
        <v>778</v>
      </c>
      <c r="C708" t="s">
        <v>28</v>
      </c>
    </row>
    <row r="709" spans="1:3" x14ac:dyDescent="0.25">
      <c r="A709">
        <v>2153</v>
      </c>
      <c r="B709" t="s">
        <v>779</v>
      </c>
      <c r="C709" t="s">
        <v>28</v>
      </c>
    </row>
    <row r="710" spans="1:3" x14ac:dyDescent="0.25">
      <c r="A710">
        <v>2155</v>
      </c>
      <c r="B710" t="s">
        <v>780</v>
      </c>
      <c r="C710" t="s">
        <v>28</v>
      </c>
    </row>
    <row r="711" spans="1:3" x14ac:dyDescent="0.25">
      <c r="A711">
        <v>2160</v>
      </c>
      <c r="B711" t="s">
        <v>781</v>
      </c>
      <c r="C711" t="s">
        <v>28</v>
      </c>
    </row>
    <row r="712" spans="1:3" x14ac:dyDescent="0.25">
      <c r="A712">
        <v>2162</v>
      </c>
      <c r="B712" t="s">
        <v>782</v>
      </c>
      <c r="C712" t="s">
        <v>28</v>
      </c>
    </row>
    <row r="713" spans="1:3" x14ac:dyDescent="0.25">
      <c r="A713">
        <v>2163</v>
      </c>
      <c r="B713" t="s">
        <v>783</v>
      </c>
      <c r="C713" t="s">
        <v>28</v>
      </c>
    </row>
    <row r="714" spans="1:3" x14ac:dyDescent="0.25">
      <c r="A714">
        <v>2173</v>
      </c>
      <c r="B714" t="s">
        <v>784</v>
      </c>
      <c r="C714" t="s">
        <v>28</v>
      </c>
    </row>
    <row r="715" spans="1:3" x14ac:dyDescent="0.25">
      <c r="A715">
        <v>2174</v>
      </c>
      <c r="B715" t="s">
        <v>785</v>
      </c>
      <c r="C715" t="s">
        <v>28</v>
      </c>
    </row>
    <row r="716" spans="1:3" x14ac:dyDescent="0.25">
      <c r="A716">
        <v>2175</v>
      </c>
      <c r="B716" t="s">
        <v>786</v>
      </c>
      <c r="C716" t="s">
        <v>28</v>
      </c>
    </row>
    <row r="717" spans="1:3" x14ac:dyDescent="0.25">
      <c r="A717">
        <v>2177</v>
      </c>
      <c r="B717" t="s">
        <v>787</v>
      </c>
      <c r="C717" t="s">
        <v>28</v>
      </c>
    </row>
    <row r="718" spans="1:3" x14ac:dyDescent="0.25">
      <c r="A718">
        <v>2183</v>
      </c>
      <c r="B718" t="s">
        <v>788</v>
      </c>
      <c r="C718" t="s">
        <v>28</v>
      </c>
    </row>
    <row r="719" spans="1:3" x14ac:dyDescent="0.25">
      <c r="A719">
        <v>2186</v>
      </c>
      <c r="B719" t="s">
        <v>789</v>
      </c>
      <c r="C719" t="s">
        <v>28</v>
      </c>
    </row>
    <row r="720" spans="1:3" x14ac:dyDescent="0.25">
      <c r="A720">
        <v>2194</v>
      </c>
      <c r="B720" t="s">
        <v>790</v>
      </c>
      <c r="C720" t="s">
        <v>28</v>
      </c>
    </row>
    <row r="721" spans="1:3" x14ac:dyDescent="0.25">
      <c r="A721">
        <v>2196</v>
      </c>
      <c r="B721" t="s">
        <v>30</v>
      </c>
      <c r="C721" t="s">
        <v>28</v>
      </c>
    </row>
    <row r="722" spans="1:3" x14ac:dyDescent="0.25">
      <c r="A722">
        <v>2197</v>
      </c>
      <c r="B722" t="s">
        <v>791</v>
      </c>
      <c r="C722" t="s">
        <v>28</v>
      </c>
    </row>
    <row r="723" spans="1:3" x14ac:dyDescent="0.25">
      <c r="A723">
        <v>2198</v>
      </c>
      <c r="B723" t="s">
        <v>792</v>
      </c>
      <c r="C723" t="s">
        <v>28</v>
      </c>
    </row>
    <row r="724" spans="1:3" x14ac:dyDescent="0.25">
      <c r="A724">
        <v>2206</v>
      </c>
      <c r="B724" t="s">
        <v>793</v>
      </c>
      <c r="C724" t="s">
        <v>28</v>
      </c>
    </row>
    <row r="725" spans="1:3" x14ac:dyDescent="0.25">
      <c r="A725">
        <v>2208</v>
      </c>
      <c r="B725" t="s">
        <v>794</v>
      </c>
      <c r="C725" t="s">
        <v>28</v>
      </c>
    </row>
    <row r="726" spans="1:3" x14ac:dyDescent="0.25">
      <c r="A726">
        <v>2211</v>
      </c>
      <c r="B726" t="s">
        <v>795</v>
      </c>
      <c r="C726" t="s">
        <v>28</v>
      </c>
    </row>
    <row r="727" spans="1:3" x14ac:dyDescent="0.25">
      <c r="A727">
        <v>2216</v>
      </c>
      <c r="B727" t="s">
        <v>796</v>
      </c>
      <c r="C727" t="s">
        <v>28</v>
      </c>
    </row>
    <row r="728" spans="1:3" x14ac:dyDescent="0.25">
      <c r="A728">
        <v>2220</v>
      </c>
      <c r="B728" t="s">
        <v>797</v>
      </c>
      <c r="C728" t="s">
        <v>28</v>
      </c>
    </row>
    <row r="729" spans="1:3" x14ac:dyDescent="0.25">
      <c r="A729">
        <v>2226</v>
      </c>
      <c r="B729" t="s">
        <v>798</v>
      </c>
      <c r="C729" t="s">
        <v>28</v>
      </c>
    </row>
    <row r="730" spans="1:3" x14ac:dyDescent="0.25">
      <c r="A730">
        <v>2228</v>
      </c>
      <c r="B730" t="s">
        <v>799</v>
      </c>
      <c r="C730" t="s">
        <v>28</v>
      </c>
    </row>
    <row r="731" spans="1:3" x14ac:dyDescent="0.25">
      <c r="A731">
        <v>2230</v>
      </c>
      <c r="B731" t="s">
        <v>800</v>
      </c>
      <c r="C731" t="s">
        <v>28</v>
      </c>
    </row>
    <row r="732" spans="1:3" x14ac:dyDescent="0.25">
      <c r="A732">
        <v>2233</v>
      </c>
      <c r="B732" t="s">
        <v>801</v>
      </c>
      <c r="C732" t="s">
        <v>28</v>
      </c>
    </row>
    <row r="733" spans="1:3" x14ac:dyDescent="0.25">
      <c r="A733">
        <v>2234</v>
      </c>
      <c r="B733" t="s">
        <v>802</v>
      </c>
      <c r="C733" t="s">
        <v>28</v>
      </c>
    </row>
    <row r="734" spans="1:3" x14ac:dyDescent="0.25">
      <c r="A734">
        <v>2235</v>
      </c>
      <c r="B734" t="s">
        <v>803</v>
      </c>
      <c r="C734" t="s">
        <v>28</v>
      </c>
    </row>
    <row r="735" spans="1:3" x14ac:dyDescent="0.25">
      <c r="A735">
        <v>2236</v>
      </c>
      <c r="B735" t="s">
        <v>804</v>
      </c>
      <c r="C735" t="s">
        <v>28</v>
      </c>
    </row>
    <row r="736" spans="1:3" x14ac:dyDescent="0.25">
      <c r="A736">
        <v>2237</v>
      </c>
      <c r="B736" t="s">
        <v>805</v>
      </c>
      <c r="C736" t="s">
        <v>28</v>
      </c>
    </row>
    <row r="737" spans="1:3" x14ac:dyDescent="0.25">
      <c r="A737">
        <v>2238</v>
      </c>
      <c r="B737" t="s">
        <v>806</v>
      </c>
      <c r="C737" t="s">
        <v>28</v>
      </c>
    </row>
    <row r="738" spans="1:3" x14ac:dyDescent="0.25">
      <c r="A738">
        <v>2239</v>
      </c>
      <c r="B738" t="s">
        <v>807</v>
      </c>
      <c r="C738" t="s">
        <v>28</v>
      </c>
    </row>
    <row r="739" spans="1:3" x14ac:dyDescent="0.25">
      <c r="A739">
        <v>2250</v>
      </c>
      <c r="B739" t="s">
        <v>808</v>
      </c>
      <c r="C739" t="s">
        <v>28</v>
      </c>
    </row>
    <row r="740" spans="1:3" x14ac:dyDescent="0.25">
      <c r="A740">
        <v>2254</v>
      </c>
      <c r="B740" t="s">
        <v>809</v>
      </c>
      <c r="C740" t="s">
        <v>28</v>
      </c>
    </row>
    <row r="741" spans="1:3" x14ac:dyDescent="0.25">
      <c r="A741">
        <v>2257</v>
      </c>
      <c r="B741" t="s">
        <v>810</v>
      </c>
      <c r="C741" t="s">
        <v>28</v>
      </c>
    </row>
    <row r="742" spans="1:3" x14ac:dyDescent="0.25">
      <c r="A742">
        <v>2258</v>
      </c>
      <c r="B742" t="s">
        <v>811</v>
      </c>
      <c r="C742" t="s">
        <v>28</v>
      </c>
    </row>
    <row r="743" spans="1:3" x14ac:dyDescent="0.25">
      <c r="A743">
        <v>2261</v>
      </c>
      <c r="B743" t="s">
        <v>812</v>
      </c>
      <c r="C743" t="s">
        <v>28</v>
      </c>
    </row>
    <row r="744" spans="1:3" x14ac:dyDescent="0.25">
      <c r="A744">
        <v>2262</v>
      </c>
      <c r="B744" t="s">
        <v>813</v>
      </c>
      <c r="C744" t="s">
        <v>28</v>
      </c>
    </row>
    <row r="745" spans="1:3" x14ac:dyDescent="0.25">
      <c r="A745">
        <v>2265</v>
      </c>
      <c r="B745" t="s">
        <v>814</v>
      </c>
      <c r="C745" t="s">
        <v>28</v>
      </c>
    </row>
    <row r="746" spans="1:3" x14ac:dyDescent="0.25">
      <c r="A746">
        <v>2266</v>
      </c>
      <c r="B746" t="s">
        <v>815</v>
      </c>
      <c r="C746" t="s">
        <v>28</v>
      </c>
    </row>
    <row r="747" spans="1:3" x14ac:dyDescent="0.25">
      <c r="A747">
        <v>2271</v>
      </c>
      <c r="B747" t="s">
        <v>816</v>
      </c>
      <c r="C747" t="s">
        <v>28</v>
      </c>
    </row>
    <row r="748" spans="1:3" x14ac:dyDescent="0.25">
      <c r="A748">
        <v>2272</v>
      </c>
      <c r="B748" t="s">
        <v>817</v>
      </c>
      <c r="C748" t="s">
        <v>28</v>
      </c>
    </row>
    <row r="749" spans="1:3" x14ac:dyDescent="0.25">
      <c r="A749">
        <v>2274</v>
      </c>
      <c r="B749" t="s">
        <v>818</v>
      </c>
      <c r="C749" t="s">
        <v>28</v>
      </c>
    </row>
    <row r="750" spans="1:3" x14ac:dyDescent="0.25">
      <c r="A750">
        <v>2275</v>
      </c>
      <c r="B750" t="s">
        <v>819</v>
      </c>
      <c r="C750" t="s">
        <v>28</v>
      </c>
    </row>
    <row r="751" spans="1:3" x14ac:dyDescent="0.25">
      <c r="A751">
        <v>2276</v>
      </c>
      <c r="B751" t="s">
        <v>820</v>
      </c>
      <c r="C751" t="s">
        <v>28</v>
      </c>
    </row>
    <row r="752" spans="1:3" x14ac:dyDescent="0.25">
      <c r="A752">
        <v>2278</v>
      </c>
      <c r="B752" t="s">
        <v>821</v>
      </c>
      <c r="C752" t="s">
        <v>28</v>
      </c>
    </row>
    <row r="753" spans="1:3" x14ac:dyDescent="0.25">
      <c r="A753">
        <v>2284</v>
      </c>
      <c r="B753" t="s">
        <v>822</v>
      </c>
      <c r="C753" t="s">
        <v>28</v>
      </c>
    </row>
    <row r="754" spans="1:3" x14ac:dyDescent="0.25">
      <c r="A754">
        <v>2292</v>
      </c>
      <c r="B754" t="s">
        <v>823</v>
      </c>
      <c r="C754" t="s">
        <v>28</v>
      </c>
    </row>
    <row r="755" spans="1:3" x14ac:dyDescent="0.25">
      <c r="A755">
        <v>2293</v>
      </c>
      <c r="B755" t="s">
        <v>824</v>
      </c>
      <c r="C755" t="s">
        <v>28</v>
      </c>
    </row>
    <row r="756" spans="1:3" x14ac:dyDescent="0.25">
      <c r="A756">
        <v>2294</v>
      </c>
      <c r="B756" t="s">
        <v>825</v>
      </c>
      <c r="C756" t="s">
        <v>28</v>
      </c>
    </row>
    <row r="757" spans="1:3" x14ac:dyDescent="0.25">
      <c r="A757">
        <v>2295</v>
      </c>
      <c r="B757" t="s">
        <v>826</v>
      </c>
      <c r="C757" t="s">
        <v>28</v>
      </c>
    </row>
    <row r="758" spans="1:3" x14ac:dyDescent="0.25">
      <c r="A758">
        <v>2296</v>
      </c>
      <c r="B758" t="s">
        <v>827</v>
      </c>
      <c r="C758" t="s">
        <v>28</v>
      </c>
    </row>
    <row r="759" spans="1:3" x14ac:dyDescent="0.25">
      <c r="A759">
        <v>2299</v>
      </c>
      <c r="B759" t="s">
        <v>828</v>
      </c>
      <c r="C759" t="s">
        <v>28</v>
      </c>
    </row>
    <row r="760" spans="1:3" x14ac:dyDescent="0.25">
      <c r="A760">
        <v>2300</v>
      </c>
      <c r="B760" t="s">
        <v>829</v>
      </c>
      <c r="C760" t="s">
        <v>28</v>
      </c>
    </row>
    <row r="761" spans="1:3" x14ac:dyDescent="0.25">
      <c r="A761">
        <v>2301</v>
      </c>
      <c r="B761" t="s">
        <v>830</v>
      </c>
      <c r="C761" t="s">
        <v>28</v>
      </c>
    </row>
    <row r="762" spans="1:3" x14ac:dyDescent="0.25">
      <c r="A762">
        <v>2303</v>
      </c>
      <c r="B762" t="s">
        <v>831</v>
      </c>
      <c r="C762" t="s">
        <v>28</v>
      </c>
    </row>
    <row r="763" spans="1:3" x14ac:dyDescent="0.25">
      <c r="A763">
        <v>2304</v>
      </c>
      <c r="B763" t="s">
        <v>832</v>
      </c>
      <c r="C763" t="s">
        <v>28</v>
      </c>
    </row>
    <row r="764" spans="1:3" x14ac:dyDescent="0.25">
      <c r="A764">
        <v>2305</v>
      </c>
      <c r="B764" t="s">
        <v>833</v>
      </c>
      <c r="C764" t="s">
        <v>28</v>
      </c>
    </row>
    <row r="765" spans="1:3" x14ac:dyDescent="0.25">
      <c r="A765">
        <v>2306</v>
      </c>
      <c r="B765" t="s">
        <v>834</v>
      </c>
      <c r="C765" t="s">
        <v>28</v>
      </c>
    </row>
    <row r="766" spans="1:3" x14ac:dyDescent="0.25">
      <c r="A766">
        <v>2307</v>
      </c>
      <c r="B766" t="s">
        <v>835</v>
      </c>
      <c r="C766" t="s">
        <v>28</v>
      </c>
    </row>
    <row r="767" spans="1:3" x14ac:dyDescent="0.25">
      <c r="A767">
        <v>2308</v>
      </c>
      <c r="B767" t="s">
        <v>836</v>
      </c>
      <c r="C767" t="s">
        <v>28</v>
      </c>
    </row>
    <row r="768" spans="1:3" x14ac:dyDescent="0.25">
      <c r="A768">
        <v>2309</v>
      </c>
      <c r="B768" t="s">
        <v>837</v>
      </c>
      <c r="C768" t="s">
        <v>28</v>
      </c>
    </row>
    <row r="769" spans="1:3" x14ac:dyDescent="0.25">
      <c r="A769">
        <v>2321</v>
      </c>
      <c r="B769" t="s">
        <v>838</v>
      </c>
      <c r="C769" t="s">
        <v>28</v>
      </c>
    </row>
    <row r="770" spans="1:3" x14ac:dyDescent="0.25">
      <c r="A770">
        <v>2323</v>
      </c>
      <c r="B770" t="s">
        <v>839</v>
      </c>
      <c r="C770" t="s">
        <v>28</v>
      </c>
    </row>
    <row r="771" spans="1:3" x14ac:dyDescent="0.25">
      <c r="A771">
        <v>2325</v>
      </c>
      <c r="B771" t="s">
        <v>840</v>
      </c>
      <c r="C771" t="s">
        <v>28</v>
      </c>
    </row>
    <row r="772" spans="1:3" x14ac:dyDescent="0.25">
      <c r="A772">
        <v>2328</v>
      </c>
      <c r="B772" t="s">
        <v>841</v>
      </c>
      <c r="C772" t="s">
        <v>28</v>
      </c>
    </row>
    <row r="773" spans="1:3" x14ac:dyDescent="0.25">
      <c r="A773">
        <v>2333</v>
      </c>
      <c r="B773" t="s">
        <v>842</v>
      </c>
      <c r="C773" t="s">
        <v>28</v>
      </c>
    </row>
    <row r="774" spans="1:3" x14ac:dyDescent="0.25">
      <c r="A774">
        <v>2335</v>
      </c>
      <c r="B774" t="s">
        <v>843</v>
      </c>
      <c r="C774" t="s">
        <v>28</v>
      </c>
    </row>
    <row r="775" spans="1:3" x14ac:dyDescent="0.25">
      <c r="A775">
        <v>2336</v>
      </c>
      <c r="B775" t="s">
        <v>844</v>
      </c>
      <c r="C775" t="s">
        <v>28</v>
      </c>
    </row>
    <row r="776" spans="1:3" x14ac:dyDescent="0.25">
      <c r="A776">
        <v>2337</v>
      </c>
      <c r="B776" t="s">
        <v>845</v>
      </c>
      <c r="C776" t="s">
        <v>28</v>
      </c>
    </row>
    <row r="777" spans="1:3" x14ac:dyDescent="0.25">
      <c r="A777">
        <v>2338</v>
      </c>
      <c r="B777" t="s">
        <v>846</v>
      </c>
      <c r="C777" t="s">
        <v>28</v>
      </c>
    </row>
    <row r="778" spans="1:3" x14ac:dyDescent="0.25">
      <c r="A778">
        <v>2401</v>
      </c>
      <c r="B778" t="s">
        <v>847</v>
      </c>
      <c r="C778" t="s">
        <v>31</v>
      </c>
    </row>
    <row r="779" spans="1:3" x14ac:dyDescent="0.25">
      <c r="A779">
        <v>2402</v>
      </c>
      <c r="B779" t="s">
        <v>848</v>
      </c>
      <c r="C779" t="s">
        <v>31</v>
      </c>
    </row>
    <row r="780" spans="1:3" x14ac:dyDescent="0.25">
      <c r="A780">
        <v>2403</v>
      </c>
      <c r="B780" t="s">
        <v>849</v>
      </c>
      <c r="C780" t="s">
        <v>31</v>
      </c>
    </row>
    <row r="781" spans="1:3" x14ac:dyDescent="0.25">
      <c r="A781">
        <v>2404</v>
      </c>
      <c r="B781" t="s">
        <v>850</v>
      </c>
      <c r="C781" t="s">
        <v>31</v>
      </c>
    </row>
    <row r="782" spans="1:3" x14ac:dyDescent="0.25">
      <c r="A782">
        <v>2405</v>
      </c>
      <c r="B782" t="s">
        <v>851</v>
      </c>
      <c r="C782" t="s">
        <v>31</v>
      </c>
    </row>
    <row r="783" spans="1:3" x14ac:dyDescent="0.25">
      <c r="A783">
        <v>2406</v>
      </c>
      <c r="B783" t="s">
        <v>852</v>
      </c>
      <c r="C783" t="s">
        <v>31</v>
      </c>
    </row>
    <row r="784" spans="1:3" x14ac:dyDescent="0.25">
      <c r="A784">
        <v>2407</v>
      </c>
      <c r="B784" t="s">
        <v>853</v>
      </c>
      <c r="C784" t="s">
        <v>31</v>
      </c>
    </row>
    <row r="785" spans="1:3" x14ac:dyDescent="0.25">
      <c r="A785">
        <v>2408</v>
      </c>
      <c r="B785" t="s">
        <v>854</v>
      </c>
      <c r="C785" t="s">
        <v>31</v>
      </c>
    </row>
    <row r="786" spans="1:3" x14ac:dyDescent="0.25">
      <c r="A786">
        <v>2421</v>
      </c>
      <c r="B786" t="s">
        <v>855</v>
      </c>
      <c r="C786" t="s">
        <v>31</v>
      </c>
    </row>
    <row r="787" spans="1:3" x14ac:dyDescent="0.25">
      <c r="A787">
        <v>2422</v>
      </c>
      <c r="B787" t="s">
        <v>856</v>
      </c>
      <c r="C787" t="s">
        <v>31</v>
      </c>
    </row>
    <row r="788" spans="1:3" x14ac:dyDescent="0.25">
      <c r="A788">
        <v>2424</v>
      </c>
      <c r="B788" t="s">
        <v>857</v>
      </c>
      <c r="C788" t="s">
        <v>31</v>
      </c>
    </row>
    <row r="789" spans="1:3" x14ac:dyDescent="0.25">
      <c r="A789">
        <v>2425</v>
      </c>
      <c r="B789" t="s">
        <v>858</v>
      </c>
      <c r="C789" t="s">
        <v>31</v>
      </c>
    </row>
    <row r="790" spans="1:3" x14ac:dyDescent="0.25">
      <c r="A790">
        <v>2426</v>
      </c>
      <c r="B790" t="s">
        <v>859</v>
      </c>
      <c r="C790" t="s">
        <v>31</v>
      </c>
    </row>
    <row r="791" spans="1:3" x14ac:dyDescent="0.25">
      <c r="A791">
        <v>2427</v>
      </c>
      <c r="B791" t="s">
        <v>860</v>
      </c>
      <c r="C791" t="s">
        <v>31</v>
      </c>
    </row>
    <row r="792" spans="1:3" x14ac:dyDescent="0.25">
      <c r="A792">
        <v>2428</v>
      </c>
      <c r="B792" t="s">
        <v>861</v>
      </c>
      <c r="C792" t="s">
        <v>31</v>
      </c>
    </row>
    <row r="793" spans="1:3" x14ac:dyDescent="0.25">
      <c r="A793">
        <v>2430</v>
      </c>
      <c r="B793" t="s">
        <v>862</v>
      </c>
      <c r="C793" t="s">
        <v>31</v>
      </c>
    </row>
    <row r="794" spans="1:3" x14ac:dyDescent="0.25">
      <c r="A794">
        <v>2445</v>
      </c>
      <c r="B794" t="s">
        <v>863</v>
      </c>
      <c r="C794" t="s">
        <v>31</v>
      </c>
    </row>
    <row r="795" spans="1:3" x14ac:dyDescent="0.25">
      <c r="A795">
        <v>2455</v>
      </c>
      <c r="B795" t="s">
        <v>864</v>
      </c>
      <c r="C795" t="s">
        <v>31</v>
      </c>
    </row>
    <row r="796" spans="1:3" x14ac:dyDescent="0.25">
      <c r="A796">
        <v>2457</v>
      </c>
      <c r="B796" t="s">
        <v>865</v>
      </c>
      <c r="C796" t="s">
        <v>31</v>
      </c>
    </row>
    <row r="797" spans="1:3" x14ac:dyDescent="0.25">
      <c r="A797">
        <v>2461</v>
      </c>
      <c r="B797" t="s">
        <v>866</v>
      </c>
      <c r="C797" t="s">
        <v>31</v>
      </c>
    </row>
    <row r="798" spans="1:3" x14ac:dyDescent="0.25">
      <c r="A798">
        <v>2463</v>
      </c>
      <c r="B798" t="s">
        <v>867</v>
      </c>
      <c r="C798" t="s">
        <v>31</v>
      </c>
    </row>
    <row r="799" spans="1:3" x14ac:dyDescent="0.25">
      <c r="A799">
        <v>2464</v>
      </c>
      <c r="B799" t="s">
        <v>868</v>
      </c>
      <c r="C799" t="s">
        <v>31</v>
      </c>
    </row>
    <row r="800" spans="1:3" x14ac:dyDescent="0.25">
      <c r="A800">
        <v>2465</v>
      </c>
      <c r="B800" t="s">
        <v>869</v>
      </c>
      <c r="C800" t="s">
        <v>31</v>
      </c>
    </row>
    <row r="801" spans="1:3" x14ac:dyDescent="0.25">
      <c r="A801">
        <v>2471</v>
      </c>
      <c r="B801" t="s">
        <v>870</v>
      </c>
      <c r="C801" t="s">
        <v>31</v>
      </c>
    </row>
    <row r="802" spans="1:3" x14ac:dyDescent="0.25">
      <c r="A802">
        <v>2472</v>
      </c>
      <c r="B802" t="s">
        <v>871</v>
      </c>
      <c r="C802" t="s">
        <v>31</v>
      </c>
    </row>
    <row r="803" spans="1:3" x14ac:dyDescent="0.25">
      <c r="A803">
        <v>2473</v>
      </c>
      <c r="B803" t="s">
        <v>872</v>
      </c>
      <c r="C803" t="s">
        <v>31</v>
      </c>
    </row>
    <row r="804" spans="1:3" x14ac:dyDescent="0.25">
      <c r="A804">
        <v>2474</v>
      </c>
      <c r="B804" t="s">
        <v>873</v>
      </c>
      <c r="C804" t="s">
        <v>31</v>
      </c>
    </row>
    <row r="805" spans="1:3" x14ac:dyDescent="0.25">
      <c r="A805">
        <v>2475</v>
      </c>
      <c r="B805" t="s">
        <v>874</v>
      </c>
      <c r="C805" t="s">
        <v>31</v>
      </c>
    </row>
    <row r="806" spans="1:3" x14ac:dyDescent="0.25">
      <c r="A806">
        <v>2476</v>
      </c>
      <c r="B806" t="s">
        <v>875</v>
      </c>
      <c r="C806" t="s">
        <v>31</v>
      </c>
    </row>
    <row r="807" spans="1:3" x14ac:dyDescent="0.25">
      <c r="A807">
        <v>2477</v>
      </c>
      <c r="B807" t="s">
        <v>876</v>
      </c>
      <c r="C807" t="s">
        <v>31</v>
      </c>
    </row>
    <row r="808" spans="1:3" x14ac:dyDescent="0.25">
      <c r="A808">
        <v>2478</v>
      </c>
      <c r="B808" t="s">
        <v>877</v>
      </c>
      <c r="C808" t="s">
        <v>31</v>
      </c>
    </row>
    <row r="809" spans="1:3" x14ac:dyDescent="0.25">
      <c r="A809">
        <v>2479</v>
      </c>
      <c r="B809" t="s">
        <v>878</v>
      </c>
      <c r="C809" t="s">
        <v>31</v>
      </c>
    </row>
    <row r="810" spans="1:3" x14ac:dyDescent="0.25">
      <c r="A810">
        <v>2480</v>
      </c>
      <c r="B810" t="s">
        <v>879</v>
      </c>
      <c r="C810" t="s">
        <v>31</v>
      </c>
    </row>
    <row r="811" spans="1:3" x14ac:dyDescent="0.25">
      <c r="A811">
        <v>2481</v>
      </c>
      <c r="B811" t="s">
        <v>880</v>
      </c>
      <c r="C811" t="s">
        <v>31</v>
      </c>
    </row>
    <row r="812" spans="1:3" x14ac:dyDescent="0.25">
      <c r="A812">
        <v>2491</v>
      </c>
      <c r="B812" t="s">
        <v>881</v>
      </c>
      <c r="C812" t="s">
        <v>31</v>
      </c>
    </row>
    <row r="813" spans="1:3" x14ac:dyDescent="0.25">
      <c r="A813">
        <v>2492</v>
      </c>
      <c r="B813" t="s">
        <v>882</v>
      </c>
      <c r="C813" t="s">
        <v>31</v>
      </c>
    </row>
    <row r="814" spans="1:3" x14ac:dyDescent="0.25">
      <c r="A814">
        <v>2493</v>
      </c>
      <c r="B814" t="s">
        <v>883</v>
      </c>
      <c r="C814" t="s">
        <v>31</v>
      </c>
    </row>
    <row r="815" spans="1:3" x14ac:dyDescent="0.25">
      <c r="A815">
        <v>2495</v>
      </c>
      <c r="B815" t="s">
        <v>2763</v>
      </c>
      <c r="C815" t="s">
        <v>31</v>
      </c>
    </row>
    <row r="816" spans="1:3" x14ac:dyDescent="0.25">
      <c r="A816">
        <v>2497</v>
      </c>
      <c r="B816" t="s">
        <v>2764</v>
      </c>
      <c r="C816" t="s">
        <v>31</v>
      </c>
    </row>
    <row r="817" spans="1:3" x14ac:dyDescent="0.25">
      <c r="A817">
        <v>2499</v>
      </c>
      <c r="B817" t="s">
        <v>2765</v>
      </c>
      <c r="C817" t="s">
        <v>31</v>
      </c>
    </row>
    <row r="818" spans="1:3" x14ac:dyDescent="0.25">
      <c r="A818">
        <v>2500</v>
      </c>
      <c r="B818" t="s">
        <v>2766</v>
      </c>
      <c r="C818" t="s">
        <v>31</v>
      </c>
    </row>
    <row r="819" spans="1:3" x14ac:dyDescent="0.25">
      <c r="A819">
        <v>2501</v>
      </c>
      <c r="B819" t="s">
        <v>2767</v>
      </c>
      <c r="C819" t="s">
        <v>31</v>
      </c>
    </row>
    <row r="820" spans="1:3" x14ac:dyDescent="0.25">
      <c r="A820">
        <v>2502</v>
      </c>
      <c r="B820" t="s">
        <v>2768</v>
      </c>
      <c r="C820" t="s">
        <v>31</v>
      </c>
    </row>
    <row r="821" spans="1:3" x14ac:dyDescent="0.25">
      <c r="A821">
        <v>2503</v>
      </c>
      <c r="B821" t="s">
        <v>2769</v>
      </c>
      <c r="C821" t="s">
        <v>31</v>
      </c>
    </row>
    <row r="822" spans="1:3" x14ac:dyDescent="0.25">
      <c r="A822">
        <v>2511</v>
      </c>
      <c r="B822" t="s">
        <v>2770</v>
      </c>
      <c r="C822" t="s">
        <v>31</v>
      </c>
    </row>
    <row r="823" spans="1:3" x14ac:dyDescent="0.25">
      <c r="A823">
        <v>2513</v>
      </c>
      <c r="B823" t="s">
        <v>2771</v>
      </c>
      <c r="C823" t="s">
        <v>31</v>
      </c>
    </row>
    <row r="824" spans="1:3" x14ac:dyDescent="0.25">
      <c r="A824">
        <v>2514</v>
      </c>
      <c r="B824" t="s">
        <v>2772</v>
      </c>
      <c r="C824" t="s">
        <v>31</v>
      </c>
    </row>
    <row r="825" spans="1:3" x14ac:dyDescent="0.25">
      <c r="A825">
        <v>2516</v>
      </c>
      <c r="B825" t="s">
        <v>2773</v>
      </c>
      <c r="C825" t="s">
        <v>31</v>
      </c>
    </row>
    <row r="826" spans="1:3" x14ac:dyDescent="0.25">
      <c r="A826">
        <v>2517</v>
      </c>
      <c r="B826" t="s">
        <v>2774</v>
      </c>
      <c r="C826" t="s">
        <v>31</v>
      </c>
    </row>
    <row r="827" spans="1:3" x14ac:dyDescent="0.25">
      <c r="A827">
        <v>2518</v>
      </c>
      <c r="B827" t="s">
        <v>2775</v>
      </c>
      <c r="C827" t="s">
        <v>31</v>
      </c>
    </row>
    <row r="828" spans="1:3" x14ac:dyDescent="0.25">
      <c r="A828">
        <v>2519</v>
      </c>
      <c r="B828" t="s">
        <v>2776</v>
      </c>
      <c r="C828" t="s">
        <v>31</v>
      </c>
    </row>
    <row r="829" spans="1:3" x14ac:dyDescent="0.25">
      <c r="A829">
        <v>2520</v>
      </c>
      <c r="B829" t="s">
        <v>2777</v>
      </c>
      <c r="C829" t="s">
        <v>31</v>
      </c>
    </row>
    <row r="830" spans="1:3" x14ac:dyDescent="0.25">
      <c r="A830">
        <v>2523</v>
      </c>
      <c r="B830" t="s">
        <v>2778</v>
      </c>
      <c r="C830" t="s">
        <v>31</v>
      </c>
    </row>
    <row r="831" spans="1:3" x14ac:dyDescent="0.25">
      <c r="A831">
        <v>2524</v>
      </c>
      <c r="B831" t="s">
        <v>2779</v>
      </c>
      <c r="C831" t="s">
        <v>31</v>
      </c>
    </row>
    <row r="832" spans="1:3" x14ac:dyDescent="0.25">
      <c r="A832">
        <v>2525</v>
      </c>
      <c r="B832" t="s">
        <v>2780</v>
      </c>
      <c r="C832" t="s">
        <v>31</v>
      </c>
    </row>
    <row r="833" spans="1:3" x14ac:dyDescent="0.25">
      <c r="A833">
        <v>2526</v>
      </c>
      <c r="B833" t="s">
        <v>2781</v>
      </c>
      <c r="C833" t="s">
        <v>31</v>
      </c>
    </row>
    <row r="834" spans="1:3" x14ac:dyDescent="0.25">
      <c r="A834">
        <v>2527</v>
      </c>
      <c r="B834" t="s">
        <v>2782</v>
      </c>
      <c r="C834" t="s">
        <v>31</v>
      </c>
    </row>
    <row r="835" spans="1:3" x14ac:dyDescent="0.25">
      <c r="A835">
        <v>2528</v>
      </c>
      <c r="B835" t="s">
        <v>2783</v>
      </c>
      <c r="C835" t="s">
        <v>31</v>
      </c>
    </row>
    <row r="836" spans="1:3" x14ac:dyDescent="0.25">
      <c r="A836">
        <v>2529</v>
      </c>
      <c r="B836" t="s">
        <v>2784</v>
      </c>
      <c r="C836" t="s">
        <v>31</v>
      </c>
    </row>
    <row r="837" spans="1:3" x14ac:dyDescent="0.25">
      <c r="A837">
        <v>2530</v>
      </c>
      <c r="B837" t="s">
        <v>2785</v>
      </c>
      <c r="C837" t="s">
        <v>31</v>
      </c>
    </row>
    <row r="838" spans="1:3" x14ac:dyDescent="0.25">
      <c r="A838">
        <v>2532</v>
      </c>
      <c r="B838" t="s">
        <v>2786</v>
      </c>
      <c r="C838" t="s">
        <v>31</v>
      </c>
    </row>
    <row r="839" spans="1:3" x14ac:dyDescent="0.25">
      <c r="A839">
        <v>2534</v>
      </c>
      <c r="B839" t="s">
        <v>2787</v>
      </c>
      <c r="C839" t="s">
        <v>31</v>
      </c>
    </row>
    <row r="840" spans="1:3" x14ac:dyDescent="0.25">
      <c r="A840">
        <v>2535</v>
      </c>
      <c r="B840" t="s">
        <v>2788</v>
      </c>
      <c r="C840" t="s">
        <v>31</v>
      </c>
    </row>
    <row r="841" spans="1:3" x14ac:dyDescent="0.25">
      <c r="A841">
        <v>2541</v>
      </c>
      <c r="B841" t="s">
        <v>2789</v>
      </c>
      <c r="C841" t="s">
        <v>31</v>
      </c>
    </row>
    <row r="842" spans="1:3" x14ac:dyDescent="0.25">
      <c r="A842">
        <v>2542</v>
      </c>
      <c r="B842" t="s">
        <v>2790</v>
      </c>
      <c r="C842" t="s">
        <v>31</v>
      </c>
    </row>
    <row r="843" spans="1:3" x14ac:dyDescent="0.25">
      <c r="A843">
        <v>2543</v>
      </c>
      <c r="B843" t="s">
        <v>2791</v>
      </c>
      <c r="C843" t="s">
        <v>31</v>
      </c>
    </row>
    <row r="844" spans="1:3" x14ac:dyDescent="0.25">
      <c r="A844">
        <v>2544</v>
      </c>
      <c r="B844" t="s">
        <v>2792</v>
      </c>
      <c r="C844" t="s">
        <v>31</v>
      </c>
    </row>
    <row r="845" spans="1:3" x14ac:dyDescent="0.25">
      <c r="A845">
        <v>2545</v>
      </c>
      <c r="B845" t="s">
        <v>2793</v>
      </c>
      <c r="C845" t="s">
        <v>31</v>
      </c>
    </row>
    <row r="846" spans="1:3" x14ac:dyDescent="0.25">
      <c r="A846">
        <v>2546</v>
      </c>
      <c r="B846" t="s">
        <v>2794</v>
      </c>
      <c r="C846" t="s">
        <v>31</v>
      </c>
    </row>
    <row r="847" spans="1:3" x14ac:dyDescent="0.25">
      <c r="A847">
        <v>2547</v>
      </c>
      <c r="B847" t="s">
        <v>2795</v>
      </c>
      <c r="C847" t="s">
        <v>31</v>
      </c>
    </row>
    <row r="848" spans="1:3" x14ac:dyDescent="0.25">
      <c r="A848">
        <v>2548</v>
      </c>
      <c r="B848" t="s">
        <v>2796</v>
      </c>
      <c r="C848" t="s">
        <v>31</v>
      </c>
    </row>
    <row r="849" spans="1:3" x14ac:dyDescent="0.25">
      <c r="A849">
        <v>2549</v>
      </c>
      <c r="B849" t="s">
        <v>2797</v>
      </c>
      <c r="C849" t="s">
        <v>31</v>
      </c>
    </row>
    <row r="850" spans="1:3" x14ac:dyDescent="0.25">
      <c r="A850">
        <v>2550</v>
      </c>
      <c r="B850" t="s">
        <v>2798</v>
      </c>
      <c r="C850" t="s">
        <v>31</v>
      </c>
    </row>
    <row r="851" spans="1:3" x14ac:dyDescent="0.25">
      <c r="A851">
        <v>2551</v>
      </c>
      <c r="B851" t="s">
        <v>2799</v>
      </c>
      <c r="C851" t="s">
        <v>31</v>
      </c>
    </row>
    <row r="852" spans="1:3" x14ac:dyDescent="0.25">
      <c r="A852">
        <v>2553</v>
      </c>
      <c r="B852" t="s">
        <v>2800</v>
      </c>
      <c r="C852" t="s">
        <v>31</v>
      </c>
    </row>
    <row r="853" spans="1:3" x14ac:dyDescent="0.25">
      <c r="A853">
        <v>2554</v>
      </c>
      <c r="B853" t="s">
        <v>2801</v>
      </c>
      <c r="C853" t="s">
        <v>31</v>
      </c>
    </row>
    <row r="854" spans="1:3" x14ac:dyDescent="0.25">
      <c r="A854">
        <v>2555</v>
      </c>
      <c r="B854" t="s">
        <v>2802</v>
      </c>
      <c r="C854" t="s">
        <v>31</v>
      </c>
    </row>
    <row r="855" spans="1:3" x14ac:dyDescent="0.25">
      <c r="A855">
        <v>2556</v>
      </c>
      <c r="B855" t="s">
        <v>2803</v>
      </c>
      <c r="C855" t="s">
        <v>31</v>
      </c>
    </row>
    <row r="856" spans="1:3" x14ac:dyDescent="0.25">
      <c r="A856">
        <v>2571</v>
      </c>
      <c r="B856" t="s">
        <v>2804</v>
      </c>
      <c r="C856" t="s">
        <v>31</v>
      </c>
    </row>
    <row r="857" spans="1:3" x14ac:dyDescent="0.25">
      <c r="A857">
        <v>2572</v>
      </c>
      <c r="B857" t="s">
        <v>2805</v>
      </c>
      <c r="C857" t="s">
        <v>31</v>
      </c>
    </row>
    <row r="858" spans="1:3" x14ac:dyDescent="0.25">
      <c r="A858">
        <v>2573</v>
      </c>
      <c r="B858" t="s">
        <v>2806</v>
      </c>
      <c r="C858" t="s">
        <v>31</v>
      </c>
    </row>
    <row r="859" spans="1:3" x14ac:dyDescent="0.25">
      <c r="A859">
        <v>2574</v>
      </c>
      <c r="B859" t="s">
        <v>2807</v>
      </c>
      <c r="C859" t="s">
        <v>31</v>
      </c>
    </row>
    <row r="860" spans="1:3" x14ac:dyDescent="0.25">
      <c r="A860">
        <v>2575</v>
      </c>
      <c r="B860" t="s">
        <v>2808</v>
      </c>
      <c r="C860" t="s">
        <v>31</v>
      </c>
    </row>
    <row r="861" spans="1:3" x14ac:dyDescent="0.25">
      <c r="A861">
        <v>2576</v>
      </c>
      <c r="B861" t="s">
        <v>2809</v>
      </c>
      <c r="C861" t="s">
        <v>31</v>
      </c>
    </row>
    <row r="862" spans="1:3" x14ac:dyDescent="0.25">
      <c r="A862">
        <v>2578</v>
      </c>
      <c r="B862" t="s">
        <v>2810</v>
      </c>
      <c r="C862" t="s">
        <v>31</v>
      </c>
    </row>
    <row r="863" spans="1:3" x14ac:dyDescent="0.25">
      <c r="A863">
        <v>2579</v>
      </c>
      <c r="B863" t="s">
        <v>2811</v>
      </c>
      <c r="C863" t="s">
        <v>31</v>
      </c>
    </row>
    <row r="864" spans="1:3" x14ac:dyDescent="0.25">
      <c r="A864">
        <v>2580</v>
      </c>
      <c r="B864" t="s">
        <v>2812</v>
      </c>
      <c r="C864" t="s">
        <v>31</v>
      </c>
    </row>
    <row r="865" spans="1:3" x14ac:dyDescent="0.25">
      <c r="A865">
        <v>2581</v>
      </c>
      <c r="B865" t="s">
        <v>2813</v>
      </c>
      <c r="C865" t="s">
        <v>31</v>
      </c>
    </row>
    <row r="866" spans="1:3" x14ac:dyDescent="0.25">
      <c r="A866">
        <v>2582</v>
      </c>
      <c r="B866" t="s">
        <v>2814</v>
      </c>
      <c r="C866" t="s">
        <v>31</v>
      </c>
    </row>
    <row r="867" spans="1:3" x14ac:dyDescent="0.25">
      <c r="A867">
        <v>2583</v>
      </c>
      <c r="B867" t="s">
        <v>2815</v>
      </c>
      <c r="C867" t="s">
        <v>31</v>
      </c>
    </row>
    <row r="868" spans="1:3" x14ac:dyDescent="0.25">
      <c r="A868">
        <v>2584</v>
      </c>
      <c r="B868" t="s">
        <v>2816</v>
      </c>
      <c r="C868" t="s">
        <v>31</v>
      </c>
    </row>
    <row r="869" spans="1:3" x14ac:dyDescent="0.25">
      <c r="A869">
        <v>2585</v>
      </c>
      <c r="B869" t="s">
        <v>2817</v>
      </c>
      <c r="C869" t="s">
        <v>31</v>
      </c>
    </row>
    <row r="870" spans="1:3" x14ac:dyDescent="0.25">
      <c r="A870">
        <v>2586</v>
      </c>
      <c r="B870" t="s">
        <v>2818</v>
      </c>
      <c r="C870" t="s">
        <v>31</v>
      </c>
    </row>
    <row r="871" spans="1:3" x14ac:dyDescent="0.25">
      <c r="A871">
        <v>2601</v>
      </c>
      <c r="B871" t="s">
        <v>32</v>
      </c>
      <c r="C871" t="s">
        <v>31</v>
      </c>
    </row>
    <row r="872" spans="1:3" x14ac:dyDescent="0.25">
      <c r="A872">
        <v>2611</v>
      </c>
      <c r="B872" t="s">
        <v>2819</v>
      </c>
      <c r="C872" t="s">
        <v>31</v>
      </c>
    </row>
    <row r="873" spans="1:3" x14ac:dyDescent="0.25">
      <c r="A873">
        <v>2612</v>
      </c>
      <c r="B873" t="s">
        <v>2820</v>
      </c>
      <c r="C873" t="s">
        <v>31</v>
      </c>
    </row>
    <row r="874" spans="1:3" x14ac:dyDescent="0.25">
      <c r="A874">
        <v>2613</v>
      </c>
      <c r="B874" t="s">
        <v>2821</v>
      </c>
      <c r="C874" t="s">
        <v>31</v>
      </c>
    </row>
    <row r="875" spans="1:3" x14ac:dyDescent="0.25">
      <c r="A875">
        <v>2614</v>
      </c>
      <c r="B875" t="s">
        <v>2822</v>
      </c>
      <c r="C875" t="s">
        <v>31</v>
      </c>
    </row>
    <row r="876" spans="1:3" x14ac:dyDescent="0.25">
      <c r="A876">
        <v>2615</v>
      </c>
      <c r="B876" t="s">
        <v>2823</v>
      </c>
      <c r="C876" t="s">
        <v>31</v>
      </c>
    </row>
    <row r="877" spans="1:3" x14ac:dyDescent="0.25">
      <c r="A877">
        <v>2616</v>
      </c>
      <c r="B877" t="s">
        <v>2824</v>
      </c>
      <c r="C877" t="s">
        <v>31</v>
      </c>
    </row>
    <row r="878" spans="1:3" x14ac:dyDescent="0.25">
      <c r="A878">
        <v>2617</v>
      </c>
      <c r="B878" t="s">
        <v>2825</v>
      </c>
      <c r="C878" t="s">
        <v>31</v>
      </c>
    </row>
    <row r="879" spans="1:3" x14ac:dyDescent="0.25">
      <c r="A879">
        <v>2618</v>
      </c>
      <c r="B879" t="s">
        <v>2826</v>
      </c>
      <c r="C879" t="s">
        <v>31</v>
      </c>
    </row>
    <row r="880" spans="1:3" x14ac:dyDescent="0.25">
      <c r="A880">
        <v>2619</v>
      </c>
      <c r="B880" t="s">
        <v>2827</v>
      </c>
      <c r="C880" t="s">
        <v>31</v>
      </c>
    </row>
    <row r="881" spans="1:3" x14ac:dyDescent="0.25">
      <c r="A881">
        <v>2620</v>
      </c>
      <c r="B881" t="s">
        <v>2828</v>
      </c>
      <c r="C881" t="s">
        <v>31</v>
      </c>
    </row>
    <row r="882" spans="1:3" x14ac:dyDescent="0.25">
      <c r="A882">
        <v>2621</v>
      </c>
      <c r="B882" t="s">
        <v>2829</v>
      </c>
      <c r="C882" t="s">
        <v>31</v>
      </c>
    </row>
    <row r="883" spans="1:3" x14ac:dyDescent="0.25">
      <c r="A883">
        <v>2622</v>
      </c>
      <c r="B883" t="s">
        <v>2830</v>
      </c>
      <c r="C883" t="s">
        <v>31</v>
      </c>
    </row>
    <row r="884" spans="1:3" x14ac:dyDescent="0.25">
      <c r="A884">
        <v>2701</v>
      </c>
      <c r="B884" t="s">
        <v>2831</v>
      </c>
      <c r="C884" t="s">
        <v>34</v>
      </c>
    </row>
    <row r="885" spans="1:3" x14ac:dyDescent="0.25">
      <c r="A885">
        <v>2702</v>
      </c>
      <c r="B885" t="s">
        <v>2832</v>
      </c>
      <c r="C885" t="s">
        <v>34</v>
      </c>
    </row>
    <row r="886" spans="1:3" x14ac:dyDescent="0.25">
      <c r="A886">
        <v>2703</v>
      </c>
      <c r="B886" t="s">
        <v>2833</v>
      </c>
      <c r="C886" t="s">
        <v>34</v>
      </c>
    </row>
    <row r="887" spans="1:3" x14ac:dyDescent="0.25">
      <c r="A887">
        <v>2761</v>
      </c>
      <c r="B887" t="s">
        <v>2834</v>
      </c>
      <c r="C887" t="s">
        <v>37</v>
      </c>
    </row>
    <row r="888" spans="1:3" x14ac:dyDescent="0.25">
      <c r="A888">
        <v>2762</v>
      </c>
      <c r="B888" t="s">
        <v>2835</v>
      </c>
      <c r="C888" t="s">
        <v>37</v>
      </c>
    </row>
    <row r="889" spans="1:3" x14ac:dyDescent="0.25">
      <c r="A889">
        <v>2763</v>
      </c>
      <c r="B889" t="s">
        <v>2836</v>
      </c>
      <c r="C889" t="s">
        <v>37</v>
      </c>
    </row>
    <row r="890" spans="1:3" x14ac:dyDescent="0.25">
      <c r="A890">
        <v>2764</v>
      </c>
      <c r="B890" t="s">
        <v>2837</v>
      </c>
      <c r="C890" t="s">
        <v>37</v>
      </c>
    </row>
    <row r="891" spans="1:3" x14ac:dyDescent="0.25">
      <c r="A891">
        <v>2765</v>
      </c>
      <c r="B891" t="s">
        <v>2838</v>
      </c>
      <c r="C891" t="s">
        <v>37</v>
      </c>
    </row>
    <row r="892" spans="1:3" x14ac:dyDescent="0.25">
      <c r="A892">
        <v>2766</v>
      </c>
      <c r="B892" t="s">
        <v>2839</v>
      </c>
      <c r="C892" t="s">
        <v>37</v>
      </c>
    </row>
    <row r="893" spans="1:3" x14ac:dyDescent="0.25">
      <c r="A893">
        <v>2767</v>
      </c>
      <c r="B893" t="s">
        <v>2840</v>
      </c>
      <c r="C893" t="s">
        <v>37</v>
      </c>
    </row>
    <row r="894" spans="1:3" x14ac:dyDescent="0.25">
      <c r="A894">
        <v>2768</v>
      </c>
      <c r="B894" t="s">
        <v>2841</v>
      </c>
      <c r="C894" t="s">
        <v>37</v>
      </c>
    </row>
    <row r="895" spans="1:3" x14ac:dyDescent="0.25">
      <c r="A895">
        <v>2769</v>
      </c>
      <c r="B895" t="s">
        <v>2842</v>
      </c>
      <c r="C895" t="s">
        <v>37</v>
      </c>
    </row>
    <row r="896" spans="1:3" x14ac:dyDescent="0.25">
      <c r="A896">
        <v>2770</v>
      </c>
      <c r="B896" t="s">
        <v>2843</v>
      </c>
      <c r="C896" t="s">
        <v>37</v>
      </c>
    </row>
    <row r="897" spans="1:3" x14ac:dyDescent="0.25">
      <c r="A897">
        <v>2771</v>
      </c>
      <c r="B897" t="s">
        <v>2844</v>
      </c>
      <c r="C897" t="s">
        <v>37</v>
      </c>
    </row>
    <row r="898" spans="1:3" x14ac:dyDescent="0.25">
      <c r="A898">
        <v>2772</v>
      </c>
      <c r="B898" t="s">
        <v>2845</v>
      </c>
      <c r="C898" t="s">
        <v>37</v>
      </c>
    </row>
    <row r="899" spans="1:3" x14ac:dyDescent="0.25">
      <c r="A899">
        <v>2773</v>
      </c>
      <c r="B899" t="s">
        <v>2846</v>
      </c>
      <c r="C899" t="s">
        <v>37</v>
      </c>
    </row>
    <row r="900" spans="1:3" x14ac:dyDescent="0.25">
      <c r="A900">
        <v>2774</v>
      </c>
      <c r="B900" t="s">
        <v>2847</v>
      </c>
      <c r="C900" t="s">
        <v>37</v>
      </c>
    </row>
    <row r="901" spans="1:3" x14ac:dyDescent="0.25">
      <c r="A901">
        <v>2775</v>
      </c>
      <c r="B901" t="s">
        <v>2848</v>
      </c>
      <c r="C901" t="s">
        <v>37</v>
      </c>
    </row>
    <row r="902" spans="1:3" x14ac:dyDescent="0.25">
      <c r="A902">
        <v>2781</v>
      </c>
      <c r="B902" t="s">
        <v>2849</v>
      </c>
      <c r="C902" t="s">
        <v>37</v>
      </c>
    </row>
    <row r="903" spans="1:3" x14ac:dyDescent="0.25">
      <c r="A903">
        <v>2782</v>
      </c>
      <c r="B903" t="s">
        <v>2850</v>
      </c>
      <c r="C903" t="s">
        <v>37</v>
      </c>
    </row>
    <row r="904" spans="1:3" x14ac:dyDescent="0.25">
      <c r="A904">
        <v>2783</v>
      </c>
      <c r="B904" t="s">
        <v>2851</v>
      </c>
      <c r="C904" t="s">
        <v>37</v>
      </c>
    </row>
    <row r="905" spans="1:3" x14ac:dyDescent="0.25">
      <c r="A905">
        <v>2784</v>
      </c>
      <c r="B905" t="s">
        <v>2852</v>
      </c>
      <c r="C905" t="s">
        <v>37</v>
      </c>
    </row>
    <row r="906" spans="1:3" x14ac:dyDescent="0.25">
      <c r="A906">
        <v>2785</v>
      </c>
      <c r="B906" t="s">
        <v>2853</v>
      </c>
      <c r="C906" t="s">
        <v>37</v>
      </c>
    </row>
    <row r="907" spans="1:3" x14ac:dyDescent="0.25">
      <c r="A907">
        <v>2786</v>
      </c>
      <c r="B907" t="s">
        <v>2854</v>
      </c>
      <c r="C907" t="s">
        <v>37</v>
      </c>
    </row>
    <row r="908" spans="1:3" x14ac:dyDescent="0.25">
      <c r="A908">
        <v>2787</v>
      </c>
      <c r="B908" t="s">
        <v>2855</v>
      </c>
      <c r="C908" t="s">
        <v>37</v>
      </c>
    </row>
    <row r="909" spans="1:3" x14ac:dyDescent="0.25">
      <c r="A909">
        <v>2788</v>
      </c>
      <c r="B909" t="s">
        <v>2856</v>
      </c>
      <c r="C909" t="s">
        <v>37</v>
      </c>
    </row>
    <row r="910" spans="1:3" x14ac:dyDescent="0.25">
      <c r="A910">
        <v>2789</v>
      </c>
      <c r="B910" t="s">
        <v>2857</v>
      </c>
      <c r="C910" t="s">
        <v>37</v>
      </c>
    </row>
    <row r="911" spans="1:3" x14ac:dyDescent="0.25">
      <c r="A911">
        <v>2790</v>
      </c>
      <c r="B911" t="s">
        <v>2858</v>
      </c>
      <c r="C911" t="s">
        <v>37</v>
      </c>
    </row>
    <row r="912" spans="1:3" x14ac:dyDescent="0.25">
      <c r="A912">
        <v>2791</v>
      </c>
      <c r="B912" t="s">
        <v>2859</v>
      </c>
      <c r="C912" t="s">
        <v>37</v>
      </c>
    </row>
    <row r="913" spans="1:3" x14ac:dyDescent="0.25">
      <c r="A913">
        <v>2792</v>
      </c>
      <c r="B913" t="s">
        <v>2860</v>
      </c>
      <c r="C913" t="s">
        <v>37</v>
      </c>
    </row>
    <row r="914" spans="1:3" x14ac:dyDescent="0.25">
      <c r="A914">
        <v>2793</v>
      </c>
      <c r="B914" t="s">
        <v>2861</v>
      </c>
      <c r="C914" t="s">
        <v>37</v>
      </c>
    </row>
    <row r="915" spans="1:3" x14ac:dyDescent="0.25">
      <c r="A915">
        <v>2821</v>
      </c>
      <c r="B915" t="s">
        <v>2862</v>
      </c>
      <c r="C915" t="s">
        <v>37</v>
      </c>
    </row>
    <row r="916" spans="1:3" x14ac:dyDescent="0.25">
      <c r="A916">
        <v>2822</v>
      </c>
      <c r="B916" t="s">
        <v>2863</v>
      </c>
      <c r="C916" t="s">
        <v>37</v>
      </c>
    </row>
    <row r="917" spans="1:3" x14ac:dyDescent="0.25">
      <c r="A917">
        <v>2823</v>
      </c>
      <c r="B917" t="s">
        <v>2864</v>
      </c>
      <c r="C917" t="s">
        <v>37</v>
      </c>
    </row>
    <row r="918" spans="1:3" x14ac:dyDescent="0.25">
      <c r="A918">
        <v>2824</v>
      </c>
      <c r="B918" t="s">
        <v>2865</v>
      </c>
      <c r="C918" t="s">
        <v>37</v>
      </c>
    </row>
    <row r="919" spans="1:3" x14ac:dyDescent="0.25">
      <c r="A919">
        <v>2825</v>
      </c>
      <c r="B919" t="s">
        <v>2866</v>
      </c>
      <c r="C919" t="s">
        <v>37</v>
      </c>
    </row>
    <row r="920" spans="1:3" x14ac:dyDescent="0.25">
      <c r="A920">
        <v>2826</v>
      </c>
      <c r="B920" t="s">
        <v>2867</v>
      </c>
      <c r="C920" t="s">
        <v>37</v>
      </c>
    </row>
    <row r="921" spans="1:3" x14ac:dyDescent="0.25">
      <c r="A921">
        <v>2827</v>
      </c>
      <c r="B921" t="s">
        <v>2868</v>
      </c>
      <c r="C921" t="s">
        <v>37</v>
      </c>
    </row>
    <row r="922" spans="1:3" x14ac:dyDescent="0.25">
      <c r="A922">
        <v>2828</v>
      </c>
      <c r="B922" t="s">
        <v>2869</v>
      </c>
      <c r="C922" t="s">
        <v>37</v>
      </c>
    </row>
    <row r="923" spans="1:3" x14ac:dyDescent="0.25">
      <c r="A923">
        <v>2829</v>
      </c>
      <c r="B923" t="s">
        <v>2870</v>
      </c>
      <c r="C923" t="s">
        <v>37</v>
      </c>
    </row>
    <row r="924" spans="1:3" x14ac:dyDescent="0.25">
      <c r="A924">
        <v>2830</v>
      </c>
      <c r="B924" t="s">
        <v>2871</v>
      </c>
      <c r="C924" t="s">
        <v>37</v>
      </c>
    </row>
    <row r="925" spans="1:3" x14ac:dyDescent="0.25">
      <c r="A925">
        <v>2831</v>
      </c>
      <c r="B925" t="s">
        <v>2872</v>
      </c>
      <c r="C925" t="s">
        <v>37</v>
      </c>
    </row>
    <row r="926" spans="1:3" x14ac:dyDescent="0.25">
      <c r="A926">
        <v>2832</v>
      </c>
      <c r="B926" t="s">
        <v>2873</v>
      </c>
      <c r="C926" t="s">
        <v>37</v>
      </c>
    </row>
    <row r="927" spans="1:3" x14ac:dyDescent="0.25">
      <c r="A927">
        <v>2833</v>
      </c>
      <c r="B927" t="s">
        <v>2874</v>
      </c>
      <c r="C927" t="s">
        <v>37</v>
      </c>
    </row>
    <row r="928" spans="1:3" x14ac:dyDescent="0.25">
      <c r="A928">
        <v>2834</v>
      </c>
      <c r="B928" t="s">
        <v>2875</v>
      </c>
      <c r="C928" t="s">
        <v>37</v>
      </c>
    </row>
    <row r="929" spans="1:3" x14ac:dyDescent="0.25">
      <c r="A929">
        <v>2841</v>
      </c>
      <c r="B929" t="s">
        <v>2876</v>
      </c>
      <c r="C929" t="s">
        <v>37</v>
      </c>
    </row>
    <row r="930" spans="1:3" x14ac:dyDescent="0.25">
      <c r="A930">
        <v>2842</v>
      </c>
      <c r="B930" t="s">
        <v>2877</v>
      </c>
      <c r="C930" t="s">
        <v>37</v>
      </c>
    </row>
    <row r="931" spans="1:3" x14ac:dyDescent="0.25">
      <c r="A931">
        <v>2843</v>
      </c>
      <c r="B931" t="s">
        <v>2878</v>
      </c>
      <c r="C931" t="s">
        <v>37</v>
      </c>
    </row>
    <row r="932" spans="1:3" x14ac:dyDescent="0.25">
      <c r="A932">
        <v>2844</v>
      </c>
      <c r="B932" t="s">
        <v>2879</v>
      </c>
      <c r="C932" t="s">
        <v>37</v>
      </c>
    </row>
    <row r="933" spans="1:3" x14ac:dyDescent="0.25">
      <c r="A933">
        <v>2845</v>
      </c>
      <c r="B933" t="s">
        <v>2880</v>
      </c>
      <c r="C933" t="s">
        <v>37</v>
      </c>
    </row>
    <row r="934" spans="1:3" x14ac:dyDescent="0.25">
      <c r="A934">
        <v>2846</v>
      </c>
      <c r="B934" t="s">
        <v>2881</v>
      </c>
      <c r="C934" t="s">
        <v>37</v>
      </c>
    </row>
    <row r="935" spans="1:3" x14ac:dyDescent="0.25">
      <c r="A935">
        <v>2847</v>
      </c>
      <c r="B935" t="s">
        <v>2882</v>
      </c>
      <c r="C935" t="s">
        <v>37</v>
      </c>
    </row>
    <row r="936" spans="1:3" x14ac:dyDescent="0.25">
      <c r="A936">
        <v>2848</v>
      </c>
      <c r="B936" t="s">
        <v>2883</v>
      </c>
      <c r="C936" t="s">
        <v>37</v>
      </c>
    </row>
    <row r="937" spans="1:3" x14ac:dyDescent="0.25">
      <c r="A937">
        <v>2849</v>
      </c>
      <c r="B937" t="s">
        <v>2884</v>
      </c>
      <c r="C937" t="s">
        <v>37</v>
      </c>
    </row>
    <row r="938" spans="1:3" x14ac:dyDescent="0.25">
      <c r="A938">
        <v>2850</v>
      </c>
      <c r="B938" t="s">
        <v>2885</v>
      </c>
      <c r="C938" t="s">
        <v>37</v>
      </c>
    </row>
    <row r="939" spans="1:3" x14ac:dyDescent="0.25">
      <c r="A939">
        <v>2851</v>
      </c>
      <c r="B939" t="s">
        <v>2886</v>
      </c>
      <c r="C939" t="s">
        <v>37</v>
      </c>
    </row>
    <row r="940" spans="1:3" x14ac:dyDescent="0.25">
      <c r="A940">
        <v>2852</v>
      </c>
      <c r="B940" t="s">
        <v>2887</v>
      </c>
      <c r="C940" t="s">
        <v>37</v>
      </c>
    </row>
    <row r="941" spans="1:3" x14ac:dyDescent="0.25">
      <c r="A941">
        <v>2853</v>
      </c>
      <c r="B941" t="s">
        <v>2888</v>
      </c>
      <c r="C941" t="s">
        <v>37</v>
      </c>
    </row>
    <row r="942" spans="1:3" x14ac:dyDescent="0.25">
      <c r="A942">
        <v>2854</v>
      </c>
      <c r="B942" t="s">
        <v>2889</v>
      </c>
      <c r="C942" t="s">
        <v>37</v>
      </c>
    </row>
    <row r="943" spans="1:3" x14ac:dyDescent="0.25">
      <c r="A943">
        <v>2855</v>
      </c>
      <c r="B943" t="s">
        <v>2890</v>
      </c>
      <c r="C943" t="s">
        <v>37</v>
      </c>
    </row>
    <row r="944" spans="1:3" x14ac:dyDescent="0.25">
      <c r="A944">
        <v>2856</v>
      </c>
      <c r="B944" t="s">
        <v>2891</v>
      </c>
      <c r="C944" t="s">
        <v>37</v>
      </c>
    </row>
    <row r="945" spans="1:3" x14ac:dyDescent="0.25">
      <c r="A945">
        <v>2857</v>
      </c>
      <c r="B945" t="s">
        <v>2892</v>
      </c>
      <c r="C945" t="s">
        <v>37</v>
      </c>
    </row>
    <row r="946" spans="1:3" x14ac:dyDescent="0.25">
      <c r="A946">
        <v>2858</v>
      </c>
      <c r="B946" t="s">
        <v>2893</v>
      </c>
      <c r="C946" t="s">
        <v>37</v>
      </c>
    </row>
    <row r="947" spans="1:3" x14ac:dyDescent="0.25">
      <c r="A947">
        <v>2859</v>
      </c>
      <c r="B947" t="s">
        <v>2894</v>
      </c>
      <c r="C947" t="s">
        <v>37</v>
      </c>
    </row>
    <row r="948" spans="1:3" x14ac:dyDescent="0.25">
      <c r="A948">
        <v>2860</v>
      </c>
      <c r="B948" t="s">
        <v>2895</v>
      </c>
      <c r="C948" t="s">
        <v>37</v>
      </c>
    </row>
    <row r="949" spans="1:3" x14ac:dyDescent="0.25">
      <c r="A949">
        <v>2861</v>
      </c>
      <c r="B949" t="s">
        <v>2896</v>
      </c>
      <c r="C949" t="s">
        <v>37</v>
      </c>
    </row>
    <row r="950" spans="1:3" x14ac:dyDescent="0.25">
      <c r="A950">
        <v>2862</v>
      </c>
      <c r="B950" t="s">
        <v>2897</v>
      </c>
      <c r="C950" t="s">
        <v>37</v>
      </c>
    </row>
    <row r="951" spans="1:3" x14ac:dyDescent="0.25">
      <c r="A951">
        <v>2863</v>
      </c>
      <c r="B951" t="s">
        <v>2898</v>
      </c>
      <c r="C951" t="s">
        <v>37</v>
      </c>
    </row>
    <row r="952" spans="1:3" x14ac:dyDescent="0.25">
      <c r="A952">
        <v>2864</v>
      </c>
      <c r="B952" t="s">
        <v>2899</v>
      </c>
      <c r="C952" t="s">
        <v>37</v>
      </c>
    </row>
    <row r="953" spans="1:3" x14ac:dyDescent="0.25">
      <c r="A953">
        <v>2865</v>
      </c>
      <c r="B953" t="s">
        <v>2900</v>
      </c>
      <c r="C953" t="s">
        <v>37</v>
      </c>
    </row>
    <row r="954" spans="1:3" x14ac:dyDescent="0.25">
      <c r="A954">
        <v>2866</v>
      </c>
      <c r="B954" t="s">
        <v>2901</v>
      </c>
      <c r="C954" t="s">
        <v>37</v>
      </c>
    </row>
    <row r="955" spans="1:3" x14ac:dyDescent="0.25">
      <c r="A955">
        <v>2867</v>
      </c>
      <c r="B955" t="s">
        <v>2902</v>
      </c>
      <c r="C955" t="s">
        <v>37</v>
      </c>
    </row>
    <row r="956" spans="1:3" x14ac:dyDescent="0.25">
      <c r="A956">
        <v>2868</v>
      </c>
      <c r="B956" t="s">
        <v>2903</v>
      </c>
      <c r="C956" t="s">
        <v>37</v>
      </c>
    </row>
    <row r="957" spans="1:3" x14ac:dyDescent="0.25">
      <c r="A957">
        <v>2869</v>
      </c>
      <c r="B957" t="s">
        <v>2904</v>
      </c>
      <c r="C957" t="s">
        <v>37</v>
      </c>
    </row>
    <row r="958" spans="1:3" x14ac:dyDescent="0.25">
      <c r="A958">
        <v>2881</v>
      </c>
      <c r="B958" t="s">
        <v>2905</v>
      </c>
      <c r="C958" t="s">
        <v>37</v>
      </c>
    </row>
    <row r="959" spans="1:3" x14ac:dyDescent="0.25">
      <c r="A959">
        <v>2882</v>
      </c>
      <c r="B959" t="s">
        <v>2906</v>
      </c>
      <c r="C959" t="s">
        <v>37</v>
      </c>
    </row>
    <row r="960" spans="1:3" x14ac:dyDescent="0.25">
      <c r="A960">
        <v>2883</v>
      </c>
      <c r="B960" t="s">
        <v>2907</v>
      </c>
      <c r="C960" t="s">
        <v>37</v>
      </c>
    </row>
    <row r="961" spans="1:3" x14ac:dyDescent="0.25">
      <c r="A961">
        <v>2884</v>
      </c>
      <c r="B961" t="s">
        <v>2908</v>
      </c>
      <c r="C961" t="s">
        <v>37</v>
      </c>
    </row>
    <row r="962" spans="1:3" x14ac:dyDescent="0.25">
      <c r="A962">
        <v>2885</v>
      </c>
      <c r="B962" t="s">
        <v>2909</v>
      </c>
      <c r="C962" t="s">
        <v>37</v>
      </c>
    </row>
    <row r="963" spans="1:3" x14ac:dyDescent="0.25">
      <c r="A963">
        <v>2886</v>
      </c>
      <c r="B963" t="s">
        <v>2910</v>
      </c>
      <c r="C963" t="s">
        <v>37</v>
      </c>
    </row>
    <row r="964" spans="1:3" x14ac:dyDescent="0.25">
      <c r="A964">
        <v>2887</v>
      </c>
      <c r="B964" t="s">
        <v>2911</v>
      </c>
      <c r="C964" t="s">
        <v>37</v>
      </c>
    </row>
    <row r="965" spans="1:3" x14ac:dyDescent="0.25">
      <c r="A965">
        <v>2888</v>
      </c>
      <c r="B965" t="s">
        <v>2912</v>
      </c>
      <c r="C965" t="s">
        <v>37</v>
      </c>
    </row>
    <row r="966" spans="1:3" x14ac:dyDescent="0.25">
      <c r="A966">
        <v>2889</v>
      </c>
      <c r="B966" t="s">
        <v>2913</v>
      </c>
      <c r="C966" t="s">
        <v>37</v>
      </c>
    </row>
    <row r="967" spans="1:3" x14ac:dyDescent="0.25">
      <c r="A967">
        <v>2890</v>
      </c>
      <c r="B967" t="s">
        <v>2914</v>
      </c>
      <c r="C967" t="s">
        <v>37</v>
      </c>
    </row>
    <row r="968" spans="1:3" x14ac:dyDescent="0.25">
      <c r="A968">
        <v>2891</v>
      </c>
      <c r="B968" t="s">
        <v>2915</v>
      </c>
      <c r="C968" t="s">
        <v>37</v>
      </c>
    </row>
    <row r="969" spans="1:3" x14ac:dyDescent="0.25">
      <c r="A969">
        <v>2892</v>
      </c>
      <c r="B969" t="s">
        <v>2916</v>
      </c>
      <c r="C969" t="s">
        <v>37</v>
      </c>
    </row>
    <row r="970" spans="1:3" x14ac:dyDescent="0.25">
      <c r="A970">
        <v>2893</v>
      </c>
      <c r="B970" t="s">
        <v>2917</v>
      </c>
      <c r="C970" t="s">
        <v>37</v>
      </c>
    </row>
    <row r="971" spans="1:3" x14ac:dyDescent="0.25">
      <c r="A971">
        <v>2894</v>
      </c>
      <c r="B971" t="s">
        <v>2918</v>
      </c>
      <c r="C971" t="s">
        <v>37</v>
      </c>
    </row>
    <row r="972" spans="1:3" x14ac:dyDescent="0.25">
      <c r="A972">
        <v>2895</v>
      </c>
      <c r="B972" t="s">
        <v>2919</v>
      </c>
      <c r="C972" t="s">
        <v>37</v>
      </c>
    </row>
    <row r="973" spans="1:3" x14ac:dyDescent="0.25">
      <c r="A973">
        <v>2901</v>
      </c>
      <c r="B973" t="s">
        <v>2920</v>
      </c>
      <c r="C973" t="s">
        <v>40</v>
      </c>
    </row>
    <row r="974" spans="1:3" x14ac:dyDescent="0.25">
      <c r="A974">
        <v>2903</v>
      </c>
      <c r="B974" t="s">
        <v>2921</v>
      </c>
      <c r="C974" t="s">
        <v>40</v>
      </c>
    </row>
    <row r="975" spans="1:3" x14ac:dyDescent="0.25">
      <c r="A975">
        <v>2904</v>
      </c>
      <c r="B975" t="s">
        <v>2922</v>
      </c>
      <c r="C975" t="s">
        <v>40</v>
      </c>
    </row>
    <row r="976" spans="1:3" x14ac:dyDescent="0.25">
      <c r="A976">
        <v>2914</v>
      </c>
      <c r="B976" t="s">
        <v>2923</v>
      </c>
      <c r="C976" t="s">
        <v>40</v>
      </c>
    </row>
    <row r="977" spans="1:3" x14ac:dyDescent="0.25">
      <c r="A977">
        <v>2915</v>
      </c>
      <c r="B977" t="s">
        <v>2924</v>
      </c>
      <c r="C977" t="s">
        <v>40</v>
      </c>
    </row>
    <row r="978" spans="1:3" x14ac:dyDescent="0.25">
      <c r="A978">
        <v>2917</v>
      </c>
      <c r="B978" t="s">
        <v>2925</v>
      </c>
      <c r="C978" t="s">
        <v>40</v>
      </c>
    </row>
    <row r="979" spans="1:3" x14ac:dyDescent="0.25">
      <c r="A979">
        <v>2919</v>
      </c>
      <c r="B979" t="s">
        <v>2926</v>
      </c>
      <c r="C979" t="s">
        <v>40</v>
      </c>
    </row>
    <row r="980" spans="1:3" x14ac:dyDescent="0.25">
      <c r="A980">
        <v>2920</v>
      </c>
      <c r="B980" t="s">
        <v>2927</v>
      </c>
      <c r="C980" t="s">
        <v>40</v>
      </c>
    </row>
    <row r="981" spans="1:3" x14ac:dyDescent="0.25">
      <c r="A981">
        <v>2931</v>
      </c>
      <c r="B981" t="s">
        <v>2928</v>
      </c>
      <c r="C981" t="s">
        <v>40</v>
      </c>
    </row>
    <row r="982" spans="1:3" x14ac:dyDescent="0.25">
      <c r="A982">
        <v>2932</v>
      </c>
      <c r="B982" t="s">
        <v>2929</v>
      </c>
      <c r="C982" t="s">
        <v>40</v>
      </c>
    </row>
    <row r="983" spans="1:3" x14ac:dyDescent="0.25">
      <c r="A983">
        <v>2933</v>
      </c>
      <c r="B983" t="s">
        <v>2930</v>
      </c>
      <c r="C983" t="s">
        <v>40</v>
      </c>
    </row>
    <row r="984" spans="1:3" x14ac:dyDescent="0.25">
      <c r="A984">
        <v>2936</v>
      </c>
      <c r="B984" t="s">
        <v>2931</v>
      </c>
      <c r="C984" t="s">
        <v>40</v>
      </c>
    </row>
    <row r="985" spans="1:3" x14ac:dyDescent="0.25">
      <c r="A985">
        <v>2937</v>
      </c>
      <c r="B985" t="s">
        <v>2932</v>
      </c>
      <c r="C985" t="s">
        <v>40</v>
      </c>
    </row>
    <row r="986" spans="1:3" x14ac:dyDescent="0.25">
      <c r="A986">
        <v>2938</v>
      </c>
      <c r="B986" t="s">
        <v>2933</v>
      </c>
      <c r="C986" t="s">
        <v>40</v>
      </c>
    </row>
    <row r="987" spans="1:3" x14ac:dyDescent="0.25">
      <c r="A987">
        <v>2939</v>
      </c>
      <c r="B987" t="s">
        <v>41</v>
      </c>
      <c r="C987" t="s">
        <v>40</v>
      </c>
    </row>
    <row r="988" spans="1:3" x14ac:dyDescent="0.25">
      <c r="A988">
        <v>2951</v>
      </c>
      <c r="B988" t="s">
        <v>2934</v>
      </c>
      <c r="C988" t="s">
        <v>40</v>
      </c>
    </row>
    <row r="989" spans="1:3" x14ac:dyDescent="0.25">
      <c r="A989">
        <v>2952</v>
      </c>
      <c r="B989" t="s">
        <v>2935</v>
      </c>
      <c r="C989" t="s">
        <v>40</v>
      </c>
    </row>
    <row r="990" spans="1:3" x14ac:dyDescent="0.25">
      <c r="A990">
        <v>2953</v>
      </c>
      <c r="B990" t="s">
        <v>2936</v>
      </c>
      <c r="C990" t="s">
        <v>40</v>
      </c>
    </row>
    <row r="991" spans="1:3" x14ac:dyDescent="0.25">
      <c r="A991">
        <v>2961</v>
      </c>
      <c r="B991" t="s">
        <v>2937</v>
      </c>
      <c r="C991" t="s">
        <v>40</v>
      </c>
    </row>
    <row r="992" spans="1:3" x14ac:dyDescent="0.25">
      <c r="A992">
        <v>2962</v>
      </c>
      <c r="B992" t="s">
        <v>2938</v>
      </c>
      <c r="C992" t="s">
        <v>40</v>
      </c>
    </row>
    <row r="993" spans="1:3" x14ac:dyDescent="0.25">
      <c r="A993">
        <v>2963</v>
      </c>
      <c r="B993" t="s">
        <v>2939</v>
      </c>
      <c r="C993" t="s">
        <v>40</v>
      </c>
    </row>
    <row r="994" spans="1:3" x14ac:dyDescent="0.25">
      <c r="A994">
        <v>2964</v>
      </c>
      <c r="B994" t="s">
        <v>2940</v>
      </c>
      <c r="C994" t="s">
        <v>40</v>
      </c>
    </row>
    <row r="995" spans="1:3" x14ac:dyDescent="0.25">
      <c r="A995">
        <v>2971</v>
      </c>
      <c r="B995" t="s">
        <v>2941</v>
      </c>
      <c r="C995" t="s">
        <v>40</v>
      </c>
    </row>
    <row r="996" spans="1:3" x14ac:dyDescent="0.25">
      <c r="A996">
        <v>2972</v>
      </c>
      <c r="B996" t="s">
        <v>2942</v>
      </c>
      <c r="C996" t="s">
        <v>40</v>
      </c>
    </row>
    <row r="997" spans="1:3" x14ac:dyDescent="0.25">
      <c r="A997">
        <v>2973</v>
      </c>
      <c r="B997" t="s">
        <v>2943</v>
      </c>
      <c r="C997" t="s">
        <v>40</v>
      </c>
    </row>
    <row r="998" spans="1:3" x14ac:dyDescent="0.25">
      <c r="A998">
        <v>2974</v>
      </c>
      <c r="B998" t="s">
        <v>2944</v>
      </c>
      <c r="C998" t="s">
        <v>40</v>
      </c>
    </row>
    <row r="999" spans="1:3" x14ac:dyDescent="0.25">
      <c r="A999">
        <v>3001</v>
      </c>
      <c r="B999" t="s">
        <v>2945</v>
      </c>
      <c r="C999" t="s">
        <v>43</v>
      </c>
    </row>
    <row r="1000" spans="1:3" x14ac:dyDescent="0.25">
      <c r="A1000">
        <v>3002</v>
      </c>
      <c r="B1000" t="s">
        <v>2946</v>
      </c>
      <c r="C1000" t="s">
        <v>43</v>
      </c>
    </row>
    <row r="1001" spans="1:3" x14ac:dyDescent="0.25">
      <c r="A1001">
        <v>3003</v>
      </c>
      <c r="B1001" t="s">
        <v>2947</v>
      </c>
      <c r="C1001" t="s">
        <v>43</v>
      </c>
    </row>
    <row r="1002" spans="1:3" x14ac:dyDescent="0.25">
      <c r="A1002">
        <v>3004</v>
      </c>
      <c r="B1002" t="s">
        <v>2948</v>
      </c>
      <c r="C1002" t="s">
        <v>43</v>
      </c>
    </row>
    <row r="1003" spans="1:3" x14ac:dyDescent="0.25">
      <c r="A1003">
        <v>3005</v>
      </c>
      <c r="B1003" t="s">
        <v>2949</v>
      </c>
      <c r="C1003" t="s">
        <v>43</v>
      </c>
    </row>
    <row r="1004" spans="1:3" x14ac:dyDescent="0.25">
      <c r="A1004">
        <v>3006</v>
      </c>
      <c r="B1004" t="s">
        <v>2950</v>
      </c>
      <c r="C1004" t="s">
        <v>43</v>
      </c>
    </row>
    <row r="1005" spans="1:3" x14ac:dyDescent="0.25">
      <c r="A1005">
        <v>3007</v>
      </c>
      <c r="B1005" t="s">
        <v>2951</v>
      </c>
      <c r="C1005" t="s">
        <v>43</v>
      </c>
    </row>
    <row r="1006" spans="1:3" x14ac:dyDescent="0.25">
      <c r="A1006">
        <v>3021</v>
      </c>
      <c r="B1006" t="s">
        <v>2952</v>
      </c>
      <c r="C1006" t="s">
        <v>43</v>
      </c>
    </row>
    <row r="1007" spans="1:3" x14ac:dyDescent="0.25">
      <c r="A1007">
        <v>3022</v>
      </c>
      <c r="B1007" t="s">
        <v>2953</v>
      </c>
      <c r="C1007" t="s">
        <v>43</v>
      </c>
    </row>
    <row r="1008" spans="1:3" x14ac:dyDescent="0.25">
      <c r="A1008">
        <v>3023</v>
      </c>
      <c r="B1008" t="s">
        <v>2954</v>
      </c>
      <c r="C1008" t="s">
        <v>43</v>
      </c>
    </row>
    <row r="1009" spans="1:3" x14ac:dyDescent="0.25">
      <c r="A1009">
        <v>3024</v>
      </c>
      <c r="B1009" t="s">
        <v>2955</v>
      </c>
      <c r="C1009" t="s">
        <v>43</v>
      </c>
    </row>
    <row r="1010" spans="1:3" x14ac:dyDescent="0.25">
      <c r="A1010">
        <v>3025</v>
      </c>
      <c r="B1010" t="s">
        <v>2956</v>
      </c>
      <c r="C1010" t="s">
        <v>43</v>
      </c>
    </row>
    <row r="1011" spans="1:3" x14ac:dyDescent="0.25">
      <c r="A1011">
        <v>3031</v>
      </c>
      <c r="B1011" t="s">
        <v>2957</v>
      </c>
      <c r="C1011" t="s">
        <v>43</v>
      </c>
    </row>
    <row r="1012" spans="1:3" x14ac:dyDescent="0.25">
      <c r="A1012">
        <v>3032</v>
      </c>
      <c r="B1012" t="s">
        <v>2958</v>
      </c>
      <c r="C1012" t="s">
        <v>43</v>
      </c>
    </row>
    <row r="1013" spans="1:3" x14ac:dyDescent="0.25">
      <c r="A1013">
        <v>3033</v>
      </c>
      <c r="B1013" t="s">
        <v>2959</v>
      </c>
      <c r="C1013" t="s">
        <v>43</v>
      </c>
    </row>
    <row r="1014" spans="1:3" x14ac:dyDescent="0.25">
      <c r="A1014">
        <v>3034</v>
      </c>
      <c r="B1014" t="s">
        <v>2960</v>
      </c>
      <c r="C1014" t="s">
        <v>43</v>
      </c>
    </row>
    <row r="1015" spans="1:3" x14ac:dyDescent="0.25">
      <c r="A1015">
        <v>3035</v>
      </c>
      <c r="B1015" t="s">
        <v>2961</v>
      </c>
      <c r="C1015" t="s">
        <v>43</v>
      </c>
    </row>
    <row r="1016" spans="1:3" x14ac:dyDescent="0.25">
      <c r="A1016">
        <v>3036</v>
      </c>
      <c r="B1016" t="s">
        <v>2962</v>
      </c>
      <c r="C1016" t="s">
        <v>43</v>
      </c>
    </row>
    <row r="1017" spans="1:3" x14ac:dyDescent="0.25">
      <c r="A1017">
        <v>3037</v>
      </c>
      <c r="B1017" t="s">
        <v>2963</v>
      </c>
      <c r="C1017" t="s">
        <v>43</v>
      </c>
    </row>
    <row r="1018" spans="1:3" x14ac:dyDescent="0.25">
      <c r="A1018">
        <v>3038</v>
      </c>
      <c r="B1018" t="s">
        <v>2964</v>
      </c>
      <c r="C1018" t="s">
        <v>43</v>
      </c>
    </row>
    <row r="1019" spans="1:3" x14ac:dyDescent="0.25">
      <c r="A1019">
        <v>3101</v>
      </c>
      <c r="B1019" t="s">
        <v>2965</v>
      </c>
      <c r="C1019" t="s">
        <v>46</v>
      </c>
    </row>
    <row r="1020" spans="1:3" x14ac:dyDescent="0.25">
      <c r="A1020">
        <v>3102</v>
      </c>
      <c r="B1020" t="s">
        <v>2966</v>
      </c>
      <c r="C1020" t="s">
        <v>46</v>
      </c>
    </row>
    <row r="1021" spans="1:3" x14ac:dyDescent="0.25">
      <c r="A1021">
        <v>3104</v>
      </c>
      <c r="B1021" t="s">
        <v>2967</v>
      </c>
      <c r="C1021" t="s">
        <v>46</v>
      </c>
    </row>
    <row r="1022" spans="1:3" x14ac:dyDescent="0.25">
      <c r="A1022">
        <v>3111</v>
      </c>
      <c r="B1022" t="s">
        <v>2968</v>
      </c>
      <c r="C1022" t="s">
        <v>46</v>
      </c>
    </row>
    <row r="1023" spans="1:3" x14ac:dyDescent="0.25">
      <c r="A1023">
        <v>3112</v>
      </c>
      <c r="B1023" t="s">
        <v>2969</v>
      </c>
      <c r="C1023" t="s">
        <v>46</v>
      </c>
    </row>
    <row r="1024" spans="1:3" x14ac:dyDescent="0.25">
      <c r="A1024">
        <v>3201</v>
      </c>
      <c r="B1024" t="s">
        <v>2970</v>
      </c>
      <c r="C1024" t="s">
        <v>49</v>
      </c>
    </row>
    <row r="1025" spans="1:3" x14ac:dyDescent="0.25">
      <c r="A1025">
        <v>3202</v>
      </c>
      <c r="B1025" t="s">
        <v>2971</v>
      </c>
      <c r="C1025" t="s">
        <v>49</v>
      </c>
    </row>
    <row r="1026" spans="1:3" x14ac:dyDescent="0.25">
      <c r="A1026">
        <v>3203</v>
      </c>
      <c r="B1026" t="s">
        <v>2972</v>
      </c>
      <c r="C1026" t="s">
        <v>49</v>
      </c>
    </row>
    <row r="1027" spans="1:3" x14ac:dyDescent="0.25">
      <c r="A1027">
        <v>3204</v>
      </c>
      <c r="B1027" t="s">
        <v>2973</v>
      </c>
      <c r="C1027" t="s">
        <v>49</v>
      </c>
    </row>
    <row r="1028" spans="1:3" x14ac:dyDescent="0.25">
      <c r="A1028">
        <v>3211</v>
      </c>
      <c r="B1028" t="s">
        <v>2974</v>
      </c>
      <c r="C1028" t="s">
        <v>49</v>
      </c>
    </row>
    <row r="1029" spans="1:3" x14ac:dyDescent="0.25">
      <c r="A1029">
        <v>3212</v>
      </c>
      <c r="B1029" t="s">
        <v>2975</v>
      </c>
      <c r="C1029" t="s">
        <v>49</v>
      </c>
    </row>
    <row r="1030" spans="1:3" x14ac:dyDescent="0.25">
      <c r="A1030">
        <v>3213</v>
      </c>
      <c r="B1030" t="s">
        <v>2976</v>
      </c>
      <c r="C1030" t="s">
        <v>49</v>
      </c>
    </row>
    <row r="1031" spans="1:3" x14ac:dyDescent="0.25">
      <c r="A1031">
        <v>3214</v>
      </c>
      <c r="B1031" t="s">
        <v>2977</v>
      </c>
      <c r="C1031" t="s">
        <v>49</v>
      </c>
    </row>
    <row r="1032" spans="1:3" x14ac:dyDescent="0.25">
      <c r="A1032">
        <v>3215</v>
      </c>
      <c r="B1032" t="s">
        <v>2978</v>
      </c>
      <c r="C1032" t="s">
        <v>49</v>
      </c>
    </row>
    <row r="1033" spans="1:3" x14ac:dyDescent="0.25">
      <c r="A1033">
        <v>3216</v>
      </c>
      <c r="B1033" t="s">
        <v>2979</v>
      </c>
      <c r="C1033" t="s">
        <v>49</v>
      </c>
    </row>
    <row r="1034" spans="1:3" x14ac:dyDescent="0.25">
      <c r="A1034">
        <v>3217</v>
      </c>
      <c r="B1034" t="s">
        <v>2980</v>
      </c>
      <c r="C1034" t="s">
        <v>49</v>
      </c>
    </row>
    <row r="1035" spans="1:3" x14ac:dyDescent="0.25">
      <c r="A1035">
        <v>3218</v>
      </c>
      <c r="B1035" t="s">
        <v>2981</v>
      </c>
      <c r="C1035" t="s">
        <v>49</v>
      </c>
    </row>
    <row r="1036" spans="1:3" x14ac:dyDescent="0.25">
      <c r="A1036">
        <v>3219</v>
      </c>
      <c r="B1036" t="s">
        <v>2982</v>
      </c>
      <c r="C1036" t="s">
        <v>49</v>
      </c>
    </row>
    <row r="1037" spans="1:3" x14ac:dyDescent="0.25">
      <c r="A1037">
        <v>3231</v>
      </c>
      <c r="B1037" t="s">
        <v>2983</v>
      </c>
      <c r="C1037" t="s">
        <v>49</v>
      </c>
    </row>
    <row r="1038" spans="1:3" x14ac:dyDescent="0.25">
      <c r="A1038">
        <v>3232</v>
      </c>
      <c r="B1038" t="s">
        <v>2984</v>
      </c>
      <c r="C1038" t="s">
        <v>49</v>
      </c>
    </row>
    <row r="1039" spans="1:3" x14ac:dyDescent="0.25">
      <c r="A1039">
        <v>3233</v>
      </c>
      <c r="B1039" t="s">
        <v>2985</v>
      </c>
      <c r="C1039" t="s">
        <v>49</v>
      </c>
    </row>
    <row r="1040" spans="1:3" x14ac:dyDescent="0.25">
      <c r="A1040">
        <v>3234</v>
      </c>
      <c r="B1040" t="s">
        <v>2986</v>
      </c>
      <c r="C1040" t="s">
        <v>49</v>
      </c>
    </row>
    <row r="1041" spans="1:3" x14ac:dyDescent="0.25">
      <c r="A1041">
        <v>3235</v>
      </c>
      <c r="B1041" t="s">
        <v>2987</v>
      </c>
      <c r="C1041" t="s">
        <v>49</v>
      </c>
    </row>
    <row r="1042" spans="1:3" x14ac:dyDescent="0.25">
      <c r="A1042">
        <v>3236</v>
      </c>
      <c r="B1042" t="s">
        <v>2988</v>
      </c>
      <c r="C1042" t="s">
        <v>49</v>
      </c>
    </row>
    <row r="1043" spans="1:3" x14ac:dyDescent="0.25">
      <c r="A1043">
        <v>3237</v>
      </c>
      <c r="B1043" t="s">
        <v>2989</v>
      </c>
      <c r="C1043" t="s">
        <v>49</v>
      </c>
    </row>
    <row r="1044" spans="1:3" x14ac:dyDescent="0.25">
      <c r="A1044">
        <v>3238</v>
      </c>
      <c r="B1044" t="s">
        <v>2990</v>
      </c>
      <c r="C1044" t="s">
        <v>49</v>
      </c>
    </row>
    <row r="1045" spans="1:3" x14ac:dyDescent="0.25">
      <c r="A1045">
        <v>3251</v>
      </c>
      <c r="B1045" t="s">
        <v>2991</v>
      </c>
      <c r="C1045" t="s">
        <v>49</v>
      </c>
    </row>
    <row r="1046" spans="1:3" x14ac:dyDescent="0.25">
      <c r="A1046">
        <v>3252</v>
      </c>
      <c r="B1046" t="s">
        <v>2992</v>
      </c>
      <c r="C1046" t="s">
        <v>49</v>
      </c>
    </row>
    <row r="1047" spans="1:3" x14ac:dyDescent="0.25">
      <c r="A1047">
        <v>3253</v>
      </c>
      <c r="B1047" t="s">
        <v>2993</v>
      </c>
      <c r="C1047" t="s">
        <v>49</v>
      </c>
    </row>
    <row r="1048" spans="1:3" x14ac:dyDescent="0.25">
      <c r="A1048">
        <v>3254</v>
      </c>
      <c r="B1048" t="s">
        <v>2994</v>
      </c>
      <c r="C1048" t="s">
        <v>49</v>
      </c>
    </row>
    <row r="1049" spans="1:3" x14ac:dyDescent="0.25">
      <c r="A1049">
        <v>3255</v>
      </c>
      <c r="B1049" t="s">
        <v>2995</v>
      </c>
      <c r="C1049" t="s">
        <v>49</v>
      </c>
    </row>
    <row r="1050" spans="1:3" x14ac:dyDescent="0.25">
      <c r="A1050">
        <v>3256</v>
      </c>
      <c r="B1050" t="s">
        <v>2996</v>
      </c>
      <c r="C1050" t="s">
        <v>49</v>
      </c>
    </row>
    <row r="1051" spans="1:3" x14ac:dyDescent="0.25">
      <c r="A1051">
        <v>3271</v>
      </c>
      <c r="B1051" t="s">
        <v>2997</v>
      </c>
      <c r="C1051" t="s">
        <v>49</v>
      </c>
    </row>
    <row r="1052" spans="1:3" x14ac:dyDescent="0.25">
      <c r="A1052">
        <v>3272</v>
      </c>
      <c r="B1052" t="s">
        <v>2998</v>
      </c>
      <c r="C1052" t="s">
        <v>49</v>
      </c>
    </row>
    <row r="1053" spans="1:3" x14ac:dyDescent="0.25">
      <c r="A1053">
        <v>3273</v>
      </c>
      <c r="B1053" t="s">
        <v>2999</v>
      </c>
      <c r="C1053" t="s">
        <v>49</v>
      </c>
    </row>
    <row r="1054" spans="1:3" x14ac:dyDescent="0.25">
      <c r="A1054">
        <v>3274</v>
      </c>
      <c r="B1054" t="s">
        <v>3000</v>
      </c>
      <c r="C1054" t="s">
        <v>49</v>
      </c>
    </row>
    <row r="1055" spans="1:3" x14ac:dyDescent="0.25">
      <c r="A1055">
        <v>3275</v>
      </c>
      <c r="B1055" t="s">
        <v>3001</v>
      </c>
      <c r="C1055" t="s">
        <v>49</v>
      </c>
    </row>
    <row r="1056" spans="1:3" x14ac:dyDescent="0.25">
      <c r="A1056">
        <v>3276</v>
      </c>
      <c r="B1056" t="s">
        <v>3002</v>
      </c>
      <c r="C1056" t="s">
        <v>49</v>
      </c>
    </row>
    <row r="1057" spans="1:3" x14ac:dyDescent="0.25">
      <c r="A1057">
        <v>3291</v>
      </c>
      <c r="B1057" t="s">
        <v>3003</v>
      </c>
      <c r="C1057" t="s">
        <v>49</v>
      </c>
    </row>
    <row r="1058" spans="1:3" x14ac:dyDescent="0.25">
      <c r="A1058">
        <v>3292</v>
      </c>
      <c r="B1058" t="s">
        <v>3004</v>
      </c>
      <c r="C1058" t="s">
        <v>49</v>
      </c>
    </row>
    <row r="1059" spans="1:3" x14ac:dyDescent="0.25">
      <c r="A1059">
        <v>3293</v>
      </c>
      <c r="B1059" t="s">
        <v>3005</v>
      </c>
      <c r="C1059" t="s">
        <v>49</v>
      </c>
    </row>
    <row r="1060" spans="1:3" x14ac:dyDescent="0.25">
      <c r="A1060">
        <v>3294</v>
      </c>
      <c r="B1060" t="s">
        <v>3006</v>
      </c>
      <c r="C1060" t="s">
        <v>49</v>
      </c>
    </row>
    <row r="1061" spans="1:3" x14ac:dyDescent="0.25">
      <c r="A1061">
        <v>3295</v>
      </c>
      <c r="B1061" t="s">
        <v>3007</v>
      </c>
      <c r="C1061" t="s">
        <v>49</v>
      </c>
    </row>
    <row r="1062" spans="1:3" x14ac:dyDescent="0.25">
      <c r="A1062">
        <v>3296</v>
      </c>
      <c r="B1062" t="s">
        <v>3008</v>
      </c>
      <c r="C1062" t="s">
        <v>49</v>
      </c>
    </row>
    <row r="1063" spans="1:3" x14ac:dyDescent="0.25">
      <c r="A1063">
        <v>3297</v>
      </c>
      <c r="B1063" t="s">
        <v>3009</v>
      </c>
      <c r="C1063" t="s">
        <v>49</v>
      </c>
    </row>
    <row r="1064" spans="1:3" x14ac:dyDescent="0.25">
      <c r="A1064">
        <v>3298</v>
      </c>
      <c r="B1064" t="s">
        <v>3010</v>
      </c>
      <c r="C1064" t="s">
        <v>49</v>
      </c>
    </row>
    <row r="1065" spans="1:3" x14ac:dyDescent="0.25">
      <c r="A1065">
        <v>3311</v>
      </c>
      <c r="B1065" t="s">
        <v>3011</v>
      </c>
      <c r="C1065" t="s">
        <v>49</v>
      </c>
    </row>
    <row r="1066" spans="1:3" x14ac:dyDescent="0.25">
      <c r="A1066">
        <v>3312</v>
      </c>
      <c r="B1066" t="s">
        <v>3012</v>
      </c>
      <c r="C1066" t="s">
        <v>49</v>
      </c>
    </row>
    <row r="1067" spans="1:3" x14ac:dyDescent="0.25">
      <c r="A1067">
        <v>3313</v>
      </c>
      <c r="B1067" t="s">
        <v>3013</v>
      </c>
      <c r="C1067" t="s">
        <v>49</v>
      </c>
    </row>
    <row r="1068" spans="1:3" x14ac:dyDescent="0.25">
      <c r="A1068">
        <v>3315</v>
      </c>
      <c r="B1068" t="s">
        <v>3014</v>
      </c>
      <c r="C1068" t="s">
        <v>49</v>
      </c>
    </row>
    <row r="1069" spans="1:3" x14ac:dyDescent="0.25">
      <c r="A1069">
        <v>3316</v>
      </c>
      <c r="B1069" t="s">
        <v>3015</v>
      </c>
      <c r="C1069" t="s">
        <v>49</v>
      </c>
    </row>
    <row r="1070" spans="1:3" x14ac:dyDescent="0.25">
      <c r="A1070">
        <v>3338</v>
      </c>
      <c r="B1070" t="s">
        <v>3016</v>
      </c>
      <c r="C1070" t="s">
        <v>49</v>
      </c>
    </row>
    <row r="1071" spans="1:3" x14ac:dyDescent="0.25">
      <c r="A1071">
        <v>3339</v>
      </c>
      <c r="B1071" t="s">
        <v>3017</v>
      </c>
      <c r="C1071" t="s">
        <v>49</v>
      </c>
    </row>
    <row r="1072" spans="1:3" x14ac:dyDescent="0.25">
      <c r="A1072">
        <v>3340</v>
      </c>
      <c r="B1072" t="s">
        <v>3018</v>
      </c>
      <c r="C1072" t="s">
        <v>49</v>
      </c>
    </row>
    <row r="1073" spans="1:3" x14ac:dyDescent="0.25">
      <c r="A1073">
        <v>3341</v>
      </c>
      <c r="B1073" t="s">
        <v>3019</v>
      </c>
      <c r="C1073" t="s">
        <v>49</v>
      </c>
    </row>
    <row r="1074" spans="1:3" x14ac:dyDescent="0.25">
      <c r="A1074">
        <v>3342</v>
      </c>
      <c r="B1074" t="s">
        <v>3020</v>
      </c>
      <c r="C1074" t="s">
        <v>49</v>
      </c>
    </row>
    <row r="1075" spans="1:3" x14ac:dyDescent="0.25">
      <c r="A1075">
        <v>3352</v>
      </c>
      <c r="B1075" t="s">
        <v>3021</v>
      </c>
      <c r="C1075" t="s">
        <v>49</v>
      </c>
    </row>
    <row r="1076" spans="1:3" x14ac:dyDescent="0.25">
      <c r="A1076">
        <v>3359</v>
      </c>
      <c r="B1076" t="s">
        <v>3022</v>
      </c>
      <c r="C1076" t="s">
        <v>49</v>
      </c>
    </row>
    <row r="1077" spans="1:3" x14ac:dyDescent="0.25">
      <c r="A1077">
        <v>3360</v>
      </c>
      <c r="B1077" t="s">
        <v>3023</v>
      </c>
      <c r="C1077" t="s">
        <v>49</v>
      </c>
    </row>
    <row r="1078" spans="1:3" x14ac:dyDescent="0.25">
      <c r="A1078">
        <v>3374</v>
      </c>
      <c r="B1078" t="s">
        <v>3024</v>
      </c>
      <c r="C1078" t="s">
        <v>49</v>
      </c>
    </row>
    <row r="1079" spans="1:3" x14ac:dyDescent="0.25">
      <c r="A1079">
        <v>3379</v>
      </c>
      <c r="B1079" t="s">
        <v>3025</v>
      </c>
      <c r="C1079" t="s">
        <v>49</v>
      </c>
    </row>
    <row r="1080" spans="1:3" x14ac:dyDescent="0.25">
      <c r="A1080">
        <v>3392</v>
      </c>
      <c r="B1080" t="s">
        <v>3026</v>
      </c>
      <c r="C1080" t="s">
        <v>49</v>
      </c>
    </row>
    <row r="1081" spans="1:3" x14ac:dyDescent="0.25">
      <c r="A1081">
        <v>3393</v>
      </c>
      <c r="B1081" t="s">
        <v>3027</v>
      </c>
      <c r="C1081" t="s">
        <v>49</v>
      </c>
    </row>
    <row r="1082" spans="1:3" x14ac:dyDescent="0.25">
      <c r="A1082">
        <v>3394</v>
      </c>
      <c r="B1082" t="s">
        <v>3028</v>
      </c>
      <c r="C1082" t="s">
        <v>49</v>
      </c>
    </row>
    <row r="1083" spans="1:3" x14ac:dyDescent="0.25">
      <c r="A1083">
        <v>3395</v>
      </c>
      <c r="B1083" t="s">
        <v>3029</v>
      </c>
      <c r="C1083" t="s">
        <v>49</v>
      </c>
    </row>
    <row r="1084" spans="1:3" x14ac:dyDescent="0.25">
      <c r="A1084">
        <v>3396</v>
      </c>
      <c r="B1084" t="s">
        <v>3030</v>
      </c>
      <c r="C1084" t="s">
        <v>49</v>
      </c>
    </row>
    <row r="1085" spans="1:3" x14ac:dyDescent="0.25">
      <c r="A1085">
        <v>3401</v>
      </c>
      <c r="B1085" t="s">
        <v>3031</v>
      </c>
      <c r="C1085" t="s">
        <v>49</v>
      </c>
    </row>
    <row r="1086" spans="1:3" x14ac:dyDescent="0.25">
      <c r="A1086">
        <v>3402</v>
      </c>
      <c r="B1086" t="s">
        <v>3032</v>
      </c>
      <c r="C1086" t="s">
        <v>49</v>
      </c>
    </row>
    <row r="1087" spans="1:3" x14ac:dyDescent="0.25">
      <c r="A1087">
        <v>3405</v>
      </c>
      <c r="B1087" t="s">
        <v>3033</v>
      </c>
      <c r="C1087" t="s">
        <v>49</v>
      </c>
    </row>
    <row r="1088" spans="1:3" x14ac:dyDescent="0.25">
      <c r="A1088">
        <v>3407</v>
      </c>
      <c r="B1088" t="s">
        <v>3034</v>
      </c>
      <c r="C1088" t="s">
        <v>49</v>
      </c>
    </row>
    <row r="1089" spans="1:3" x14ac:dyDescent="0.25">
      <c r="A1089">
        <v>3408</v>
      </c>
      <c r="B1089" t="s">
        <v>3035</v>
      </c>
      <c r="C1089" t="s">
        <v>49</v>
      </c>
    </row>
    <row r="1090" spans="1:3" x14ac:dyDescent="0.25">
      <c r="A1090">
        <v>3422</v>
      </c>
      <c r="B1090" t="s">
        <v>3036</v>
      </c>
      <c r="C1090" t="s">
        <v>49</v>
      </c>
    </row>
    <row r="1091" spans="1:3" x14ac:dyDescent="0.25">
      <c r="A1091">
        <v>3423</v>
      </c>
      <c r="B1091" t="s">
        <v>3037</v>
      </c>
      <c r="C1091" t="s">
        <v>49</v>
      </c>
    </row>
    <row r="1092" spans="1:3" x14ac:dyDescent="0.25">
      <c r="A1092">
        <v>3424</v>
      </c>
      <c r="B1092" t="s">
        <v>3038</v>
      </c>
      <c r="C1092" t="s">
        <v>49</v>
      </c>
    </row>
    <row r="1093" spans="1:3" x14ac:dyDescent="0.25">
      <c r="A1093">
        <v>3426</v>
      </c>
      <c r="B1093" t="s">
        <v>3039</v>
      </c>
      <c r="C1093" t="s">
        <v>49</v>
      </c>
    </row>
    <row r="1094" spans="1:3" x14ac:dyDescent="0.25">
      <c r="A1094">
        <v>3427</v>
      </c>
      <c r="B1094" t="s">
        <v>3040</v>
      </c>
      <c r="C1094" t="s">
        <v>49</v>
      </c>
    </row>
    <row r="1095" spans="1:3" x14ac:dyDescent="0.25">
      <c r="A1095">
        <v>3441</v>
      </c>
      <c r="B1095" t="s">
        <v>3041</v>
      </c>
      <c r="C1095" t="s">
        <v>49</v>
      </c>
    </row>
    <row r="1096" spans="1:3" x14ac:dyDescent="0.25">
      <c r="A1096">
        <v>3442</v>
      </c>
      <c r="B1096" t="s">
        <v>3042</v>
      </c>
      <c r="C1096" t="s">
        <v>49</v>
      </c>
    </row>
    <row r="1097" spans="1:3" x14ac:dyDescent="0.25">
      <c r="A1097">
        <v>3443</v>
      </c>
      <c r="B1097" t="s">
        <v>3043</v>
      </c>
      <c r="C1097" t="s">
        <v>49</v>
      </c>
    </row>
    <row r="1098" spans="1:3" x14ac:dyDescent="0.25">
      <c r="A1098">
        <v>3444</v>
      </c>
      <c r="B1098" t="s">
        <v>3044</v>
      </c>
      <c r="C1098" t="s">
        <v>49</v>
      </c>
    </row>
    <row r="1099" spans="1:3" x14ac:dyDescent="0.25">
      <c r="A1099">
        <v>3506</v>
      </c>
      <c r="B1099" t="s">
        <v>3045</v>
      </c>
      <c r="C1099" t="s">
        <v>52</v>
      </c>
    </row>
    <row r="1100" spans="1:3" x14ac:dyDescent="0.25">
      <c r="A1100">
        <v>3513</v>
      </c>
      <c r="B1100" t="s">
        <v>3046</v>
      </c>
      <c r="C1100" t="s">
        <v>52</v>
      </c>
    </row>
    <row r="1101" spans="1:3" x14ac:dyDescent="0.25">
      <c r="A1101">
        <v>3514</v>
      </c>
      <c r="B1101" t="s">
        <v>3047</v>
      </c>
      <c r="C1101" t="s">
        <v>52</v>
      </c>
    </row>
    <row r="1102" spans="1:3" x14ac:dyDescent="0.25">
      <c r="A1102">
        <v>3542</v>
      </c>
      <c r="B1102" t="s">
        <v>3048</v>
      </c>
      <c r="C1102" t="s">
        <v>52</v>
      </c>
    </row>
    <row r="1103" spans="1:3" x14ac:dyDescent="0.25">
      <c r="A1103">
        <v>3543</v>
      </c>
      <c r="B1103" t="s">
        <v>3049</v>
      </c>
      <c r="C1103" t="s">
        <v>52</v>
      </c>
    </row>
    <row r="1104" spans="1:3" x14ac:dyDescent="0.25">
      <c r="A1104">
        <v>3544</v>
      </c>
      <c r="B1104" t="s">
        <v>3050</v>
      </c>
      <c r="C1104" t="s">
        <v>52</v>
      </c>
    </row>
    <row r="1105" spans="1:3" x14ac:dyDescent="0.25">
      <c r="A1105">
        <v>3551</v>
      </c>
      <c r="B1105" t="s">
        <v>3051</v>
      </c>
      <c r="C1105" t="s">
        <v>52</v>
      </c>
    </row>
    <row r="1106" spans="1:3" x14ac:dyDescent="0.25">
      <c r="A1106">
        <v>3561</v>
      </c>
      <c r="B1106" t="s">
        <v>3052</v>
      </c>
      <c r="C1106" t="s">
        <v>52</v>
      </c>
    </row>
    <row r="1107" spans="1:3" x14ac:dyDescent="0.25">
      <c r="A1107">
        <v>3572</v>
      </c>
      <c r="B1107" t="s">
        <v>3053</v>
      </c>
      <c r="C1107" t="s">
        <v>52</v>
      </c>
    </row>
    <row r="1108" spans="1:3" x14ac:dyDescent="0.25">
      <c r="A1108">
        <v>3575</v>
      </c>
      <c r="B1108" t="s">
        <v>3054</v>
      </c>
      <c r="C1108" t="s">
        <v>52</v>
      </c>
    </row>
    <row r="1109" spans="1:3" x14ac:dyDescent="0.25">
      <c r="A1109">
        <v>3581</v>
      </c>
      <c r="B1109" t="s">
        <v>3055</v>
      </c>
      <c r="C1109" t="s">
        <v>52</v>
      </c>
    </row>
    <row r="1110" spans="1:3" x14ac:dyDescent="0.25">
      <c r="A1110">
        <v>3582</v>
      </c>
      <c r="B1110" t="s">
        <v>3056</v>
      </c>
      <c r="C1110" t="s">
        <v>52</v>
      </c>
    </row>
    <row r="1111" spans="1:3" x14ac:dyDescent="0.25">
      <c r="A1111">
        <v>3603</v>
      </c>
      <c r="B1111" t="s">
        <v>3057</v>
      </c>
      <c r="C1111" t="s">
        <v>52</v>
      </c>
    </row>
    <row r="1112" spans="1:3" x14ac:dyDescent="0.25">
      <c r="A1112">
        <v>3618</v>
      </c>
      <c r="B1112" t="s">
        <v>3058</v>
      </c>
      <c r="C1112" t="s">
        <v>52</v>
      </c>
    </row>
    <row r="1113" spans="1:3" x14ac:dyDescent="0.25">
      <c r="A1113">
        <v>3619</v>
      </c>
      <c r="B1113" t="s">
        <v>3059</v>
      </c>
      <c r="C1113" t="s">
        <v>52</v>
      </c>
    </row>
    <row r="1114" spans="1:3" x14ac:dyDescent="0.25">
      <c r="A1114">
        <v>3633</v>
      </c>
      <c r="B1114" t="s">
        <v>3060</v>
      </c>
      <c r="C1114" t="s">
        <v>52</v>
      </c>
    </row>
    <row r="1115" spans="1:3" x14ac:dyDescent="0.25">
      <c r="A1115">
        <v>3637</v>
      </c>
      <c r="B1115" t="s">
        <v>3061</v>
      </c>
      <c r="C1115" t="s">
        <v>52</v>
      </c>
    </row>
    <row r="1116" spans="1:3" x14ac:dyDescent="0.25">
      <c r="A1116">
        <v>3638</v>
      </c>
      <c r="B1116" t="s">
        <v>3062</v>
      </c>
      <c r="C1116" t="s">
        <v>52</v>
      </c>
    </row>
    <row r="1117" spans="1:3" x14ac:dyDescent="0.25">
      <c r="A1117">
        <v>3640</v>
      </c>
      <c r="B1117" t="s">
        <v>3063</v>
      </c>
      <c r="C1117" t="s">
        <v>52</v>
      </c>
    </row>
    <row r="1118" spans="1:3" x14ac:dyDescent="0.25">
      <c r="A1118">
        <v>3661</v>
      </c>
      <c r="B1118" t="s">
        <v>3064</v>
      </c>
      <c r="C1118" t="s">
        <v>52</v>
      </c>
    </row>
    <row r="1119" spans="1:3" x14ac:dyDescent="0.25">
      <c r="A1119">
        <v>3662</v>
      </c>
      <c r="B1119" t="s">
        <v>3065</v>
      </c>
      <c r="C1119" t="s">
        <v>52</v>
      </c>
    </row>
    <row r="1120" spans="1:3" x14ac:dyDescent="0.25">
      <c r="A1120">
        <v>3663</v>
      </c>
      <c r="B1120" t="s">
        <v>3066</v>
      </c>
      <c r="C1120" t="s">
        <v>52</v>
      </c>
    </row>
    <row r="1121" spans="1:3" x14ac:dyDescent="0.25">
      <c r="A1121">
        <v>3668</v>
      </c>
      <c r="B1121" t="s">
        <v>3067</v>
      </c>
      <c r="C1121" t="s">
        <v>52</v>
      </c>
    </row>
    <row r="1122" spans="1:3" x14ac:dyDescent="0.25">
      <c r="A1122">
        <v>3669</v>
      </c>
      <c r="B1122" t="s">
        <v>3068</v>
      </c>
      <c r="C1122" t="s">
        <v>52</v>
      </c>
    </row>
    <row r="1123" spans="1:3" x14ac:dyDescent="0.25">
      <c r="A1123">
        <v>3670</v>
      </c>
      <c r="B1123" t="s">
        <v>3069</v>
      </c>
      <c r="C1123" t="s">
        <v>52</v>
      </c>
    </row>
    <row r="1124" spans="1:3" x14ac:dyDescent="0.25">
      <c r="A1124">
        <v>3672</v>
      </c>
      <c r="B1124" t="s">
        <v>3070</v>
      </c>
      <c r="C1124" t="s">
        <v>52</v>
      </c>
    </row>
    <row r="1125" spans="1:3" x14ac:dyDescent="0.25">
      <c r="A1125">
        <v>3673</v>
      </c>
      <c r="B1125" t="s">
        <v>3071</v>
      </c>
      <c r="C1125" t="s">
        <v>52</v>
      </c>
    </row>
    <row r="1126" spans="1:3" x14ac:dyDescent="0.25">
      <c r="A1126">
        <v>3681</v>
      </c>
      <c r="B1126" t="s">
        <v>3072</v>
      </c>
      <c r="C1126" t="s">
        <v>52</v>
      </c>
    </row>
    <row r="1127" spans="1:3" x14ac:dyDescent="0.25">
      <c r="A1127">
        <v>3695</v>
      </c>
      <c r="B1127" t="s">
        <v>3073</v>
      </c>
      <c r="C1127" t="s">
        <v>52</v>
      </c>
    </row>
    <row r="1128" spans="1:3" x14ac:dyDescent="0.25">
      <c r="A1128">
        <v>3701</v>
      </c>
      <c r="B1128" t="s">
        <v>3074</v>
      </c>
      <c r="C1128" t="s">
        <v>52</v>
      </c>
    </row>
    <row r="1129" spans="1:3" x14ac:dyDescent="0.25">
      <c r="A1129">
        <v>3711</v>
      </c>
      <c r="B1129" t="s">
        <v>3075</v>
      </c>
      <c r="C1129" t="s">
        <v>52</v>
      </c>
    </row>
    <row r="1130" spans="1:3" x14ac:dyDescent="0.25">
      <c r="A1130">
        <v>3712</v>
      </c>
      <c r="B1130" t="s">
        <v>3076</v>
      </c>
      <c r="C1130" t="s">
        <v>52</v>
      </c>
    </row>
    <row r="1131" spans="1:3" x14ac:dyDescent="0.25">
      <c r="A1131">
        <v>3713</v>
      </c>
      <c r="B1131" t="s">
        <v>3077</v>
      </c>
      <c r="C1131" t="s">
        <v>52</v>
      </c>
    </row>
    <row r="1132" spans="1:3" x14ac:dyDescent="0.25">
      <c r="A1132">
        <v>3714</v>
      </c>
      <c r="B1132" t="s">
        <v>3078</v>
      </c>
      <c r="C1132" t="s">
        <v>52</v>
      </c>
    </row>
    <row r="1133" spans="1:3" x14ac:dyDescent="0.25">
      <c r="A1133">
        <v>3715</v>
      </c>
      <c r="B1133" t="s">
        <v>3079</v>
      </c>
      <c r="C1133" t="s">
        <v>52</v>
      </c>
    </row>
    <row r="1134" spans="1:3" x14ac:dyDescent="0.25">
      <c r="A1134">
        <v>3721</v>
      </c>
      <c r="B1134" t="s">
        <v>3080</v>
      </c>
      <c r="C1134" t="s">
        <v>52</v>
      </c>
    </row>
    <row r="1135" spans="1:3" x14ac:dyDescent="0.25">
      <c r="A1135">
        <v>3722</v>
      </c>
      <c r="B1135" t="s">
        <v>3081</v>
      </c>
      <c r="C1135" t="s">
        <v>52</v>
      </c>
    </row>
    <row r="1136" spans="1:3" x14ac:dyDescent="0.25">
      <c r="A1136">
        <v>3723</v>
      </c>
      <c r="B1136" t="s">
        <v>3082</v>
      </c>
      <c r="C1136" t="s">
        <v>52</v>
      </c>
    </row>
    <row r="1137" spans="1:3" x14ac:dyDescent="0.25">
      <c r="A1137">
        <v>3731</v>
      </c>
      <c r="B1137" t="s">
        <v>3083</v>
      </c>
      <c r="C1137" t="s">
        <v>52</v>
      </c>
    </row>
    <row r="1138" spans="1:3" x14ac:dyDescent="0.25">
      <c r="A1138">
        <v>3732</v>
      </c>
      <c r="B1138" t="s">
        <v>3084</v>
      </c>
      <c r="C1138" t="s">
        <v>52</v>
      </c>
    </row>
    <row r="1139" spans="1:3" x14ac:dyDescent="0.25">
      <c r="A1139">
        <v>3733</v>
      </c>
      <c r="B1139" t="s">
        <v>3085</v>
      </c>
      <c r="C1139" t="s">
        <v>52</v>
      </c>
    </row>
    <row r="1140" spans="1:3" x14ac:dyDescent="0.25">
      <c r="A1140">
        <v>3734</v>
      </c>
      <c r="B1140" t="s">
        <v>3086</v>
      </c>
      <c r="C1140" t="s">
        <v>52</v>
      </c>
    </row>
    <row r="1141" spans="1:3" x14ac:dyDescent="0.25">
      <c r="A1141">
        <v>3746</v>
      </c>
      <c r="B1141" t="s">
        <v>3087</v>
      </c>
      <c r="C1141" t="s">
        <v>52</v>
      </c>
    </row>
    <row r="1142" spans="1:3" x14ac:dyDescent="0.25">
      <c r="A1142">
        <v>3752</v>
      </c>
      <c r="B1142" t="s">
        <v>3088</v>
      </c>
      <c r="C1142" t="s">
        <v>52</v>
      </c>
    </row>
    <row r="1143" spans="1:3" x14ac:dyDescent="0.25">
      <c r="A1143">
        <v>3762</v>
      </c>
      <c r="B1143" t="s">
        <v>3089</v>
      </c>
      <c r="C1143" t="s">
        <v>52</v>
      </c>
    </row>
    <row r="1144" spans="1:3" x14ac:dyDescent="0.25">
      <c r="A1144">
        <v>3764</v>
      </c>
      <c r="B1144" t="s">
        <v>3090</v>
      </c>
      <c r="C1144" t="s">
        <v>52</v>
      </c>
    </row>
    <row r="1145" spans="1:3" x14ac:dyDescent="0.25">
      <c r="A1145">
        <v>3781</v>
      </c>
      <c r="B1145" t="s">
        <v>3091</v>
      </c>
      <c r="C1145" t="s">
        <v>52</v>
      </c>
    </row>
    <row r="1146" spans="1:3" x14ac:dyDescent="0.25">
      <c r="A1146">
        <v>3782</v>
      </c>
      <c r="B1146" t="s">
        <v>3092</v>
      </c>
      <c r="C1146" t="s">
        <v>52</v>
      </c>
    </row>
    <row r="1147" spans="1:3" x14ac:dyDescent="0.25">
      <c r="A1147">
        <v>3783</v>
      </c>
      <c r="B1147" t="s">
        <v>3093</v>
      </c>
      <c r="C1147" t="s">
        <v>52</v>
      </c>
    </row>
    <row r="1148" spans="1:3" x14ac:dyDescent="0.25">
      <c r="A1148">
        <v>3784</v>
      </c>
      <c r="B1148" t="s">
        <v>3094</v>
      </c>
      <c r="C1148" t="s">
        <v>52</v>
      </c>
    </row>
    <row r="1149" spans="1:3" x14ac:dyDescent="0.25">
      <c r="A1149">
        <v>3785</v>
      </c>
      <c r="B1149" t="s">
        <v>3095</v>
      </c>
      <c r="C1149" t="s">
        <v>52</v>
      </c>
    </row>
    <row r="1150" spans="1:3" x14ac:dyDescent="0.25">
      <c r="A1150">
        <v>3786</v>
      </c>
      <c r="B1150" t="s">
        <v>3096</v>
      </c>
      <c r="C1150" t="s">
        <v>52</v>
      </c>
    </row>
    <row r="1151" spans="1:3" x14ac:dyDescent="0.25">
      <c r="A1151">
        <v>3787</v>
      </c>
      <c r="B1151" t="s">
        <v>3097</v>
      </c>
      <c r="C1151" t="s">
        <v>52</v>
      </c>
    </row>
    <row r="1152" spans="1:3" x14ac:dyDescent="0.25">
      <c r="A1152">
        <v>3788</v>
      </c>
      <c r="B1152" t="s">
        <v>3098</v>
      </c>
      <c r="C1152" t="s">
        <v>52</v>
      </c>
    </row>
    <row r="1153" spans="1:3" x14ac:dyDescent="0.25">
      <c r="A1153">
        <v>3789</v>
      </c>
      <c r="B1153" t="s">
        <v>3099</v>
      </c>
      <c r="C1153" t="s">
        <v>52</v>
      </c>
    </row>
    <row r="1154" spans="1:3" x14ac:dyDescent="0.25">
      <c r="A1154">
        <v>3790</v>
      </c>
      <c r="B1154" t="s">
        <v>3100</v>
      </c>
      <c r="C1154" t="s">
        <v>52</v>
      </c>
    </row>
    <row r="1155" spans="1:3" x14ac:dyDescent="0.25">
      <c r="A1155">
        <v>3791</v>
      </c>
      <c r="B1155" t="s">
        <v>3101</v>
      </c>
      <c r="C1155" t="s">
        <v>52</v>
      </c>
    </row>
    <row r="1156" spans="1:3" x14ac:dyDescent="0.25">
      <c r="A1156">
        <v>3792</v>
      </c>
      <c r="B1156" t="s">
        <v>3102</v>
      </c>
      <c r="C1156" t="s">
        <v>52</v>
      </c>
    </row>
    <row r="1157" spans="1:3" x14ac:dyDescent="0.25">
      <c r="A1157">
        <v>3804</v>
      </c>
      <c r="B1157" t="s">
        <v>3103</v>
      </c>
      <c r="C1157" t="s">
        <v>52</v>
      </c>
    </row>
    <row r="1158" spans="1:3" x14ac:dyDescent="0.25">
      <c r="A1158">
        <v>3805</v>
      </c>
      <c r="B1158" t="s">
        <v>3104</v>
      </c>
      <c r="C1158" t="s">
        <v>52</v>
      </c>
    </row>
    <row r="1159" spans="1:3" x14ac:dyDescent="0.25">
      <c r="A1159">
        <v>3808</v>
      </c>
      <c r="B1159" t="s">
        <v>3105</v>
      </c>
      <c r="C1159" t="s">
        <v>52</v>
      </c>
    </row>
    <row r="1160" spans="1:3" x14ac:dyDescent="0.25">
      <c r="A1160">
        <v>3810</v>
      </c>
      <c r="B1160" t="s">
        <v>3106</v>
      </c>
      <c r="C1160" t="s">
        <v>52</v>
      </c>
    </row>
    <row r="1161" spans="1:3" x14ac:dyDescent="0.25">
      <c r="A1161">
        <v>3821</v>
      </c>
      <c r="B1161" t="s">
        <v>3107</v>
      </c>
      <c r="C1161" t="s">
        <v>52</v>
      </c>
    </row>
    <row r="1162" spans="1:3" x14ac:dyDescent="0.25">
      <c r="A1162">
        <v>3822</v>
      </c>
      <c r="B1162" t="s">
        <v>3108</v>
      </c>
      <c r="C1162" t="s">
        <v>52</v>
      </c>
    </row>
    <row r="1163" spans="1:3" x14ac:dyDescent="0.25">
      <c r="A1163">
        <v>3823</v>
      </c>
      <c r="B1163" t="s">
        <v>3109</v>
      </c>
      <c r="C1163" t="s">
        <v>52</v>
      </c>
    </row>
    <row r="1164" spans="1:3" x14ac:dyDescent="0.25">
      <c r="A1164">
        <v>3831</v>
      </c>
      <c r="B1164" t="s">
        <v>3110</v>
      </c>
      <c r="C1164" t="s">
        <v>52</v>
      </c>
    </row>
    <row r="1165" spans="1:3" x14ac:dyDescent="0.25">
      <c r="A1165">
        <v>3832</v>
      </c>
      <c r="B1165" t="s">
        <v>3111</v>
      </c>
      <c r="C1165" t="s">
        <v>52</v>
      </c>
    </row>
    <row r="1166" spans="1:3" x14ac:dyDescent="0.25">
      <c r="A1166">
        <v>3834</v>
      </c>
      <c r="B1166" t="s">
        <v>3112</v>
      </c>
      <c r="C1166" t="s">
        <v>52</v>
      </c>
    </row>
    <row r="1167" spans="1:3" x14ac:dyDescent="0.25">
      <c r="A1167">
        <v>3835</v>
      </c>
      <c r="B1167" t="s">
        <v>3113</v>
      </c>
      <c r="C1167" t="s">
        <v>52</v>
      </c>
    </row>
    <row r="1168" spans="1:3" x14ac:dyDescent="0.25">
      <c r="A1168">
        <v>3837</v>
      </c>
      <c r="B1168" t="s">
        <v>3114</v>
      </c>
      <c r="C1168" t="s">
        <v>52</v>
      </c>
    </row>
    <row r="1169" spans="1:3" x14ac:dyDescent="0.25">
      <c r="A1169">
        <v>3847</v>
      </c>
      <c r="B1169" t="s">
        <v>3115</v>
      </c>
      <c r="C1169" t="s">
        <v>52</v>
      </c>
    </row>
    <row r="1170" spans="1:3" x14ac:dyDescent="0.25">
      <c r="A1170">
        <v>3851</v>
      </c>
      <c r="B1170" t="s">
        <v>3116</v>
      </c>
      <c r="C1170" t="s">
        <v>52</v>
      </c>
    </row>
    <row r="1171" spans="1:3" x14ac:dyDescent="0.25">
      <c r="A1171">
        <v>3861</v>
      </c>
      <c r="B1171" t="s">
        <v>3117</v>
      </c>
      <c r="C1171" t="s">
        <v>52</v>
      </c>
    </row>
    <row r="1172" spans="1:3" x14ac:dyDescent="0.25">
      <c r="A1172">
        <v>3862</v>
      </c>
      <c r="B1172" t="s">
        <v>3118</v>
      </c>
      <c r="C1172" t="s">
        <v>52</v>
      </c>
    </row>
    <row r="1173" spans="1:3" x14ac:dyDescent="0.25">
      <c r="A1173">
        <v>3863</v>
      </c>
      <c r="B1173" t="s">
        <v>3119</v>
      </c>
      <c r="C1173" t="s">
        <v>52</v>
      </c>
    </row>
    <row r="1174" spans="1:3" x14ac:dyDescent="0.25">
      <c r="A1174">
        <v>3871</v>
      </c>
      <c r="B1174" t="s">
        <v>3120</v>
      </c>
      <c r="C1174" t="s">
        <v>52</v>
      </c>
    </row>
    <row r="1175" spans="1:3" x14ac:dyDescent="0.25">
      <c r="A1175">
        <v>3881</v>
      </c>
      <c r="B1175" t="s">
        <v>3121</v>
      </c>
      <c r="C1175" t="s">
        <v>52</v>
      </c>
    </row>
    <row r="1176" spans="1:3" x14ac:dyDescent="0.25">
      <c r="A1176">
        <v>3882</v>
      </c>
      <c r="B1176" t="s">
        <v>3122</v>
      </c>
      <c r="C1176" t="s">
        <v>52</v>
      </c>
    </row>
    <row r="1177" spans="1:3" x14ac:dyDescent="0.25">
      <c r="A1177">
        <v>3891</v>
      </c>
      <c r="B1177" t="s">
        <v>3123</v>
      </c>
      <c r="C1177" t="s">
        <v>52</v>
      </c>
    </row>
    <row r="1178" spans="1:3" x14ac:dyDescent="0.25">
      <c r="A1178">
        <v>3901</v>
      </c>
      <c r="B1178" t="s">
        <v>3124</v>
      </c>
      <c r="C1178" t="s">
        <v>52</v>
      </c>
    </row>
    <row r="1179" spans="1:3" x14ac:dyDescent="0.25">
      <c r="A1179">
        <v>3911</v>
      </c>
      <c r="B1179" t="s">
        <v>3125</v>
      </c>
      <c r="C1179" t="s">
        <v>52</v>
      </c>
    </row>
    <row r="1180" spans="1:3" x14ac:dyDescent="0.25">
      <c r="A1180">
        <v>3921</v>
      </c>
      <c r="B1180" t="s">
        <v>3126</v>
      </c>
      <c r="C1180" t="s">
        <v>52</v>
      </c>
    </row>
    <row r="1181" spans="1:3" x14ac:dyDescent="0.25">
      <c r="A1181">
        <v>3945</v>
      </c>
      <c r="B1181" t="s">
        <v>3127</v>
      </c>
      <c r="C1181" t="s">
        <v>52</v>
      </c>
    </row>
    <row r="1182" spans="1:3" x14ac:dyDescent="0.25">
      <c r="A1182">
        <v>3946</v>
      </c>
      <c r="B1182" t="s">
        <v>3128</v>
      </c>
      <c r="C1182" t="s">
        <v>52</v>
      </c>
    </row>
    <row r="1183" spans="1:3" x14ac:dyDescent="0.25">
      <c r="A1183">
        <v>3947</v>
      </c>
      <c r="B1183" t="s">
        <v>3129</v>
      </c>
      <c r="C1183" t="s">
        <v>52</v>
      </c>
    </row>
    <row r="1184" spans="1:3" x14ac:dyDescent="0.25">
      <c r="A1184">
        <v>3951</v>
      </c>
      <c r="B1184" t="s">
        <v>3130</v>
      </c>
      <c r="C1184" t="s">
        <v>52</v>
      </c>
    </row>
    <row r="1185" spans="1:3" x14ac:dyDescent="0.25">
      <c r="A1185">
        <v>3952</v>
      </c>
      <c r="B1185" t="s">
        <v>3131</v>
      </c>
      <c r="C1185" t="s">
        <v>52</v>
      </c>
    </row>
    <row r="1186" spans="1:3" x14ac:dyDescent="0.25">
      <c r="A1186">
        <v>3953</v>
      </c>
      <c r="B1186" t="s">
        <v>3132</v>
      </c>
      <c r="C1186" t="s">
        <v>52</v>
      </c>
    </row>
    <row r="1187" spans="1:3" x14ac:dyDescent="0.25">
      <c r="A1187">
        <v>3954</v>
      </c>
      <c r="B1187" t="s">
        <v>3133</v>
      </c>
      <c r="C1187" t="s">
        <v>52</v>
      </c>
    </row>
    <row r="1188" spans="1:3" x14ac:dyDescent="0.25">
      <c r="A1188">
        <v>3955</v>
      </c>
      <c r="B1188" t="s">
        <v>3134</v>
      </c>
      <c r="C1188" t="s">
        <v>52</v>
      </c>
    </row>
    <row r="1189" spans="1:3" x14ac:dyDescent="0.25">
      <c r="A1189">
        <v>3961</v>
      </c>
      <c r="B1189" t="s">
        <v>3135</v>
      </c>
      <c r="C1189" t="s">
        <v>52</v>
      </c>
    </row>
    <row r="1190" spans="1:3" x14ac:dyDescent="0.25">
      <c r="A1190">
        <v>3962</v>
      </c>
      <c r="B1190" t="s">
        <v>3136</v>
      </c>
      <c r="C1190" t="s">
        <v>52</v>
      </c>
    </row>
    <row r="1191" spans="1:3" x14ac:dyDescent="0.25">
      <c r="A1191">
        <v>3972</v>
      </c>
      <c r="B1191" t="s">
        <v>3137</v>
      </c>
      <c r="C1191" t="s">
        <v>52</v>
      </c>
    </row>
    <row r="1192" spans="1:3" x14ac:dyDescent="0.25">
      <c r="A1192">
        <v>3981</v>
      </c>
      <c r="B1192" t="s">
        <v>3138</v>
      </c>
      <c r="C1192" t="s">
        <v>52</v>
      </c>
    </row>
    <row r="1193" spans="1:3" x14ac:dyDescent="0.25">
      <c r="A1193">
        <v>3982</v>
      </c>
      <c r="B1193" t="s">
        <v>3139</v>
      </c>
      <c r="C1193" t="s">
        <v>52</v>
      </c>
    </row>
    <row r="1194" spans="1:3" x14ac:dyDescent="0.25">
      <c r="A1194">
        <v>3983</v>
      </c>
      <c r="B1194" t="s">
        <v>3140</v>
      </c>
      <c r="C1194" t="s">
        <v>52</v>
      </c>
    </row>
    <row r="1195" spans="1:3" x14ac:dyDescent="0.25">
      <c r="A1195">
        <v>3985</v>
      </c>
      <c r="B1195" t="s">
        <v>3141</v>
      </c>
      <c r="C1195" t="s">
        <v>52</v>
      </c>
    </row>
    <row r="1196" spans="1:3" x14ac:dyDescent="0.25">
      <c r="A1196">
        <v>3986</v>
      </c>
      <c r="B1196" t="s">
        <v>3142</v>
      </c>
      <c r="C1196" t="s">
        <v>52</v>
      </c>
    </row>
    <row r="1197" spans="1:3" x14ac:dyDescent="0.25">
      <c r="A1197">
        <v>3987</v>
      </c>
      <c r="B1197" t="s">
        <v>3143</v>
      </c>
      <c r="C1197" t="s">
        <v>52</v>
      </c>
    </row>
    <row r="1198" spans="1:3" x14ac:dyDescent="0.25">
      <c r="A1198">
        <v>3988</v>
      </c>
      <c r="B1198" t="s">
        <v>3144</v>
      </c>
      <c r="C1198" t="s">
        <v>52</v>
      </c>
    </row>
    <row r="1199" spans="1:3" x14ac:dyDescent="0.25">
      <c r="A1199">
        <v>4001</v>
      </c>
      <c r="B1199" t="s">
        <v>3145</v>
      </c>
      <c r="C1199" t="s">
        <v>55</v>
      </c>
    </row>
    <row r="1200" spans="1:3" x14ac:dyDescent="0.25">
      <c r="A1200">
        <v>4002</v>
      </c>
      <c r="B1200" t="s">
        <v>3146</v>
      </c>
      <c r="C1200" t="s">
        <v>55</v>
      </c>
    </row>
    <row r="1201" spans="1:3" x14ac:dyDescent="0.25">
      <c r="A1201">
        <v>4003</v>
      </c>
      <c r="B1201" t="s">
        <v>3147</v>
      </c>
      <c r="C1201" t="s">
        <v>55</v>
      </c>
    </row>
    <row r="1202" spans="1:3" x14ac:dyDescent="0.25">
      <c r="A1202">
        <v>4004</v>
      </c>
      <c r="B1202" t="s">
        <v>3148</v>
      </c>
      <c r="C1202" t="s">
        <v>55</v>
      </c>
    </row>
    <row r="1203" spans="1:3" x14ac:dyDescent="0.25">
      <c r="A1203">
        <v>4005</v>
      </c>
      <c r="B1203" t="s">
        <v>3149</v>
      </c>
      <c r="C1203" t="s">
        <v>55</v>
      </c>
    </row>
    <row r="1204" spans="1:3" x14ac:dyDescent="0.25">
      <c r="A1204">
        <v>4006</v>
      </c>
      <c r="B1204" t="s">
        <v>3150</v>
      </c>
      <c r="C1204" t="s">
        <v>55</v>
      </c>
    </row>
    <row r="1205" spans="1:3" x14ac:dyDescent="0.25">
      <c r="A1205">
        <v>4007</v>
      </c>
      <c r="B1205" t="s">
        <v>3151</v>
      </c>
      <c r="C1205" t="s">
        <v>55</v>
      </c>
    </row>
    <row r="1206" spans="1:3" x14ac:dyDescent="0.25">
      <c r="A1206">
        <v>4008</v>
      </c>
      <c r="B1206" t="s">
        <v>3152</v>
      </c>
      <c r="C1206" t="s">
        <v>55</v>
      </c>
    </row>
    <row r="1207" spans="1:3" x14ac:dyDescent="0.25">
      <c r="A1207">
        <v>4009</v>
      </c>
      <c r="B1207" t="s">
        <v>3153</v>
      </c>
      <c r="C1207" t="s">
        <v>55</v>
      </c>
    </row>
    <row r="1208" spans="1:3" x14ac:dyDescent="0.25">
      <c r="A1208">
        <v>4010</v>
      </c>
      <c r="B1208" t="s">
        <v>3154</v>
      </c>
      <c r="C1208" t="s">
        <v>55</v>
      </c>
    </row>
    <row r="1209" spans="1:3" x14ac:dyDescent="0.25">
      <c r="A1209">
        <v>4012</v>
      </c>
      <c r="B1209" t="s">
        <v>3155</v>
      </c>
      <c r="C1209" t="s">
        <v>55</v>
      </c>
    </row>
    <row r="1210" spans="1:3" x14ac:dyDescent="0.25">
      <c r="A1210">
        <v>4013</v>
      </c>
      <c r="B1210" t="s">
        <v>3156</v>
      </c>
      <c r="C1210" t="s">
        <v>55</v>
      </c>
    </row>
    <row r="1211" spans="1:3" x14ac:dyDescent="0.25">
      <c r="A1211">
        <v>4021</v>
      </c>
      <c r="B1211" t="s">
        <v>3157</v>
      </c>
      <c r="C1211" t="s">
        <v>55</v>
      </c>
    </row>
    <row r="1212" spans="1:3" x14ac:dyDescent="0.25">
      <c r="A1212">
        <v>4022</v>
      </c>
      <c r="B1212" t="s">
        <v>3158</v>
      </c>
      <c r="C1212" t="s">
        <v>55</v>
      </c>
    </row>
    <row r="1213" spans="1:3" x14ac:dyDescent="0.25">
      <c r="A1213">
        <v>4023</v>
      </c>
      <c r="B1213" t="s">
        <v>3159</v>
      </c>
      <c r="C1213" t="s">
        <v>55</v>
      </c>
    </row>
    <row r="1214" spans="1:3" x14ac:dyDescent="0.25">
      <c r="A1214">
        <v>4024</v>
      </c>
      <c r="B1214" t="s">
        <v>3160</v>
      </c>
      <c r="C1214" t="s">
        <v>55</v>
      </c>
    </row>
    <row r="1215" spans="1:3" x14ac:dyDescent="0.25">
      <c r="A1215">
        <v>4026</v>
      </c>
      <c r="B1215" t="s">
        <v>3161</v>
      </c>
      <c r="C1215" t="s">
        <v>55</v>
      </c>
    </row>
    <row r="1216" spans="1:3" x14ac:dyDescent="0.25">
      <c r="A1216">
        <v>4027</v>
      </c>
      <c r="B1216" t="s">
        <v>3162</v>
      </c>
      <c r="C1216" t="s">
        <v>55</v>
      </c>
    </row>
    <row r="1217" spans="1:3" x14ac:dyDescent="0.25">
      <c r="A1217">
        <v>4028</v>
      </c>
      <c r="B1217" t="s">
        <v>3163</v>
      </c>
      <c r="C1217" t="s">
        <v>55</v>
      </c>
    </row>
    <row r="1218" spans="1:3" x14ac:dyDescent="0.25">
      <c r="A1218">
        <v>4029</v>
      </c>
      <c r="B1218" t="s">
        <v>3164</v>
      </c>
      <c r="C1218" t="s">
        <v>55</v>
      </c>
    </row>
    <row r="1219" spans="1:3" x14ac:dyDescent="0.25">
      <c r="A1219">
        <v>4030</v>
      </c>
      <c r="B1219" t="s">
        <v>3165</v>
      </c>
      <c r="C1219" t="s">
        <v>55</v>
      </c>
    </row>
    <row r="1220" spans="1:3" x14ac:dyDescent="0.25">
      <c r="A1220">
        <v>4031</v>
      </c>
      <c r="B1220" t="s">
        <v>3166</v>
      </c>
      <c r="C1220" t="s">
        <v>55</v>
      </c>
    </row>
    <row r="1221" spans="1:3" x14ac:dyDescent="0.25">
      <c r="A1221">
        <v>4032</v>
      </c>
      <c r="B1221" t="s">
        <v>3167</v>
      </c>
      <c r="C1221" t="s">
        <v>55</v>
      </c>
    </row>
    <row r="1222" spans="1:3" x14ac:dyDescent="0.25">
      <c r="A1222">
        <v>4033</v>
      </c>
      <c r="B1222" t="s">
        <v>3168</v>
      </c>
      <c r="C1222" t="s">
        <v>55</v>
      </c>
    </row>
    <row r="1223" spans="1:3" x14ac:dyDescent="0.25">
      <c r="A1223">
        <v>4034</v>
      </c>
      <c r="B1223" t="s">
        <v>3169</v>
      </c>
      <c r="C1223" t="s">
        <v>55</v>
      </c>
    </row>
    <row r="1224" spans="1:3" x14ac:dyDescent="0.25">
      <c r="A1224">
        <v>4035</v>
      </c>
      <c r="B1224" t="s">
        <v>3170</v>
      </c>
      <c r="C1224" t="s">
        <v>55</v>
      </c>
    </row>
    <row r="1225" spans="1:3" x14ac:dyDescent="0.25">
      <c r="A1225">
        <v>4037</v>
      </c>
      <c r="B1225" t="s">
        <v>3171</v>
      </c>
      <c r="C1225" t="s">
        <v>55</v>
      </c>
    </row>
    <row r="1226" spans="1:3" x14ac:dyDescent="0.25">
      <c r="A1226">
        <v>4038</v>
      </c>
      <c r="B1226" t="s">
        <v>3172</v>
      </c>
      <c r="C1226" t="s">
        <v>55</v>
      </c>
    </row>
    <row r="1227" spans="1:3" x14ac:dyDescent="0.25">
      <c r="A1227">
        <v>4039</v>
      </c>
      <c r="B1227" t="s">
        <v>3173</v>
      </c>
      <c r="C1227" t="s">
        <v>55</v>
      </c>
    </row>
    <row r="1228" spans="1:3" x14ac:dyDescent="0.25">
      <c r="A1228">
        <v>4040</v>
      </c>
      <c r="B1228" t="s">
        <v>3174</v>
      </c>
      <c r="C1228" t="s">
        <v>55</v>
      </c>
    </row>
    <row r="1229" spans="1:3" x14ac:dyDescent="0.25">
      <c r="A1229">
        <v>4041</v>
      </c>
      <c r="B1229" t="s">
        <v>3175</v>
      </c>
      <c r="C1229" t="s">
        <v>55</v>
      </c>
    </row>
    <row r="1230" spans="1:3" x14ac:dyDescent="0.25">
      <c r="A1230">
        <v>4044</v>
      </c>
      <c r="B1230" t="s">
        <v>3176</v>
      </c>
      <c r="C1230" t="s">
        <v>55</v>
      </c>
    </row>
    <row r="1231" spans="1:3" x14ac:dyDescent="0.25">
      <c r="A1231">
        <v>4045</v>
      </c>
      <c r="B1231" t="s">
        <v>3177</v>
      </c>
      <c r="C1231" t="s">
        <v>55</v>
      </c>
    </row>
    <row r="1232" spans="1:3" x14ac:dyDescent="0.25">
      <c r="A1232">
        <v>4046</v>
      </c>
      <c r="B1232" t="s">
        <v>3178</v>
      </c>
      <c r="C1232" t="s">
        <v>55</v>
      </c>
    </row>
    <row r="1233" spans="1:3" x14ac:dyDescent="0.25">
      <c r="A1233">
        <v>4047</v>
      </c>
      <c r="B1233" t="s">
        <v>3179</v>
      </c>
      <c r="C1233" t="s">
        <v>55</v>
      </c>
    </row>
    <row r="1234" spans="1:3" x14ac:dyDescent="0.25">
      <c r="A1234">
        <v>4048</v>
      </c>
      <c r="B1234" t="s">
        <v>3180</v>
      </c>
      <c r="C1234" t="s">
        <v>55</v>
      </c>
    </row>
    <row r="1235" spans="1:3" x14ac:dyDescent="0.25">
      <c r="A1235">
        <v>4049</v>
      </c>
      <c r="B1235" t="s">
        <v>3181</v>
      </c>
      <c r="C1235" t="s">
        <v>55</v>
      </c>
    </row>
    <row r="1236" spans="1:3" x14ac:dyDescent="0.25">
      <c r="A1236">
        <v>4061</v>
      </c>
      <c r="B1236" t="s">
        <v>3182</v>
      </c>
      <c r="C1236" t="s">
        <v>55</v>
      </c>
    </row>
    <row r="1237" spans="1:3" x14ac:dyDescent="0.25">
      <c r="A1237">
        <v>4062</v>
      </c>
      <c r="B1237" t="s">
        <v>3183</v>
      </c>
      <c r="C1237" t="s">
        <v>55</v>
      </c>
    </row>
    <row r="1238" spans="1:3" x14ac:dyDescent="0.25">
      <c r="A1238">
        <v>4063</v>
      </c>
      <c r="B1238" t="s">
        <v>3184</v>
      </c>
      <c r="C1238" t="s">
        <v>55</v>
      </c>
    </row>
    <row r="1239" spans="1:3" x14ac:dyDescent="0.25">
      <c r="A1239">
        <v>4064</v>
      </c>
      <c r="B1239" t="s">
        <v>3185</v>
      </c>
      <c r="C1239" t="s">
        <v>55</v>
      </c>
    </row>
    <row r="1240" spans="1:3" x14ac:dyDescent="0.25">
      <c r="A1240">
        <v>4065</v>
      </c>
      <c r="B1240" t="s">
        <v>3186</v>
      </c>
      <c r="C1240" t="s">
        <v>55</v>
      </c>
    </row>
    <row r="1241" spans="1:3" x14ac:dyDescent="0.25">
      <c r="A1241">
        <v>4066</v>
      </c>
      <c r="B1241" t="s">
        <v>3187</v>
      </c>
      <c r="C1241" t="s">
        <v>55</v>
      </c>
    </row>
    <row r="1242" spans="1:3" x14ac:dyDescent="0.25">
      <c r="A1242">
        <v>4067</v>
      </c>
      <c r="B1242" t="s">
        <v>3188</v>
      </c>
      <c r="C1242" t="s">
        <v>55</v>
      </c>
    </row>
    <row r="1243" spans="1:3" x14ac:dyDescent="0.25">
      <c r="A1243">
        <v>4068</v>
      </c>
      <c r="B1243" t="s">
        <v>3189</v>
      </c>
      <c r="C1243" t="s">
        <v>55</v>
      </c>
    </row>
    <row r="1244" spans="1:3" x14ac:dyDescent="0.25">
      <c r="A1244">
        <v>4071</v>
      </c>
      <c r="B1244" t="s">
        <v>3190</v>
      </c>
      <c r="C1244" t="s">
        <v>55</v>
      </c>
    </row>
    <row r="1245" spans="1:3" x14ac:dyDescent="0.25">
      <c r="A1245">
        <v>4072</v>
      </c>
      <c r="B1245" t="s">
        <v>3191</v>
      </c>
      <c r="C1245" t="s">
        <v>55</v>
      </c>
    </row>
    <row r="1246" spans="1:3" x14ac:dyDescent="0.25">
      <c r="A1246">
        <v>4073</v>
      </c>
      <c r="B1246" t="s">
        <v>3192</v>
      </c>
      <c r="C1246" t="s">
        <v>55</v>
      </c>
    </row>
    <row r="1247" spans="1:3" x14ac:dyDescent="0.25">
      <c r="A1247">
        <v>4074</v>
      </c>
      <c r="B1247" t="s">
        <v>3193</v>
      </c>
      <c r="C1247" t="s">
        <v>55</v>
      </c>
    </row>
    <row r="1248" spans="1:3" x14ac:dyDescent="0.25">
      <c r="A1248">
        <v>4075</v>
      </c>
      <c r="B1248" t="s">
        <v>3194</v>
      </c>
      <c r="C1248" t="s">
        <v>55</v>
      </c>
    </row>
    <row r="1249" spans="1:3" x14ac:dyDescent="0.25">
      <c r="A1249">
        <v>4076</v>
      </c>
      <c r="B1249" t="s">
        <v>3195</v>
      </c>
      <c r="C1249" t="s">
        <v>55</v>
      </c>
    </row>
    <row r="1250" spans="1:3" x14ac:dyDescent="0.25">
      <c r="A1250">
        <v>4077</v>
      </c>
      <c r="B1250" t="s">
        <v>3196</v>
      </c>
      <c r="C1250" t="s">
        <v>55</v>
      </c>
    </row>
    <row r="1251" spans="1:3" x14ac:dyDescent="0.25">
      <c r="A1251">
        <v>4078</v>
      </c>
      <c r="B1251" t="s">
        <v>3197</v>
      </c>
      <c r="C1251" t="s">
        <v>55</v>
      </c>
    </row>
    <row r="1252" spans="1:3" x14ac:dyDescent="0.25">
      <c r="A1252">
        <v>4079</v>
      </c>
      <c r="B1252" t="s">
        <v>3198</v>
      </c>
      <c r="C1252" t="s">
        <v>55</v>
      </c>
    </row>
    <row r="1253" spans="1:3" x14ac:dyDescent="0.25">
      <c r="A1253">
        <v>4080</v>
      </c>
      <c r="B1253" t="s">
        <v>3199</v>
      </c>
      <c r="C1253" t="s">
        <v>55</v>
      </c>
    </row>
    <row r="1254" spans="1:3" x14ac:dyDescent="0.25">
      <c r="A1254">
        <v>4081</v>
      </c>
      <c r="B1254" t="s">
        <v>3200</v>
      </c>
      <c r="C1254" t="s">
        <v>55</v>
      </c>
    </row>
    <row r="1255" spans="1:3" x14ac:dyDescent="0.25">
      <c r="A1255">
        <v>4082</v>
      </c>
      <c r="B1255" t="s">
        <v>3201</v>
      </c>
      <c r="C1255" t="s">
        <v>55</v>
      </c>
    </row>
    <row r="1256" spans="1:3" x14ac:dyDescent="0.25">
      <c r="A1256">
        <v>4083</v>
      </c>
      <c r="B1256" t="s">
        <v>3202</v>
      </c>
      <c r="C1256" t="s">
        <v>55</v>
      </c>
    </row>
    <row r="1257" spans="1:3" x14ac:dyDescent="0.25">
      <c r="A1257">
        <v>4084</v>
      </c>
      <c r="B1257" t="s">
        <v>3203</v>
      </c>
      <c r="C1257" t="s">
        <v>55</v>
      </c>
    </row>
    <row r="1258" spans="1:3" x14ac:dyDescent="0.25">
      <c r="A1258">
        <v>4091</v>
      </c>
      <c r="B1258" t="s">
        <v>3204</v>
      </c>
      <c r="C1258" t="s">
        <v>55</v>
      </c>
    </row>
    <row r="1259" spans="1:3" x14ac:dyDescent="0.25">
      <c r="A1259">
        <v>4092</v>
      </c>
      <c r="B1259" t="s">
        <v>3205</v>
      </c>
      <c r="C1259" t="s">
        <v>55</v>
      </c>
    </row>
    <row r="1260" spans="1:3" x14ac:dyDescent="0.25">
      <c r="A1260">
        <v>4093</v>
      </c>
      <c r="B1260" t="s">
        <v>3206</v>
      </c>
      <c r="C1260" t="s">
        <v>55</v>
      </c>
    </row>
    <row r="1261" spans="1:3" x14ac:dyDescent="0.25">
      <c r="A1261">
        <v>4095</v>
      </c>
      <c r="B1261" t="s">
        <v>3207</v>
      </c>
      <c r="C1261" t="s">
        <v>55</v>
      </c>
    </row>
    <row r="1262" spans="1:3" x14ac:dyDescent="0.25">
      <c r="A1262">
        <v>4099</v>
      </c>
      <c r="B1262" t="s">
        <v>3208</v>
      </c>
      <c r="C1262" t="s">
        <v>55</v>
      </c>
    </row>
    <row r="1263" spans="1:3" x14ac:dyDescent="0.25">
      <c r="A1263">
        <v>4100</v>
      </c>
      <c r="B1263" t="s">
        <v>3209</v>
      </c>
      <c r="C1263" t="s">
        <v>55</v>
      </c>
    </row>
    <row r="1264" spans="1:3" x14ac:dyDescent="0.25">
      <c r="A1264">
        <v>4104</v>
      </c>
      <c r="B1264" t="s">
        <v>3210</v>
      </c>
      <c r="C1264" t="s">
        <v>55</v>
      </c>
    </row>
    <row r="1265" spans="1:3" x14ac:dyDescent="0.25">
      <c r="A1265">
        <v>4105</v>
      </c>
      <c r="B1265" t="s">
        <v>3211</v>
      </c>
      <c r="C1265" t="s">
        <v>55</v>
      </c>
    </row>
    <row r="1266" spans="1:3" x14ac:dyDescent="0.25">
      <c r="A1266">
        <v>4106</v>
      </c>
      <c r="B1266" t="s">
        <v>3212</v>
      </c>
      <c r="C1266" t="s">
        <v>55</v>
      </c>
    </row>
    <row r="1267" spans="1:3" x14ac:dyDescent="0.25">
      <c r="A1267">
        <v>4107</v>
      </c>
      <c r="B1267" t="s">
        <v>3213</v>
      </c>
      <c r="C1267" t="s">
        <v>55</v>
      </c>
    </row>
    <row r="1268" spans="1:3" x14ac:dyDescent="0.25">
      <c r="A1268">
        <v>4110</v>
      </c>
      <c r="B1268" t="s">
        <v>3214</v>
      </c>
      <c r="C1268" t="s">
        <v>55</v>
      </c>
    </row>
    <row r="1269" spans="1:3" x14ac:dyDescent="0.25">
      <c r="A1269">
        <v>4111</v>
      </c>
      <c r="B1269" t="s">
        <v>3215</v>
      </c>
      <c r="C1269" t="s">
        <v>55</v>
      </c>
    </row>
    <row r="1270" spans="1:3" x14ac:dyDescent="0.25">
      <c r="A1270">
        <v>4112</v>
      </c>
      <c r="B1270" t="s">
        <v>3216</v>
      </c>
      <c r="C1270" t="s">
        <v>55</v>
      </c>
    </row>
    <row r="1271" spans="1:3" x14ac:dyDescent="0.25">
      <c r="A1271">
        <v>4117</v>
      </c>
      <c r="B1271" t="s">
        <v>3217</v>
      </c>
      <c r="C1271" t="s">
        <v>55</v>
      </c>
    </row>
    <row r="1272" spans="1:3" x14ac:dyDescent="0.25">
      <c r="A1272">
        <v>4120</v>
      </c>
      <c r="B1272" t="s">
        <v>3218</v>
      </c>
      <c r="C1272" t="s">
        <v>55</v>
      </c>
    </row>
    <row r="1273" spans="1:3" x14ac:dyDescent="0.25">
      <c r="A1273">
        <v>4121</v>
      </c>
      <c r="B1273" t="s">
        <v>3219</v>
      </c>
      <c r="C1273" t="s">
        <v>55</v>
      </c>
    </row>
    <row r="1274" spans="1:3" x14ac:dyDescent="0.25">
      <c r="A1274">
        <v>4122</v>
      </c>
      <c r="B1274" t="s">
        <v>3220</v>
      </c>
      <c r="C1274" t="s">
        <v>55</v>
      </c>
    </row>
    <row r="1275" spans="1:3" x14ac:dyDescent="0.25">
      <c r="A1275">
        <v>4123</v>
      </c>
      <c r="B1275" t="s">
        <v>3221</v>
      </c>
      <c r="C1275" t="s">
        <v>55</v>
      </c>
    </row>
    <row r="1276" spans="1:3" x14ac:dyDescent="0.25">
      <c r="A1276">
        <v>4124</v>
      </c>
      <c r="B1276" t="s">
        <v>3222</v>
      </c>
      <c r="C1276" t="s">
        <v>55</v>
      </c>
    </row>
    <row r="1277" spans="1:3" x14ac:dyDescent="0.25">
      <c r="A1277">
        <v>4125</v>
      </c>
      <c r="B1277" t="s">
        <v>3223</v>
      </c>
      <c r="C1277" t="s">
        <v>55</v>
      </c>
    </row>
    <row r="1278" spans="1:3" x14ac:dyDescent="0.25">
      <c r="A1278">
        <v>4131</v>
      </c>
      <c r="B1278" t="s">
        <v>3224</v>
      </c>
      <c r="C1278" t="s">
        <v>55</v>
      </c>
    </row>
    <row r="1279" spans="1:3" x14ac:dyDescent="0.25">
      <c r="A1279">
        <v>4132</v>
      </c>
      <c r="B1279" t="s">
        <v>3225</v>
      </c>
      <c r="C1279" t="s">
        <v>55</v>
      </c>
    </row>
    <row r="1280" spans="1:3" x14ac:dyDescent="0.25">
      <c r="A1280">
        <v>4134</v>
      </c>
      <c r="B1280" t="s">
        <v>3226</v>
      </c>
      <c r="C1280" t="s">
        <v>55</v>
      </c>
    </row>
    <row r="1281" spans="1:3" x14ac:dyDescent="0.25">
      <c r="A1281">
        <v>4135</v>
      </c>
      <c r="B1281" t="s">
        <v>3227</v>
      </c>
      <c r="C1281" t="s">
        <v>55</v>
      </c>
    </row>
    <row r="1282" spans="1:3" x14ac:dyDescent="0.25">
      <c r="A1282">
        <v>4136</v>
      </c>
      <c r="B1282" t="s">
        <v>3228</v>
      </c>
      <c r="C1282" t="s">
        <v>55</v>
      </c>
    </row>
    <row r="1283" spans="1:3" x14ac:dyDescent="0.25">
      <c r="A1283">
        <v>4137</v>
      </c>
      <c r="B1283" t="s">
        <v>3229</v>
      </c>
      <c r="C1283" t="s">
        <v>55</v>
      </c>
    </row>
    <row r="1284" spans="1:3" x14ac:dyDescent="0.25">
      <c r="A1284">
        <v>4138</v>
      </c>
      <c r="B1284" t="s">
        <v>3230</v>
      </c>
      <c r="C1284" t="s">
        <v>55</v>
      </c>
    </row>
    <row r="1285" spans="1:3" x14ac:dyDescent="0.25">
      <c r="A1285">
        <v>4139</v>
      </c>
      <c r="B1285" t="s">
        <v>3231</v>
      </c>
      <c r="C1285" t="s">
        <v>55</v>
      </c>
    </row>
    <row r="1286" spans="1:3" x14ac:dyDescent="0.25">
      <c r="A1286">
        <v>4140</v>
      </c>
      <c r="B1286" t="s">
        <v>3232</v>
      </c>
      <c r="C1286" t="s">
        <v>55</v>
      </c>
    </row>
    <row r="1287" spans="1:3" x14ac:dyDescent="0.25">
      <c r="A1287">
        <v>4141</v>
      </c>
      <c r="B1287" t="s">
        <v>3233</v>
      </c>
      <c r="C1287" t="s">
        <v>55</v>
      </c>
    </row>
    <row r="1288" spans="1:3" x14ac:dyDescent="0.25">
      <c r="A1288">
        <v>4142</v>
      </c>
      <c r="B1288" t="s">
        <v>3234</v>
      </c>
      <c r="C1288" t="s">
        <v>55</v>
      </c>
    </row>
    <row r="1289" spans="1:3" x14ac:dyDescent="0.25">
      <c r="A1289">
        <v>4143</v>
      </c>
      <c r="B1289" t="s">
        <v>3235</v>
      </c>
      <c r="C1289" t="s">
        <v>55</v>
      </c>
    </row>
    <row r="1290" spans="1:3" x14ac:dyDescent="0.25">
      <c r="A1290">
        <v>4144</v>
      </c>
      <c r="B1290" t="s">
        <v>3236</v>
      </c>
      <c r="C1290" t="s">
        <v>55</v>
      </c>
    </row>
    <row r="1291" spans="1:3" x14ac:dyDescent="0.25">
      <c r="A1291">
        <v>4145</v>
      </c>
      <c r="B1291" t="s">
        <v>3237</v>
      </c>
      <c r="C1291" t="s">
        <v>55</v>
      </c>
    </row>
    <row r="1292" spans="1:3" x14ac:dyDescent="0.25">
      <c r="A1292">
        <v>4146</v>
      </c>
      <c r="B1292" t="s">
        <v>3238</v>
      </c>
      <c r="C1292" t="s">
        <v>55</v>
      </c>
    </row>
    <row r="1293" spans="1:3" x14ac:dyDescent="0.25">
      <c r="A1293">
        <v>4147</v>
      </c>
      <c r="B1293" t="s">
        <v>3239</v>
      </c>
      <c r="C1293" t="s">
        <v>55</v>
      </c>
    </row>
    <row r="1294" spans="1:3" x14ac:dyDescent="0.25">
      <c r="A1294">
        <v>4161</v>
      </c>
      <c r="B1294" t="s">
        <v>3240</v>
      </c>
      <c r="C1294" t="s">
        <v>55</v>
      </c>
    </row>
    <row r="1295" spans="1:3" x14ac:dyDescent="0.25">
      <c r="A1295">
        <v>4163</v>
      </c>
      <c r="B1295" t="s">
        <v>3241</v>
      </c>
      <c r="C1295" t="s">
        <v>55</v>
      </c>
    </row>
    <row r="1296" spans="1:3" x14ac:dyDescent="0.25">
      <c r="A1296">
        <v>4164</v>
      </c>
      <c r="B1296" t="s">
        <v>3242</v>
      </c>
      <c r="C1296" t="s">
        <v>55</v>
      </c>
    </row>
    <row r="1297" spans="1:3" x14ac:dyDescent="0.25">
      <c r="A1297">
        <v>4165</v>
      </c>
      <c r="B1297" t="s">
        <v>3243</v>
      </c>
      <c r="C1297" t="s">
        <v>55</v>
      </c>
    </row>
    <row r="1298" spans="1:3" x14ac:dyDescent="0.25">
      <c r="A1298">
        <v>4169</v>
      </c>
      <c r="B1298" t="s">
        <v>3244</v>
      </c>
      <c r="C1298" t="s">
        <v>55</v>
      </c>
    </row>
    <row r="1299" spans="1:3" x14ac:dyDescent="0.25">
      <c r="A1299">
        <v>4170</v>
      </c>
      <c r="B1299" t="s">
        <v>3245</v>
      </c>
      <c r="C1299" t="s">
        <v>55</v>
      </c>
    </row>
    <row r="1300" spans="1:3" x14ac:dyDescent="0.25">
      <c r="A1300">
        <v>4172</v>
      </c>
      <c r="B1300" t="s">
        <v>3246</v>
      </c>
      <c r="C1300" t="s">
        <v>55</v>
      </c>
    </row>
    <row r="1301" spans="1:3" x14ac:dyDescent="0.25">
      <c r="A1301">
        <v>4173</v>
      </c>
      <c r="B1301" t="s">
        <v>3247</v>
      </c>
      <c r="C1301" t="s">
        <v>55</v>
      </c>
    </row>
    <row r="1302" spans="1:3" x14ac:dyDescent="0.25">
      <c r="A1302">
        <v>4175</v>
      </c>
      <c r="B1302" t="s">
        <v>3248</v>
      </c>
      <c r="C1302" t="s">
        <v>55</v>
      </c>
    </row>
    <row r="1303" spans="1:3" x14ac:dyDescent="0.25">
      <c r="A1303">
        <v>4176</v>
      </c>
      <c r="B1303" t="s">
        <v>3249</v>
      </c>
      <c r="C1303" t="s">
        <v>55</v>
      </c>
    </row>
    <row r="1304" spans="1:3" x14ac:dyDescent="0.25">
      <c r="A1304">
        <v>4177</v>
      </c>
      <c r="B1304" t="s">
        <v>3250</v>
      </c>
      <c r="C1304" t="s">
        <v>55</v>
      </c>
    </row>
    <row r="1305" spans="1:3" x14ac:dyDescent="0.25">
      <c r="A1305">
        <v>4181</v>
      </c>
      <c r="B1305" t="s">
        <v>3251</v>
      </c>
      <c r="C1305" t="s">
        <v>55</v>
      </c>
    </row>
    <row r="1306" spans="1:3" x14ac:dyDescent="0.25">
      <c r="A1306">
        <v>4182</v>
      </c>
      <c r="B1306" t="s">
        <v>3252</v>
      </c>
      <c r="C1306" t="s">
        <v>55</v>
      </c>
    </row>
    <row r="1307" spans="1:3" x14ac:dyDescent="0.25">
      <c r="A1307">
        <v>4183</v>
      </c>
      <c r="B1307" t="s">
        <v>3253</v>
      </c>
      <c r="C1307" t="s">
        <v>55</v>
      </c>
    </row>
    <row r="1308" spans="1:3" x14ac:dyDescent="0.25">
      <c r="A1308">
        <v>4184</v>
      </c>
      <c r="B1308" t="s">
        <v>3254</v>
      </c>
      <c r="C1308" t="s">
        <v>55</v>
      </c>
    </row>
    <row r="1309" spans="1:3" x14ac:dyDescent="0.25">
      <c r="A1309">
        <v>4185</v>
      </c>
      <c r="B1309" t="s">
        <v>3255</v>
      </c>
      <c r="C1309" t="s">
        <v>55</v>
      </c>
    </row>
    <row r="1310" spans="1:3" x14ac:dyDescent="0.25">
      <c r="A1310">
        <v>4186</v>
      </c>
      <c r="B1310" t="s">
        <v>3256</v>
      </c>
      <c r="C1310" t="s">
        <v>55</v>
      </c>
    </row>
    <row r="1311" spans="1:3" x14ac:dyDescent="0.25">
      <c r="A1311">
        <v>4191</v>
      </c>
      <c r="B1311" t="s">
        <v>3257</v>
      </c>
      <c r="C1311" t="s">
        <v>55</v>
      </c>
    </row>
    <row r="1312" spans="1:3" x14ac:dyDescent="0.25">
      <c r="A1312">
        <v>4192</v>
      </c>
      <c r="B1312" t="s">
        <v>3258</v>
      </c>
      <c r="C1312" t="s">
        <v>55</v>
      </c>
    </row>
    <row r="1313" spans="1:3" x14ac:dyDescent="0.25">
      <c r="A1313">
        <v>4193</v>
      </c>
      <c r="B1313" t="s">
        <v>3259</v>
      </c>
      <c r="C1313" t="s">
        <v>55</v>
      </c>
    </row>
    <row r="1314" spans="1:3" x14ac:dyDescent="0.25">
      <c r="A1314">
        <v>4194</v>
      </c>
      <c r="B1314" t="s">
        <v>3260</v>
      </c>
      <c r="C1314" t="s">
        <v>55</v>
      </c>
    </row>
    <row r="1315" spans="1:3" x14ac:dyDescent="0.25">
      <c r="A1315">
        <v>4195</v>
      </c>
      <c r="B1315" t="s">
        <v>3261</v>
      </c>
      <c r="C1315" t="s">
        <v>55</v>
      </c>
    </row>
    <row r="1316" spans="1:3" x14ac:dyDescent="0.25">
      <c r="A1316">
        <v>4196</v>
      </c>
      <c r="B1316" t="s">
        <v>3262</v>
      </c>
      <c r="C1316" t="s">
        <v>55</v>
      </c>
    </row>
    <row r="1317" spans="1:3" x14ac:dyDescent="0.25">
      <c r="A1317">
        <v>4197</v>
      </c>
      <c r="B1317" t="s">
        <v>3263</v>
      </c>
      <c r="C1317" t="s">
        <v>55</v>
      </c>
    </row>
    <row r="1318" spans="1:3" x14ac:dyDescent="0.25">
      <c r="A1318">
        <v>4198</v>
      </c>
      <c r="B1318" t="s">
        <v>3264</v>
      </c>
      <c r="C1318" t="s">
        <v>55</v>
      </c>
    </row>
    <row r="1319" spans="1:3" x14ac:dyDescent="0.25">
      <c r="A1319">
        <v>4199</v>
      </c>
      <c r="B1319" t="s">
        <v>3265</v>
      </c>
      <c r="C1319" t="s">
        <v>55</v>
      </c>
    </row>
    <row r="1320" spans="1:3" x14ac:dyDescent="0.25">
      <c r="A1320">
        <v>4200</v>
      </c>
      <c r="B1320" t="s">
        <v>3266</v>
      </c>
      <c r="C1320" t="s">
        <v>55</v>
      </c>
    </row>
    <row r="1321" spans="1:3" x14ac:dyDescent="0.25">
      <c r="A1321">
        <v>4201</v>
      </c>
      <c r="B1321" t="s">
        <v>3267</v>
      </c>
      <c r="C1321" t="s">
        <v>55</v>
      </c>
    </row>
    <row r="1322" spans="1:3" x14ac:dyDescent="0.25">
      <c r="A1322">
        <v>4202</v>
      </c>
      <c r="B1322" t="s">
        <v>3268</v>
      </c>
      <c r="C1322" t="s">
        <v>55</v>
      </c>
    </row>
    <row r="1323" spans="1:3" x14ac:dyDescent="0.25">
      <c r="A1323">
        <v>4203</v>
      </c>
      <c r="B1323" t="s">
        <v>3269</v>
      </c>
      <c r="C1323" t="s">
        <v>55</v>
      </c>
    </row>
    <row r="1324" spans="1:3" x14ac:dyDescent="0.25">
      <c r="A1324">
        <v>4204</v>
      </c>
      <c r="B1324" t="s">
        <v>3270</v>
      </c>
      <c r="C1324" t="s">
        <v>55</v>
      </c>
    </row>
    <row r="1325" spans="1:3" x14ac:dyDescent="0.25">
      <c r="A1325">
        <v>4205</v>
      </c>
      <c r="B1325" t="s">
        <v>3271</v>
      </c>
      <c r="C1325" t="s">
        <v>55</v>
      </c>
    </row>
    <row r="1326" spans="1:3" x14ac:dyDescent="0.25">
      <c r="A1326">
        <v>4206</v>
      </c>
      <c r="B1326" t="s">
        <v>3272</v>
      </c>
      <c r="C1326" t="s">
        <v>55</v>
      </c>
    </row>
    <row r="1327" spans="1:3" x14ac:dyDescent="0.25">
      <c r="A1327">
        <v>4207</v>
      </c>
      <c r="B1327" t="s">
        <v>3273</v>
      </c>
      <c r="C1327" t="s">
        <v>55</v>
      </c>
    </row>
    <row r="1328" spans="1:3" x14ac:dyDescent="0.25">
      <c r="A1328">
        <v>4208</v>
      </c>
      <c r="B1328" t="s">
        <v>3274</v>
      </c>
      <c r="C1328" t="s">
        <v>55</v>
      </c>
    </row>
    <row r="1329" spans="1:3" x14ac:dyDescent="0.25">
      <c r="A1329">
        <v>4209</v>
      </c>
      <c r="B1329" t="s">
        <v>3275</v>
      </c>
      <c r="C1329" t="s">
        <v>55</v>
      </c>
    </row>
    <row r="1330" spans="1:3" x14ac:dyDescent="0.25">
      <c r="A1330">
        <v>4210</v>
      </c>
      <c r="B1330" t="s">
        <v>3276</v>
      </c>
      <c r="C1330" t="s">
        <v>55</v>
      </c>
    </row>
    <row r="1331" spans="1:3" x14ac:dyDescent="0.25">
      <c r="A1331">
        <v>4221</v>
      </c>
      <c r="B1331" t="s">
        <v>3277</v>
      </c>
      <c r="C1331" t="s">
        <v>55</v>
      </c>
    </row>
    <row r="1332" spans="1:3" x14ac:dyDescent="0.25">
      <c r="A1332">
        <v>4222</v>
      </c>
      <c r="B1332" t="s">
        <v>3278</v>
      </c>
      <c r="C1332" t="s">
        <v>55</v>
      </c>
    </row>
    <row r="1333" spans="1:3" x14ac:dyDescent="0.25">
      <c r="A1333">
        <v>4223</v>
      </c>
      <c r="B1333" t="s">
        <v>3279</v>
      </c>
      <c r="C1333" t="s">
        <v>55</v>
      </c>
    </row>
    <row r="1334" spans="1:3" x14ac:dyDescent="0.25">
      <c r="A1334">
        <v>4224</v>
      </c>
      <c r="B1334" t="s">
        <v>3280</v>
      </c>
      <c r="C1334" t="s">
        <v>55</v>
      </c>
    </row>
    <row r="1335" spans="1:3" x14ac:dyDescent="0.25">
      <c r="A1335">
        <v>4226</v>
      </c>
      <c r="B1335" t="s">
        <v>3281</v>
      </c>
      <c r="C1335" t="s">
        <v>55</v>
      </c>
    </row>
    <row r="1336" spans="1:3" x14ac:dyDescent="0.25">
      <c r="A1336">
        <v>4227</v>
      </c>
      <c r="B1336" t="s">
        <v>3282</v>
      </c>
      <c r="C1336" t="s">
        <v>55</v>
      </c>
    </row>
    <row r="1337" spans="1:3" x14ac:dyDescent="0.25">
      <c r="A1337">
        <v>4228</v>
      </c>
      <c r="B1337" t="s">
        <v>3283</v>
      </c>
      <c r="C1337" t="s">
        <v>55</v>
      </c>
    </row>
    <row r="1338" spans="1:3" x14ac:dyDescent="0.25">
      <c r="A1338">
        <v>4229</v>
      </c>
      <c r="B1338" t="s">
        <v>3284</v>
      </c>
      <c r="C1338" t="s">
        <v>55</v>
      </c>
    </row>
    <row r="1339" spans="1:3" x14ac:dyDescent="0.25">
      <c r="A1339">
        <v>4230</v>
      </c>
      <c r="B1339" t="s">
        <v>3285</v>
      </c>
      <c r="C1339" t="s">
        <v>55</v>
      </c>
    </row>
    <row r="1340" spans="1:3" x14ac:dyDescent="0.25">
      <c r="A1340">
        <v>4231</v>
      </c>
      <c r="B1340" t="s">
        <v>3286</v>
      </c>
      <c r="C1340" t="s">
        <v>55</v>
      </c>
    </row>
    <row r="1341" spans="1:3" x14ac:dyDescent="0.25">
      <c r="A1341">
        <v>4232</v>
      </c>
      <c r="B1341" t="s">
        <v>3287</v>
      </c>
      <c r="C1341" t="s">
        <v>55</v>
      </c>
    </row>
    <row r="1342" spans="1:3" x14ac:dyDescent="0.25">
      <c r="A1342">
        <v>4233</v>
      </c>
      <c r="B1342" t="s">
        <v>3288</v>
      </c>
      <c r="C1342" t="s">
        <v>55</v>
      </c>
    </row>
    <row r="1343" spans="1:3" x14ac:dyDescent="0.25">
      <c r="A1343">
        <v>4234</v>
      </c>
      <c r="B1343" t="s">
        <v>3289</v>
      </c>
      <c r="C1343" t="s">
        <v>55</v>
      </c>
    </row>
    <row r="1344" spans="1:3" x14ac:dyDescent="0.25">
      <c r="A1344">
        <v>4235</v>
      </c>
      <c r="B1344" t="s">
        <v>3290</v>
      </c>
      <c r="C1344" t="s">
        <v>55</v>
      </c>
    </row>
    <row r="1345" spans="1:3" x14ac:dyDescent="0.25">
      <c r="A1345">
        <v>4236</v>
      </c>
      <c r="B1345" t="s">
        <v>3291</v>
      </c>
      <c r="C1345" t="s">
        <v>55</v>
      </c>
    </row>
    <row r="1346" spans="1:3" x14ac:dyDescent="0.25">
      <c r="A1346">
        <v>4237</v>
      </c>
      <c r="B1346" t="s">
        <v>3292</v>
      </c>
      <c r="C1346" t="s">
        <v>55</v>
      </c>
    </row>
    <row r="1347" spans="1:3" x14ac:dyDescent="0.25">
      <c r="A1347">
        <v>4238</v>
      </c>
      <c r="B1347" t="s">
        <v>3293</v>
      </c>
      <c r="C1347" t="s">
        <v>55</v>
      </c>
    </row>
    <row r="1348" spans="1:3" x14ac:dyDescent="0.25">
      <c r="A1348">
        <v>4239</v>
      </c>
      <c r="B1348" t="s">
        <v>3294</v>
      </c>
      <c r="C1348" t="s">
        <v>55</v>
      </c>
    </row>
    <row r="1349" spans="1:3" x14ac:dyDescent="0.25">
      <c r="A1349">
        <v>4240</v>
      </c>
      <c r="B1349" t="s">
        <v>3295</v>
      </c>
      <c r="C1349" t="s">
        <v>55</v>
      </c>
    </row>
    <row r="1350" spans="1:3" x14ac:dyDescent="0.25">
      <c r="A1350">
        <v>4251</v>
      </c>
      <c r="B1350" t="s">
        <v>3296</v>
      </c>
      <c r="C1350" t="s">
        <v>55</v>
      </c>
    </row>
    <row r="1351" spans="1:3" x14ac:dyDescent="0.25">
      <c r="A1351">
        <v>4252</v>
      </c>
      <c r="B1351" t="s">
        <v>3297</v>
      </c>
      <c r="C1351" t="s">
        <v>55</v>
      </c>
    </row>
    <row r="1352" spans="1:3" x14ac:dyDescent="0.25">
      <c r="A1352">
        <v>4253</v>
      </c>
      <c r="B1352" t="s">
        <v>3298</v>
      </c>
      <c r="C1352" t="s">
        <v>55</v>
      </c>
    </row>
    <row r="1353" spans="1:3" x14ac:dyDescent="0.25">
      <c r="A1353">
        <v>4254</v>
      </c>
      <c r="B1353" t="s">
        <v>3299</v>
      </c>
      <c r="C1353" t="s">
        <v>55</v>
      </c>
    </row>
    <row r="1354" spans="1:3" x14ac:dyDescent="0.25">
      <c r="A1354">
        <v>4255</v>
      </c>
      <c r="B1354" t="s">
        <v>3300</v>
      </c>
      <c r="C1354" t="s">
        <v>55</v>
      </c>
    </row>
    <row r="1355" spans="1:3" x14ac:dyDescent="0.25">
      <c r="A1355">
        <v>4256</v>
      </c>
      <c r="B1355" t="s">
        <v>3301</v>
      </c>
      <c r="C1355" t="s">
        <v>55</v>
      </c>
    </row>
    <row r="1356" spans="1:3" x14ac:dyDescent="0.25">
      <c r="A1356">
        <v>4257</v>
      </c>
      <c r="B1356" t="s">
        <v>3302</v>
      </c>
      <c r="C1356" t="s">
        <v>55</v>
      </c>
    </row>
    <row r="1357" spans="1:3" x14ac:dyDescent="0.25">
      <c r="A1357">
        <v>4258</v>
      </c>
      <c r="B1357" t="s">
        <v>3303</v>
      </c>
      <c r="C1357" t="s">
        <v>55</v>
      </c>
    </row>
    <row r="1358" spans="1:3" x14ac:dyDescent="0.25">
      <c r="A1358">
        <v>4259</v>
      </c>
      <c r="B1358" t="s">
        <v>3304</v>
      </c>
      <c r="C1358" t="s">
        <v>55</v>
      </c>
    </row>
    <row r="1359" spans="1:3" x14ac:dyDescent="0.25">
      <c r="A1359">
        <v>4260</v>
      </c>
      <c r="B1359" t="s">
        <v>3305</v>
      </c>
      <c r="C1359" t="s">
        <v>55</v>
      </c>
    </row>
    <row r="1360" spans="1:3" x14ac:dyDescent="0.25">
      <c r="A1360">
        <v>4261</v>
      </c>
      <c r="B1360" t="s">
        <v>3306</v>
      </c>
      <c r="C1360" t="s">
        <v>55</v>
      </c>
    </row>
    <row r="1361" spans="1:3" x14ac:dyDescent="0.25">
      <c r="A1361">
        <v>4262</v>
      </c>
      <c r="B1361" t="s">
        <v>3307</v>
      </c>
      <c r="C1361" t="s">
        <v>55</v>
      </c>
    </row>
    <row r="1362" spans="1:3" x14ac:dyDescent="0.25">
      <c r="A1362">
        <v>4263</v>
      </c>
      <c r="B1362" t="s">
        <v>3308</v>
      </c>
      <c r="C1362" t="s">
        <v>55</v>
      </c>
    </row>
    <row r="1363" spans="1:3" x14ac:dyDescent="0.25">
      <c r="A1363">
        <v>4264</v>
      </c>
      <c r="B1363" t="s">
        <v>3309</v>
      </c>
      <c r="C1363" t="s">
        <v>55</v>
      </c>
    </row>
    <row r="1364" spans="1:3" x14ac:dyDescent="0.25">
      <c r="A1364">
        <v>4271</v>
      </c>
      <c r="B1364" t="s">
        <v>3310</v>
      </c>
      <c r="C1364" t="s">
        <v>55</v>
      </c>
    </row>
    <row r="1365" spans="1:3" x14ac:dyDescent="0.25">
      <c r="A1365">
        <v>4273</v>
      </c>
      <c r="B1365" t="s">
        <v>3311</v>
      </c>
      <c r="C1365" t="s">
        <v>55</v>
      </c>
    </row>
    <row r="1366" spans="1:3" x14ac:dyDescent="0.25">
      <c r="A1366">
        <v>4274</v>
      </c>
      <c r="B1366" t="s">
        <v>3312</v>
      </c>
      <c r="C1366" t="s">
        <v>55</v>
      </c>
    </row>
    <row r="1367" spans="1:3" x14ac:dyDescent="0.25">
      <c r="A1367">
        <v>4275</v>
      </c>
      <c r="B1367" t="s">
        <v>3313</v>
      </c>
      <c r="C1367" t="s">
        <v>55</v>
      </c>
    </row>
    <row r="1368" spans="1:3" x14ac:dyDescent="0.25">
      <c r="A1368">
        <v>4276</v>
      </c>
      <c r="B1368" t="s">
        <v>3314</v>
      </c>
      <c r="C1368" t="s">
        <v>55</v>
      </c>
    </row>
    <row r="1369" spans="1:3" x14ac:dyDescent="0.25">
      <c r="A1369">
        <v>4277</v>
      </c>
      <c r="B1369" t="s">
        <v>3315</v>
      </c>
      <c r="C1369" t="s">
        <v>55</v>
      </c>
    </row>
    <row r="1370" spans="1:3" x14ac:dyDescent="0.25">
      <c r="A1370">
        <v>4279</v>
      </c>
      <c r="B1370" t="s">
        <v>3316</v>
      </c>
      <c r="C1370" t="s">
        <v>55</v>
      </c>
    </row>
    <row r="1371" spans="1:3" x14ac:dyDescent="0.25">
      <c r="A1371">
        <v>4280</v>
      </c>
      <c r="B1371" t="s">
        <v>3317</v>
      </c>
      <c r="C1371" t="s">
        <v>55</v>
      </c>
    </row>
    <row r="1372" spans="1:3" x14ac:dyDescent="0.25">
      <c r="A1372">
        <v>4281</v>
      </c>
      <c r="B1372" t="s">
        <v>3318</v>
      </c>
      <c r="C1372" t="s">
        <v>55</v>
      </c>
    </row>
    <row r="1373" spans="1:3" x14ac:dyDescent="0.25">
      <c r="A1373">
        <v>4282</v>
      </c>
      <c r="B1373" t="s">
        <v>3319</v>
      </c>
      <c r="C1373" t="s">
        <v>55</v>
      </c>
    </row>
    <row r="1374" spans="1:3" x14ac:dyDescent="0.25">
      <c r="A1374">
        <v>4283</v>
      </c>
      <c r="B1374" t="s">
        <v>3320</v>
      </c>
      <c r="C1374" t="s">
        <v>55</v>
      </c>
    </row>
    <row r="1375" spans="1:3" x14ac:dyDescent="0.25">
      <c r="A1375">
        <v>4284</v>
      </c>
      <c r="B1375" t="s">
        <v>3321</v>
      </c>
      <c r="C1375" t="s">
        <v>55</v>
      </c>
    </row>
    <row r="1376" spans="1:3" x14ac:dyDescent="0.25">
      <c r="A1376">
        <v>4285</v>
      </c>
      <c r="B1376" t="s">
        <v>3322</v>
      </c>
      <c r="C1376" t="s">
        <v>55</v>
      </c>
    </row>
    <row r="1377" spans="1:3" x14ac:dyDescent="0.25">
      <c r="A1377">
        <v>4286</v>
      </c>
      <c r="B1377" t="s">
        <v>3323</v>
      </c>
      <c r="C1377" t="s">
        <v>55</v>
      </c>
    </row>
    <row r="1378" spans="1:3" x14ac:dyDescent="0.25">
      <c r="A1378">
        <v>4287</v>
      </c>
      <c r="B1378" t="s">
        <v>3324</v>
      </c>
      <c r="C1378" t="s">
        <v>55</v>
      </c>
    </row>
    <row r="1379" spans="1:3" x14ac:dyDescent="0.25">
      <c r="A1379">
        <v>4288</v>
      </c>
      <c r="B1379" t="s">
        <v>3325</v>
      </c>
      <c r="C1379" t="s">
        <v>55</v>
      </c>
    </row>
    <row r="1380" spans="1:3" x14ac:dyDescent="0.25">
      <c r="A1380">
        <v>4289</v>
      </c>
      <c r="B1380" t="s">
        <v>3326</v>
      </c>
      <c r="C1380" t="s">
        <v>55</v>
      </c>
    </row>
    <row r="1381" spans="1:3" x14ac:dyDescent="0.25">
      <c r="A1381">
        <v>4303</v>
      </c>
      <c r="B1381" t="s">
        <v>3327</v>
      </c>
      <c r="C1381" t="s">
        <v>55</v>
      </c>
    </row>
    <row r="1382" spans="1:3" x14ac:dyDescent="0.25">
      <c r="A1382">
        <v>4304</v>
      </c>
      <c r="B1382" t="s">
        <v>3328</v>
      </c>
      <c r="C1382" t="s">
        <v>55</v>
      </c>
    </row>
    <row r="1383" spans="1:3" x14ac:dyDescent="0.25">
      <c r="A1383">
        <v>4305</v>
      </c>
      <c r="B1383" t="s">
        <v>3329</v>
      </c>
      <c r="C1383" t="s">
        <v>55</v>
      </c>
    </row>
    <row r="1384" spans="1:3" x14ac:dyDescent="0.25">
      <c r="A1384">
        <v>4306</v>
      </c>
      <c r="B1384" t="s">
        <v>3330</v>
      </c>
      <c r="C1384" t="s">
        <v>55</v>
      </c>
    </row>
    <row r="1385" spans="1:3" x14ac:dyDescent="0.25">
      <c r="A1385">
        <v>4307</v>
      </c>
      <c r="B1385" t="s">
        <v>3331</v>
      </c>
      <c r="C1385" t="s">
        <v>55</v>
      </c>
    </row>
    <row r="1386" spans="1:3" x14ac:dyDescent="0.25">
      <c r="A1386">
        <v>4309</v>
      </c>
      <c r="B1386" t="s">
        <v>3332</v>
      </c>
      <c r="C1386" t="s">
        <v>55</v>
      </c>
    </row>
    <row r="1387" spans="1:3" x14ac:dyDescent="0.25">
      <c r="A1387">
        <v>4310</v>
      </c>
      <c r="B1387" t="s">
        <v>3333</v>
      </c>
      <c r="C1387" t="s">
        <v>55</v>
      </c>
    </row>
    <row r="1388" spans="1:3" x14ac:dyDescent="0.25">
      <c r="A1388">
        <v>4311</v>
      </c>
      <c r="B1388" t="s">
        <v>3334</v>
      </c>
      <c r="C1388" t="s">
        <v>55</v>
      </c>
    </row>
    <row r="1389" spans="1:3" x14ac:dyDescent="0.25">
      <c r="A1389">
        <v>4312</v>
      </c>
      <c r="B1389" t="s">
        <v>3335</v>
      </c>
      <c r="C1389" t="s">
        <v>55</v>
      </c>
    </row>
    <row r="1390" spans="1:3" x14ac:dyDescent="0.25">
      <c r="A1390">
        <v>4313</v>
      </c>
      <c r="B1390" t="s">
        <v>3336</v>
      </c>
      <c r="C1390" t="s">
        <v>55</v>
      </c>
    </row>
    <row r="1391" spans="1:3" x14ac:dyDescent="0.25">
      <c r="A1391">
        <v>4314</v>
      </c>
      <c r="B1391" t="s">
        <v>3337</v>
      </c>
      <c r="C1391" t="s">
        <v>55</v>
      </c>
    </row>
    <row r="1392" spans="1:3" x14ac:dyDescent="0.25">
      <c r="A1392">
        <v>4318</v>
      </c>
      <c r="B1392" t="s">
        <v>3338</v>
      </c>
      <c r="C1392" t="s">
        <v>55</v>
      </c>
    </row>
    <row r="1393" spans="1:3" x14ac:dyDescent="0.25">
      <c r="A1393">
        <v>4319</v>
      </c>
      <c r="B1393" t="s">
        <v>3339</v>
      </c>
      <c r="C1393" t="s">
        <v>55</v>
      </c>
    </row>
    <row r="1394" spans="1:3" x14ac:dyDescent="0.25">
      <c r="A1394">
        <v>4320</v>
      </c>
      <c r="B1394" t="s">
        <v>3340</v>
      </c>
      <c r="C1394" t="s">
        <v>55</v>
      </c>
    </row>
    <row r="1395" spans="1:3" x14ac:dyDescent="0.25">
      <c r="A1395">
        <v>4324</v>
      </c>
      <c r="B1395" t="s">
        <v>3341</v>
      </c>
      <c r="C1395" t="s">
        <v>55</v>
      </c>
    </row>
    <row r="1396" spans="1:3" x14ac:dyDescent="0.25">
      <c r="A1396">
        <v>4401</v>
      </c>
      <c r="B1396" t="s">
        <v>3342</v>
      </c>
      <c r="C1396" t="s">
        <v>58</v>
      </c>
    </row>
    <row r="1397" spans="1:3" x14ac:dyDescent="0.25">
      <c r="A1397">
        <v>4406</v>
      </c>
      <c r="B1397" t="s">
        <v>3343</v>
      </c>
      <c r="C1397" t="s">
        <v>58</v>
      </c>
    </row>
    <row r="1398" spans="1:3" x14ac:dyDescent="0.25">
      <c r="A1398">
        <v>4411</v>
      </c>
      <c r="B1398" t="s">
        <v>3344</v>
      </c>
      <c r="C1398" t="s">
        <v>58</v>
      </c>
    </row>
    <row r="1399" spans="1:3" x14ac:dyDescent="0.25">
      <c r="A1399">
        <v>4416</v>
      </c>
      <c r="B1399" t="s">
        <v>3345</v>
      </c>
      <c r="C1399" t="s">
        <v>58</v>
      </c>
    </row>
    <row r="1400" spans="1:3" x14ac:dyDescent="0.25">
      <c r="A1400">
        <v>4421</v>
      </c>
      <c r="B1400" t="s">
        <v>3346</v>
      </c>
      <c r="C1400" t="s">
        <v>58</v>
      </c>
    </row>
    <row r="1401" spans="1:3" x14ac:dyDescent="0.25">
      <c r="A1401">
        <v>4426</v>
      </c>
      <c r="B1401" t="s">
        <v>3347</v>
      </c>
      <c r="C1401" t="s">
        <v>58</v>
      </c>
    </row>
    <row r="1402" spans="1:3" x14ac:dyDescent="0.25">
      <c r="A1402">
        <v>4431</v>
      </c>
      <c r="B1402" t="s">
        <v>3348</v>
      </c>
      <c r="C1402" t="s">
        <v>58</v>
      </c>
    </row>
    <row r="1403" spans="1:3" x14ac:dyDescent="0.25">
      <c r="A1403">
        <v>4436</v>
      </c>
      <c r="B1403" t="s">
        <v>3349</v>
      </c>
      <c r="C1403" t="s">
        <v>58</v>
      </c>
    </row>
    <row r="1404" spans="1:3" x14ac:dyDescent="0.25">
      <c r="A1404">
        <v>4441</v>
      </c>
      <c r="B1404" t="s">
        <v>3350</v>
      </c>
      <c r="C1404" t="s">
        <v>58</v>
      </c>
    </row>
    <row r="1405" spans="1:3" x14ac:dyDescent="0.25">
      <c r="A1405">
        <v>4446</v>
      </c>
      <c r="B1405" t="s">
        <v>3351</v>
      </c>
      <c r="C1405" t="s">
        <v>58</v>
      </c>
    </row>
    <row r="1406" spans="1:3" x14ac:dyDescent="0.25">
      <c r="A1406">
        <v>4451</v>
      </c>
      <c r="B1406" t="s">
        <v>3352</v>
      </c>
      <c r="C1406" t="s">
        <v>58</v>
      </c>
    </row>
    <row r="1407" spans="1:3" x14ac:dyDescent="0.25">
      <c r="A1407">
        <v>4461</v>
      </c>
      <c r="B1407" t="s">
        <v>3353</v>
      </c>
      <c r="C1407" t="s">
        <v>58</v>
      </c>
    </row>
    <row r="1408" spans="1:3" x14ac:dyDescent="0.25">
      <c r="A1408">
        <v>4471</v>
      </c>
      <c r="B1408" t="s">
        <v>3354</v>
      </c>
      <c r="C1408" t="s">
        <v>58</v>
      </c>
    </row>
    <row r="1409" spans="1:3" x14ac:dyDescent="0.25">
      <c r="A1409">
        <v>4476</v>
      </c>
      <c r="B1409" t="s">
        <v>3355</v>
      </c>
      <c r="C1409" t="s">
        <v>58</v>
      </c>
    </row>
    <row r="1410" spans="1:3" x14ac:dyDescent="0.25">
      <c r="A1410">
        <v>4486</v>
      </c>
      <c r="B1410" t="s">
        <v>3356</v>
      </c>
      <c r="C1410" t="s">
        <v>58</v>
      </c>
    </row>
    <row r="1411" spans="1:3" x14ac:dyDescent="0.25">
      <c r="A1411">
        <v>4495</v>
      </c>
      <c r="B1411" t="s">
        <v>3357</v>
      </c>
      <c r="C1411" t="s">
        <v>58</v>
      </c>
    </row>
    <row r="1412" spans="1:3" x14ac:dyDescent="0.25">
      <c r="A1412">
        <v>4501</v>
      </c>
      <c r="B1412" t="s">
        <v>3358</v>
      </c>
      <c r="C1412" t="s">
        <v>58</v>
      </c>
    </row>
    <row r="1413" spans="1:3" x14ac:dyDescent="0.25">
      <c r="A1413">
        <v>4506</v>
      </c>
      <c r="B1413" t="s">
        <v>3359</v>
      </c>
      <c r="C1413" t="s">
        <v>58</v>
      </c>
    </row>
    <row r="1414" spans="1:3" x14ac:dyDescent="0.25">
      <c r="A1414">
        <v>4511</v>
      </c>
      <c r="B1414" t="s">
        <v>3360</v>
      </c>
      <c r="C1414" t="s">
        <v>58</v>
      </c>
    </row>
    <row r="1415" spans="1:3" x14ac:dyDescent="0.25">
      <c r="A1415">
        <v>4536</v>
      </c>
      <c r="B1415" t="s">
        <v>3361</v>
      </c>
      <c r="C1415" t="s">
        <v>58</v>
      </c>
    </row>
    <row r="1416" spans="1:3" x14ac:dyDescent="0.25">
      <c r="A1416">
        <v>4545</v>
      </c>
      <c r="B1416" t="s">
        <v>3362</v>
      </c>
      <c r="C1416" t="s">
        <v>58</v>
      </c>
    </row>
    <row r="1417" spans="1:3" x14ac:dyDescent="0.25">
      <c r="A1417">
        <v>4546</v>
      </c>
      <c r="B1417" t="s">
        <v>3363</v>
      </c>
      <c r="C1417" t="s">
        <v>58</v>
      </c>
    </row>
    <row r="1418" spans="1:3" x14ac:dyDescent="0.25">
      <c r="A1418">
        <v>4551</v>
      </c>
      <c r="B1418" t="s">
        <v>3364</v>
      </c>
      <c r="C1418" t="s">
        <v>58</v>
      </c>
    </row>
    <row r="1419" spans="1:3" x14ac:dyDescent="0.25">
      <c r="A1419">
        <v>4561</v>
      </c>
      <c r="B1419" t="s">
        <v>3365</v>
      </c>
      <c r="C1419" t="s">
        <v>58</v>
      </c>
    </row>
    <row r="1420" spans="1:3" x14ac:dyDescent="0.25">
      <c r="A1420">
        <v>4566</v>
      </c>
      <c r="B1420" t="s">
        <v>3366</v>
      </c>
      <c r="C1420" t="s">
        <v>58</v>
      </c>
    </row>
    <row r="1421" spans="1:3" x14ac:dyDescent="0.25">
      <c r="A1421">
        <v>4571</v>
      </c>
      <c r="B1421" t="s">
        <v>3367</v>
      </c>
      <c r="C1421" t="s">
        <v>58</v>
      </c>
    </row>
    <row r="1422" spans="1:3" x14ac:dyDescent="0.25">
      <c r="A1422">
        <v>4590</v>
      </c>
      <c r="B1422" t="s">
        <v>3368</v>
      </c>
      <c r="C1422" t="s">
        <v>58</v>
      </c>
    </row>
    <row r="1423" spans="1:3" x14ac:dyDescent="0.25">
      <c r="A1423">
        <v>4591</v>
      </c>
      <c r="B1423" t="s">
        <v>3369</v>
      </c>
      <c r="C1423" t="s">
        <v>58</v>
      </c>
    </row>
    <row r="1424" spans="1:3" x14ac:dyDescent="0.25">
      <c r="A1424">
        <v>4601</v>
      </c>
      <c r="B1424" t="s">
        <v>3370</v>
      </c>
      <c r="C1424" t="s">
        <v>58</v>
      </c>
    </row>
    <row r="1425" spans="1:3" x14ac:dyDescent="0.25">
      <c r="A1425">
        <v>4606</v>
      </c>
      <c r="B1425" t="s">
        <v>3371</v>
      </c>
      <c r="C1425" t="s">
        <v>58</v>
      </c>
    </row>
    <row r="1426" spans="1:3" x14ac:dyDescent="0.25">
      <c r="A1426">
        <v>4611</v>
      </c>
      <c r="B1426" t="s">
        <v>3372</v>
      </c>
      <c r="C1426" t="s">
        <v>58</v>
      </c>
    </row>
    <row r="1427" spans="1:3" x14ac:dyDescent="0.25">
      <c r="A1427">
        <v>4616</v>
      </c>
      <c r="B1427" t="s">
        <v>3373</v>
      </c>
      <c r="C1427" t="s">
        <v>58</v>
      </c>
    </row>
    <row r="1428" spans="1:3" x14ac:dyDescent="0.25">
      <c r="A1428">
        <v>4621</v>
      </c>
      <c r="B1428" t="s">
        <v>3374</v>
      </c>
      <c r="C1428" t="s">
        <v>58</v>
      </c>
    </row>
    <row r="1429" spans="1:3" x14ac:dyDescent="0.25">
      <c r="A1429">
        <v>4641</v>
      </c>
      <c r="B1429" t="s">
        <v>3375</v>
      </c>
      <c r="C1429" t="s">
        <v>58</v>
      </c>
    </row>
    <row r="1430" spans="1:3" x14ac:dyDescent="0.25">
      <c r="A1430">
        <v>4643</v>
      </c>
      <c r="B1430" t="s">
        <v>3376</v>
      </c>
      <c r="C1430" t="s">
        <v>58</v>
      </c>
    </row>
    <row r="1431" spans="1:3" x14ac:dyDescent="0.25">
      <c r="A1431">
        <v>4646</v>
      </c>
      <c r="B1431" t="s">
        <v>3377</v>
      </c>
      <c r="C1431" t="s">
        <v>58</v>
      </c>
    </row>
    <row r="1432" spans="1:3" x14ac:dyDescent="0.25">
      <c r="A1432">
        <v>4651</v>
      </c>
      <c r="B1432" t="s">
        <v>3378</v>
      </c>
      <c r="C1432" t="s">
        <v>58</v>
      </c>
    </row>
    <row r="1433" spans="1:3" x14ac:dyDescent="0.25">
      <c r="A1433">
        <v>4656</v>
      </c>
      <c r="B1433" t="s">
        <v>3379</v>
      </c>
      <c r="C1433" t="s">
        <v>58</v>
      </c>
    </row>
    <row r="1434" spans="1:3" x14ac:dyDescent="0.25">
      <c r="A1434">
        <v>4666</v>
      </c>
      <c r="B1434" t="s">
        <v>3380</v>
      </c>
      <c r="C1434" t="s">
        <v>58</v>
      </c>
    </row>
    <row r="1435" spans="1:3" x14ac:dyDescent="0.25">
      <c r="A1435">
        <v>4671</v>
      </c>
      <c r="B1435" t="s">
        <v>3381</v>
      </c>
      <c r="C1435" t="s">
        <v>58</v>
      </c>
    </row>
    <row r="1436" spans="1:3" x14ac:dyDescent="0.25">
      <c r="A1436">
        <v>4681</v>
      </c>
      <c r="B1436" t="s">
        <v>3382</v>
      </c>
      <c r="C1436" t="s">
        <v>58</v>
      </c>
    </row>
    <row r="1437" spans="1:3" x14ac:dyDescent="0.25">
      <c r="A1437">
        <v>4683</v>
      </c>
      <c r="B1437" t="s">
        <v>3383</v>
      </c>
      <c r="C1437" t="s">
        <v>58</v>
      </c>
    </row>
    <row r="1438" spans="1:3" x14ac:dyDescent="0.25">
      <c r="A1438">
        <v>4691</v>
      </c>
      <c r="B1438" t="s">
        <v>3384</v>
      </c>
      <c r="C1438" t="s">
        <v>58</v>
      </c>
    </row>
    <row r="1439" spans="1:3" x14ac:dyDescent="0.25">
      <c r="A1439">
        <v>4696</v>
      </c>
      <c r="B1439" t="s">
        <v>3385</v>
      </c>
      <c r="C1439" t="s">
        <v>58</v>
      </c>
    </row>
    <row r="1440" spans="1:3" x14ac:dyDescent="0.25">
      <c r="A1440">
        <v>4701</v>
      </c>
      <c r="B1440" t="s">
        <v>3386</v>
      </c>
      <c r="C1440" t="s">
        <v>58</v>
      </c>
    </row>
    <row r="1441" spans="1:3" x14ac:dyDescent="0.25">
      <c r="A1441">
        <v>4711</v>
      </c>
      <c r="B1441" t="s">
        <v>3387</v>
      </c>
      <c r="C1441" t="s">
        <v>58</v>
      </c>
    </row>
    <row r="1442" spans="1:3" x14ac:dyDescent="0.25">
      <c r="A1442">
        <v>4716</v>
      </c>
      <c r="B1442" t="s">
        <v>3388</v>
      </c>
      <c r="C1442" t="s">
        <v>58</v>
      </c>
    </row>
    <row r="1443" spans="1:3" x14ac:dyDescent="0.25">
      <c r="A1443">
        <v>4721</v>
      </c>
      <c r="B1443" t="s">
        <v>3389</v>
      </c>
      <c r="C1443" t="s">
        <v>58</v>
      </c>
    </row>
    <row r="1444" spans="1:3" x14ac:dyDescent="0.25">
      <c r="A1444">
        <v>4723</v>
      </c>
      <c r="B1444" t="s">
        <v>3390</v>
      </c>
      <c r="C1444" t="s">
        <v>58</v>
      </c>
    </row>
    <row r="1445" spans="1:3" x14ac:dyDescent="0.25">
      <c r="A1445">
        <v>4724</v>
      </c>
      <c r="B1445" t="s">
        <v>3391</v>
      </c>
      <c r="C1445" t="s">
        <v>58</v>
      </c>
    </row>
    <row r="1446" spans="1:3" x14ac:dyDescent="0.25">
      <c r="A1446">
        <v>4726</v>
      </c>
      <c r="B1446" t="s">
        <v>3392</v>
      </c>
      <c r="C1446" t="s">
        <v>58</v>
      </c>
    </row>
    <row r="1447" spans="1:3" x14ac:dyDescent="0.25">
      <c r="A1447">
        <v>4741</v>
      </c>
      <c r="B1447" t="s">
        <v>3393</v>
      </c>
      <c r="C1447" t="s">
        <v>58</v>
      </c>
    </row>
    <row r="1448" spans="1:3" x14ac:dyDescent="0.25">
      <c r="A1448">
        <v>4746</v>
      </c>
      <c r="B1448" t="s">
        <v>3394</v>
      </c>
      <c r="C1448" t="s">
        <v>58</v>
      </c>
    </row>
    <row r="1449" spans="1:3" x14ac:dyDescent="0.25">
      <c r="A1449">
        <v>4751</v>
      </c>
      <c r="B1449" t="s">
        <v>3395</v>
      </c>
      <c r="C1449" t="s">
        <v>58</v>
      </c>
    </row>
    <row r="1450" spans="1:3" x14ac:dyDescent="0.25">
      <c r="A1450">
        <v>4756</v>
      </c>
      <c r="B1450" t="s">
        <v>3396</v>
      </c>
      <c r="C1450" t="s">
        <v>58</v>
      </c>
    </row>
    <row r="1451" spans="1:3" x14ac:dyDescent="0.25">
      <c r="A1451">
        <v>4761</v>
      </c>
      <c r="B1451" t="s">
        <v>3397</v>
      </c>
      <c r="C1451" t="s">
        <v>58</v>
      </c>
    </row>
    <row r="1452" spans="1:3" x14ac:dyDescent="0.25">
      <c r="A1452">
        <v>4776</v>
      </c>
      <c r="B1452" t="s">
        <v>3398</v>
      </c>
      <c r="C1452" t="s">
        <v>58</v>
      </c>
    </row>
    <row r="1453" spans="1:3" x14ac:dyDescent="0.25">
      <c r="A1453">
        <v>4781</v>
      </c>
      <c r="B1453" t="s">
        <v>3399</v>
      </c>
      <c r="C1453" t="s">
        <v>58</v>
      </c>
    </row>
    <row r="1454" spans="1:3" x14ac:dyDescent="0.25">
      <c r="A1454">
        <v>4786</v>
      </c>
      <c r="B1454" t="s">
        <v>3400</v>
      </c>
      <c r="C1454" t="s">
        <v>58</v>
      </c>
    </row>
    <row r="1455" spans="1:3" x14ac:dyDescent="0.25">
      <c r="A1455">
        <v>4791</v>
      </c>
      <c r="B1455" t="s">
        <v>3401</v>
      </c>
      <c r="C1455" t="s">
        <v>58</v>
      </c>
    </row>
    <row r="1456" spans="1:3" x14ac:dyDescent="0.25">
      <c r="A1456">
        <v>4801</v>
      </c>
      <c r="B1456" t="s">
        <v>3402</v>
      </c>
      <c r="C1456" t="s">
        <v>58</v>
      </c>
    </row>
    <row r="1457" spans="1:3" x14ac:dyDescent="0.25">
      <c r="A1457">
        <v>4806</v>
      </c>
      <c r="B1457" t="s">
        <v>3403</v>
      </c>
      <c r="C1457" t="s">
        <v>58</v>
      </c>
    </row>
    <row r="1458" spans="1:3" x14ac:dyDescent="0.25">
      <c r="A1458">
        <v>4811</v>
      </c>
      <c r="B1458" t="s">
        <v>3404</v>
      </c>
      <c r="C1458" t="s">
        <v>58</v>
      </c>
    </row>
    <row r="1459" spans="1:3" x14ac:dyDescent="0.25">
      <c r="A1459">
        <v>4816</v>
      </c>
      <c r="B1459" t="s">
        <v>3405</v>
      </c>
      <c r="C1459" t="s">
        <v>58</v>
      </c>
    </row>
    <row r="1460" spans="1:3" x14ac:dyDescent="0.25">
      <c r="A1460">
        <v>4821</v>
      </c>
      <c r="B1460" t="s">
        <v>3406</v>
      </c>
      <c r="C1460" t="s">
        <v>58</v>
      </c>
    </row>
    <row r="1461" spans="1:3" x14ac:dyDescent="0.25">
      <c r="A1461">
        <v>4826</v>
      </c>
      <c r="B1461" t="s">
        <v>3407</v>
      </c>
      <c r="C1461" t="s">
        <v>58</v>
      </c>
    </row>
    <row r="1462" spans="1:3" x14ac:dyDescent="0.25">
      <c r="A1462">
        <v>4831</v>
      </c>
      <c r="B1462" t="s">
        <v>3408</v>
      </c>
      <c r="C1462" t="s">
        <v>58</v>
      </c>
    </row>
    <row r="1463" spans="1:3" x14ac:dyDescent="0.25">
      <c r="A1463">
        <v>4841</v>
      </c>
      <c r="B1463" t="s">
        <v>3409</v>
      </c>
      <c r="C1463" t="s">
        <v>58</v>
      </c>
    </row>
    <row r="1464" spans="1:3" x14ac:dyDescent="0.25">
      <c r="A1464">
        <v>4846</v>
      </c>
      <c r="B1464" t="s">
        <v>3410</v>
      </c>
      <c r="C1464" t="s">
        <v>58</v>
      </c>
    </row>
    <row r="1465" spans="1:3" x14ac:dyDescent="0.25">
      <c r="A1465">
        <v>4851</v>
      </c>
      <c r="B1465" t="s">
        <v>3411</v>
      </c>
      <c r="C1465" t="s">
        <v>58</v>
      </c>
    </row>
    <row r="1466" spans="1:3" x14ac:dyDescent="0.25">
      <c r="A1466">
        <v>4864</v>
      </c>
      <c r="B1466" t="s">
        <v>3412</v>
      </c>
      <c r="C1466" t="s">
        <v>58</v>
      </c>
    </row>
    <row r="1467" spans="1:3" x14ac:dyDescent="0.25">
      <c r="A1467">
        <v>4871</v>
      </c>
      <c r="B1467" t="s">
        <v>3413</v>
      </c>
      <c r="C1467" t="s">
        <v>58</v>
      </c>
    </row>
    <row r="1468" spans="1:3" x14ac:dyDescent="0.25">
      <c r="A1468">
        <v>4881</v>
      </c>
      <c r="B1468" t="s">
        <v>3414</v>
      </c>
      <c r="C1468" t="s">
        <v>58</v>
      </c>
    </row>
    <row r="1469" spans="1:3" x14ac:dyDescent="0.25">
      <c r="A1469">
        <v>4891</v>
      </c>
      <c r="B1469" t="s">
        <v>3415</v>
      </c>
      <c r="C1469" t="s">
        <v>58</v>
      </c>
    </row>
    <row r="1470" spans="1:3" x14ac:dyDescent="0.25">
      <c r="A1470">
        <v>4901</v>
      </c>
      <c r="B1470" t="s">
        <v>3416</v>
      </c>
      <c r="C1470" t="s">
        <v>58</v>
      </c>
    </row>
    <row r="1471" spans="1:3" x14ac:dyDescent="0.25">
      <c r="A1471">
        <v>4911</v>
      </c>
      <c r="B1471" t="s">
        <v>3417</v>
      </c>
      <c r="C1471" t="s">
        <v>58</v>
      </c>
    </row>
    <row r="1472" spans="1:3" x14ac:dyDescent="0.25">
      <c r="A1472">
        <v>4921</v>
      </c>
      <c r="B1472" t="s">
        <v>3418</v>
      </c>
      <c r="C1472" t="s">
        <v>58</v>
      </c>
    </row>
    <row r="1473" spans="1:3" x14ac:dyDescent="0.25">
      <c r="A1473">
        <v>4941</v>
      </c>
      <c r="B1473" t="s">
        <v>3419</v>
      </c>
      <c r="C1473" t="s">
        <v>58</v>
      </c>
    </row>
    <row r="1474" spans="1:3" x14ac:dyDescent="0.25">
      <c r="A1474">
        <v>4946</v>
      </c>
      <c r="B1474" t="s">
        <v>3420</v>
      </c>
      <c r="C1474" t="s">
        <v>58</v>
      </c>
    </row>
    <row r="1475" spans="1:3" x14ac:dyDescent="0.25">
      <c r="A1475">
        <v>4951</v>
      </c>
      <c r="B1475" t="s">
        <v>3421</v>
      </c>
      <c r="C1475" t="s">
        <v>58</v>
      </c>
    </row>
    <row r="1476" spans="1:3" x14ac:dyDescent="0.25">
      <c r="A1476">
        <v>5001</v>
      </c>
      <c r="B1476" t="s">
        <v>3422</v>
      </c>
      <c r="C1476" t="s">
        <v>61</v>
      </c>
    </row>
    <row r="1477" spans="1:3" x14ac:dyDescent="0.25">
      <c r="A1477">
        <v>5002</v>
      </c>
      <c r="B1477" t="s">
        <v>3423</v>
      </c>
      <c r="C1477" t="s">
        <v>61</v>
      </c>
    </row>
    <row r="1478" spans="1:3" x14ac:dyDescent="0.25">
      <c r="A1478">
        <v>5003</v>
      </c>
      <c r="B1478" t="s">
        <v>3424</v>
      </c>
      <c r="C1478" t="s">
        <v>61</v>
      </c>
    </row>
    <row r="1479" spans="1:3" x14ac:dyDescent="0.25">
      <c r="A1479">
        <v>5009</v>
      </c>
      <c r="B1479" t="s">
        <v>3425</v>
      </c>
      <c r="C1479" t="s">
        <v>61</v>
      </c>
    </row>
    <row r="1480" spans="1:3" x14ac:dyDescent="0.25">
      <c r="A1480">
        <v>5010</v>
      </c>
      <c r="B1480" t="s">
        <v>3426</v>
      </c>
      <c r="C1480" t="s">
        <v>61</v>
      </c>
    </row>
    <row r="1481" spans="1:3" x14ac:dyDescent="0.25">
      <c r="A1481">
        <v>5017</v>
      </c>
      <c r="B1481" t="s">
        <v>3427</v>
      </c>
      <c r="C1481" t="s">
        <v>61</v>
      </c>
    </row>
    <row r="1482" spans="1:3" x14ac:dyDescent="0.25">
      <c r="A1482">
        <v>5048</v>
      </c>
      <c r="B1482" t="s">
        <v>3428</v>
      </c>
      <c r="C1482" t="s">
        <v>61</v>
      </c>
    </row>
    <row r="1483" spans="1:3" x14ac:dyDescent="0.25">
      <c r="A1483">
        <v>5049</v>
      </c>
      <c r="B1483" t="s">
        <v>3429</v>
      </c>
      <c r="C1483" t="s">
        <v>61</v>
      </c>
    </row>
    <row r="1484" spans="1:3" x14ac:dyDescent="0.25">
      <c r="A1484">
        <v>5050</v>
      </c>
      <c r="B1484" t="s">
        <v>3430</v>
      </c>
      <c r="C1484" t="s">
        <v>61</v>
      </c>
    </row>
    <row r="1485" spans="1:3" x14ac:dyDescent="0.25">
      <c r="A1485">
        <v>5061</v>
      </c>
      <c r="B1485" t="s">
        <v>3431</v>
      </c>
      <c r="C1485" t="s">
        <v>61</v>
      </c>
    </row>
    <row r="1486" spans="1:3" x14ac:dyDescent="0.25">
      <c r="A1486">
        <v>5063</v>
      </c>
      <c r="B1486" t="s">
        <v>3432</v>
      </c>
      <c r="C1486" t="s">
        <v>61</v>
      </c>
    </row>
    <row r="1487" spans="1:3" x14ac:dyDescent="0.25">
      <c r="A1487">
        <v>5064</v>
      </c>
      <c r="B1487" t="s">
        <v>3433</v>
      </c>
      <c r="C1487" t="s">
        <v>61</v>
      </c>
    </row>
    <row r="1488" spans="1:3" x14ac:dyDescent="0.25">
      <c r="A1488">
        <v>5071</v>
      </c>
      <c r="B1488" t="s">
        <v>3434</v>
      </c>
      <c r="C1488" t="s">
        <v>61</v>
      </c>
    </row>
    <row r="1489" spans="1:3" x14ac:dyDescent="0.25">
      <c r="A1489">
        <v>5072</v>
      </c>
      <c r="B1489" t="s">
        <v>3435</v>
      </c>
      <c r="C1489" t="s">
        <v>61</v>
      </c>
    </row>
    <row r="1490" spans="1:3" x14ac:dyDescent="0.25">
      <c r="A1490">
        <v>5073</v>
      </c>
      <c r="B1490" t="s">
        <v>3436</v>
      </c>
      <c r="C1490" t="s">
        <v>61</v>
      </c>
    </row>
    <row r="1491" spans="1:3" x14ac:dyDescent="0.25">
      <c r="A1491">
        <v>5076</v>
      </c>
      <c r="B1491" t="s">
        <v>3437</v>
      </c>
      <c r="C1491" t="s">
        <v>61</v>
      </c>
    </row>
    <row r="1492" spans="1:3" x14ac:dyDescent="0.25">
      <c r="A1492">
        <v>5077</v>
      </c>
      <c r="B1492" t="s">
        <v>3438</v>
      </c>
      <c r="C1492" t="s">
        <v>61</v>
      </c>
    </row>
    <row r="1493" spans="1:3" x14ac:dyDescent="0.25">
      <c r="A1493">
        <v>5078</v>
      </c>
      <c r="B1493" t="s">
        <v>3439</v>
      </c>
      <c r="C1493" t="s">
        <v>61</v>
      </c>
    </row>
    <row r="1494" spans="1:3" x14ac:dyDescent="0.25">
      <c r="A1494">
        <v>5079</v>
      </c>
      <c r="B1494" t="s">
        <v>3440</v>
      </c>
      <c r="C1494" t="s">
        <v>61</v>
      </c>
    </row>
    <row r="1495" spans="1:3" x14ac:dyDescent="0.25">
      <c r="A1495">
        <v>5091</v>
      </c>
      <c r="B1495" t="s">
        <v>3441</v>
      </c>
      <c r="C1495" t="s">
        <v>61</v>
      </c>
    </row>
    <row r="1496" spans="1:3" x14ac:dyDescent="0.25">
      <c r="A1496">
        <v>5096</v>
      </c>
      <c r="B1496" t="s">
        <v>3442</v>
      </c>
      <c r="C1496" t="s">
        <v>61</v>
      </c>
    </row>
    <row r="1497" spans="1:3" x14ac:dyDescent="0.25">
      <c r="A1497">
        <v>5097</v>
      </c>
      <c r="B1497" t="s">
        <v>3443</v>
      </c>
      <c r="C1497" t="s">
        <v>61</v>
      </c>
    </row>
    <row r="1498" spans="1:3" x14ac:dyDescent="0.25">
      <c r="A1498">
        <v>5108</v>
      </c>
      <c r="B1498" t="s">
        <v>3444</v>
      </c>
      <c r="C1498" t="s">
        <v>61</v>
      </c>
    </row>
    <row r="1499" spans="1:3" x14ac:dyDescent="0.25">
      <c r="A1499">
        <v>5112</v>
      </c>
      <c r="B1499" t="s">
        <v>3445</v>
      </c>
      <c r="C1499" t="s">
        <v>61</v>
      </c>
    </row>
    <row r="1500" spans="1:3" x14ac:dyDescent="0.25">
      <c r="A1500">
        <v>5113</v>
      </c>
      <c r="B1500" t="s">
        <v>3446</v>
      </c>
      <c r="C1500" t="s">
        <v>61</v>
      </c>
    </row>
    <row r="1501" spans="1:3" x14ac:dyDescent="0.25">
      <c r="A1501">
        <v>5115</v>
      </c>
      <c r="B1501" t="s">
        <v>3447</v>
      </c>
      <c r="C1501" t="s">
        <v>61</v>
      </c>
    </row>
    <row r="1502" spans="1:3" x14ac:dyDescent="0.25">
      <c r="A1502">
        <v>5117</v>
      </c>
      <c r="B1502" t="s">
        <v>3448</v>
      </c>
      <c r="C1502" t="s">
        <v>61</v>
      </c>
    </row>
    <row r="1503" spans="1:3" x14ac:dyDescent="0.25">
      <c r="A1503">
        <v>5118</v>
      </c>
      <c r="B1503" t="s">
        <v>3449</v>
      </c>
      <c r="C1503" t="s">
        <v>61</v>
      </c>
    </row>
    <row r="1504" spans="1:3" x14ac:dyDescent="0.25">
      <c r="A1504">
        <v>5120</v>
      </c>
      <c r="B1504" t="s">
        <v>3450</v>
      </c>
      <c r="C1504" t="s">
        <v>61</v>
      </c>
    </row>
    <row r="1505" spans="1:3" x14ac:dyDescent="0.25">
      <c r="A1505">
        <v>5121</v>
      </c>
      <c r="B1505" t="s">
        <v>3451</v>
      </c>
      <c r="C1505" t="s">
        <v>61</v>
      </c>
    </row>
    <row r="1506" spans="1:3" x14ac:dyDescent="0.25">
      <c r="A1506">
        <v>5125</v>
      </c>
      <c r="B1506" t="s">
        <v>3452</v>
      </c>
      <c r="C1506" t="s">
        <v>61</v>
      </c>
    </row>
    <row r="1507" spans="1:3" x14ac:dyDescent="0.25">
      <c r="A1507">
        <v>5131</v>
      </c>
      <c r="B1507" t="s">
        <v>3453</v>
      </c>
      <c r="C1507" t="s">
        <v>61</v>
      </c>
    </row>
    <row r="1508" spans="1:3" x14ac:dyDescent="0.25">
      <c r="A1508">
        <v>5136</v>
      </c>
      <c r="B1508" t="s">
        <v>3454</v>
      </c>
      <c r="C1508" t="s">
        <v>61</v>
      </c>
    </row>
    <row r="1509" spans="1:3" x14ac:dyDescent="0.25">
      <c r="A1509">
        <v>5138</v>
      </c>
      <c r="B1509" t="s">
        <v>3455</v>
      </c>
      <c r="C1509" t="s">
        <v>61</v>
      </c>
    </row>
    <row r="1510" spans="1:3" x14ac:dyDescent="0.25">
      <c r="A1510">
        <v>5141</v>
      </c>
      <c r="B1510" t="s">
        <v>3456</v>
      </c>
      <c r="C1510" t="s">
        <v>61</v>
      </c>
    </row>
    <row r="1511" spans="1:3" x14ac:dyDescent="0.25">
      <c r="A1511">
        <v>5143</v>
      </c>
      <c r="B1511" t="s">
        <v>3457</v>
      </c>
      <c r="C1511" t="s">
        <v>61</v>
      </c>
    </row>
    <row r="1512" spans="1:3" x14ac:dyDescent="0.25">
      <c r="A1512">
        <v>5144</v>
      </c>
      <c r="B1512" t="s">
        <v>3458</v>
      </c>
      <c r="C1512" t="s">
        <v>61</v>
      </c>
    </row>
    <row r="1513" spans="1:3" x14ac:dyDescent="0.25">
      <c r="A1513">
        <v>5146</v>
      </c>
      <c r="B1513" t="s">
        <v>3459</v>
      </c>
      <c r="C1513" t="s">
        <v>61</v>
      </c>
    </row>
    <row r="1514" spans="1:3" x14ac:dyDescent="0.25">
      <c r="A1514">
        <v>5148</v>
      </c>
      <c r="B1514" t="s">
        <v>3460</v>
      </c>
      <c r="C1514" t="s">
        <v>61</v>
      </c>
    </row>
    <row r="1515" spans="1:3" x14ac:dyDescent="0.25">
      <c r="A1515">
        <v>5149</v>
      </c>
      <c r="B1515" t="s">
        <v>3461</v>
      </c>
      <c r="C1515" t="s">
        <v>61</v>
      </c>
    </row>
    <row r="1516" spans="1:3" x14ac:dyDescent="0.25">
      <c r="A1516">
        <v>5151</v>
      </c>
      <c r="B1516" t="s">
        <v>3462</v>
      </c>
      <c r="C1516" t="s">
        <v>61</v>
      </c>
    </row>
    <row r="1517" spans="1:3" x14ac:dyDescent="0.25">
      <c r="A1517">
        <v>5154</v>
      </c>
      <c r="B1517" t="s">
        <v>3463</v>
      </c>
      <c r="C1517" t="s">
        <v>61</v>
      </c>
    </row>
    <row r="1518" spans="1:3" x14ac:dyDescent="0.25">
      <c r="A1518">
        <v>5160</v>
      </c>
      <c r="B1518" t="s">
        <v>3464</v>
      </c>
      <c r="C1518" t="s">
        <v>61</v>
      </c>
    </row>
    <row r="1519" spans="1:3" x14ac:dyDescent="0.25">
      <c r="A1519">
        <v>5161</v>
      </c>
      <c r="B1519" t="s">
        <v>3465</v>
      </c>
      <c r="C1519" t="s">
        <v>61</v>
      </c>
    </row>
    <row r="1520" spans="1:3" x14ac:dyDescent="0.25">
      <c r="A1520">
        <v>5162</v>
      </c>
      <c r="B1520" t="s">
        <v>3466</v>
      </c>
      <c r="C1520" t="s">
        <v>61</v>
      </c>
    </row>
    <row r="1521" spans="1:3" x14ac:dyDescent="0.25">
      <c r="A1521">
        <v>5167</v>
      </c>
      <c r="B1521" t="s">
        <v>3467</v>
      </c>
      <c r="C1521" t="s">
        <v>61</v>
      </c>
    </row>
    <row r="1522" spans="1:3" x14ac:dyDescent="0.25">
      <c r="A1522">
        <v>5171</v>
      </c>
      <c r="B1522" t="s">
        <v>3468</v>
      </c>
      <c r="C1522" t="s">
        <v>61</v>
      </c>
    </row>
    <row r="1523" spans="1:3" x14ac:dyDescent="0.25">
      <c r="A1523">
        <v>5176</v>
      </c>
      <c r="B1523" t="s">
        <v>3469</v>
      </c>
      <c r="C1523" t="s">
        <v>61</v>
      </c>
    </row>
    <row r="1524" spans="1:3" x14ac:dyDescent="0.25">
      <c r="A1524">
        <v>5180</v>
      </c>
      <c r="B1524" t="s">
        <v>3470</v>
      </c>
      <c r="C1524" t="s">
        <v>61</v>
      </c>
    </row>
    <row r="1525" spans="1:3" x14ac:dyDescent="0.25">
      <c r="A1525">
        <v>5181</v>
      </c>
      <c r="B1525" t="s">
        <v>3471</v>
      </c>
      <c r="C1525" t="s">
        <v>61</v>
      </c>
    </row>
    <row r="1526" spans="1:3" x14ac:dyDescent="0.25">
      <c r="A1526">
        <v>5186</v>
      </c>
      <c r="B1526" t="s">
        <v>3472</v>
      </c>
      <c r="C1526" t="s">
        <v>61</v>
      </c>
    </row>
    <row r="1527" spans="1:3" x14ac:dyDescent="0.25">
      <c r="A1527">
        <v>5187</v>
      </c>
      <c r="B1527" t="s">
        <v>3473</v>
      </c>
      <c r="C1527" t="s">
        <v>61</v>
      </c>
    </row>
    <row r="1528" spans="1:3" x14ac:dyDescent="0.25">
      <c r="A1528">
        <v>5189</v>
      </c>
      <c r="B1528" t="s">
        <v>3474</v>
      </c>
      <c r="C1528" t="s">
        <v>61</v>
      </c>
    </row>
    <row r="1529" spans="1:3" x14ac:dyDescent="0.25">
      <c r="A1529">
        <v>5192</v>
      </c>
      <c r="B1529" t="s">
        <v>3475</v>
      </c>
      <c r="C1529" t="s">
        <v>61</v>
      </c>
    </row>
    <row r="1530" spans="1:3" x14ac:dyDescent="0.25">
      <c r="A1530">
        <v>5193</v>
      </c>
      <c r="B1530" t="s">
        <v>3476</v>
      </c>
      <c r="C1530" t="s">
        <v>61</v>
      </c>
    </row>
    <row r="1531" spans="1:3" x14ac:dyDescent="0.25">
      <c r="A1531">
        <v>5194</v>
      </c>
      <c r="B1531" t="s">
        <v>3477</v>
      </c>
      <c r="C1531" t="s">
        <v>61</v>
      </c>
    </row>
    <row r="1532" spans="1:3" x14ac:dyDescent="0.25">
      <c r="A1532">
        <v>5196</v>
      </c>
      <c r="B1532" t="s">
        <v>3478</v>
      </c>
      <c r="C1532" t="s">
        <v>61</v>
      </c>
    </row>
    <row r="1533" spans="1:3" x14ac:dyDescent="0.25">
      <c r="A1533">
        <v>5198</v>
      </c>
      <c r="B1533" t="s">
        <v>3479</v>
      </c>
      <c r="C1533" t="s">
        <v>61</v>
      </c>
    </row>
    <row r="1534" spans="1:3" x14ac:dyDescent="0.25">
      <c r="A1534">
        <v>5199</v>
      </c>
      <c r="B1534" t="s">
        <v>3480</v>
      </c>
      <c r="C1534" t="s">
        <v>61</v>
      </c>
    </row>
    <row r="1535" spans="1:3" x14ac:dyDescent="0.25">
      <c r="A1535">
        <v>5200</v>
      </c>
      <c r="B1535" t="s">
        <v>3481</v>
      </c>
      <c r="C1535" t="s">
        <v>61</v>
      </c>
    </row>
    <row r="1536" spans="1:3" x14ac:dyDescent="0.25">
      <c r="A1536">
        <v>5203</v>
      </c>
      <c r="B1536" t="s">
        <v>3482</v>
      </c>
      <c r="C1536" t="s">
        <v>61</v>
      </c>
    </row>
    <row r="1537" spans="1:3" x14ac:dyDescent="0.25">
      <c r="A1537">
        <v>5205</v>
      </c>
      <c r="B1537" t="s">
        <v>3483</v>
      </c>
      <c r="C1537" t="s">
        <v>61</v>
      </c>
    </row>
    <row r="1538" spans="1:3" x14ac:dyDescent="0.25">
      <c r="A1538">
        <v>5206</v>
      </c>
      <c r="B1538" t="s">
        <v>3484</v>
      </c>
      <c r="C1538" t="s">
        <v>61</v>
      </c>
    </row>
    <row r="1539" spans="1:3" x14ac:dyDescent="0.25">
      <c r="A1539">
        <v>5207</v>
      </c>
      <c r="B1539" t="s">
        <v>3485</v>
      </c>
      <c r="C1539" t="s">
        <v>61</v>
      </c>
    </row>
    <row r="1540" spans="1:3" x14ac:dyDescent="0.25">
      <c r="A1540">
        <v>5208</v>
      </c>
      <c r="B1540" t="s">
        <v>3486</v>
      </c>
      <c r="C1540" t="s">
        <v>61</v>
      </c>
    </row>
    <row r="1541" spans="1:3" x14ac:dyDescent="0.25">
      <c r="A1541">
        <v>5210</v>
      </c>
      <c r="B1541" t="s">
        <v>3487</v>
      </c>
      <c r="C1541" t="s">
        <v>61</v>
      </c>
    </row>
    <row r="1542" spans="1:3" x14ac:dyDescent="0.25">
      <c r="A1542">
        <v>5212</v>
      </c>
      <c r="B1542" t="s">
        <v>3488</v>
      </c>
      <c r="C1542" t="s">
        <v>61</v>
      </c>
    </row>
    <row r="1543" spans="1:3" x14ac:dyDescent="0.25">
      <c r="A1543">
        <v>5214</v>
      </c>
      <c r="B1543" t="s">
        <v>3489</v>
      </c>
      <c r="C1543" t="s">
        <v>61</v>
      </c>
    </row>
    <row r="1544" spans="1:3" x14ac:dyDescent="0.25">
      <c r="A1544">
        <v>5216</v>
      </c>
      <c r="B1544" t="s">
        <v>3490</v>
      </c>
      <c r="C1544" t="s">
        <v>61</v>
      </c>
    </row>
    <row r="1545" spans="1:3" x14ac:dyDescent="0.25">
      <c r="A1545">
        <v>5221</v>
      </c>
      <c r="B1545" t="s">
        <v>3491</v>
      </c>
      <c r="C1545" t="s">
        <v>61</v>
      </c>
    </row>
    <row r="1546" spans="1:3" x14ac:dyDescent="0.25">
      <c r="A1546">
        <v>5225</v>
      </c>
      <c r="B1546" t="s">
        <v>3492</v>
      </c>
      <c r="C1546" t="s">
        <v>61</v>
      </c>
    </row>
    <row r="1547" spans="1:3" x14ac:dyDescent="0.25">
      <c r="A1547">
        <v>5226</v>
      </c>
      <c r="B1547" t="s">
        <v>3493</v>
      </c>
      <c r="C1547" t="s">
        <v>61</v>
      </c>
    </row>
    <row r="1548" spans="1:3" x14ac:dyDescent="0.25">
      <c r="A1548">
        <v>5227</v>
      </c>
      <c r="B1548" t="s">
        <v>3494</v>
      </c>
      <c r="C1548" t="s">
        <v>61</v>
      </c>
    </row>
    <row r="1549" spans="1:3" x14ac:dyDescent="0.25">
      <c r="A1549">
        <v>5230</v>
      </c>
      <c r="B1549" t="s">
        <v>3495</v>
      </c>
      <c r="C1549" t="s">
        <v>61</v>
      </c>
    </row>
    <row r="1550" spans="1:3" x14ac:dyDescent="0.25">
      <c r="A1550">
        <v>5231</v>
      </c>
      <c r="B1550" t="s">
        <v>3496</v>
      </c>
      <c r="C1550" t="s">
        <v>61</v>
      </c>
    </row>
    <row r="1551" spans="1:3" x14ac:dyDescent="0.25">
      <c r="A1551">
        <v>5233</v>
      </c>
      <c r="B1551" t="s">
        <v>3497</v>
      </c>
      <c r="C1551" t="s">
        <v>61</v>
      </c>
    </row>
    <row r="1552" spans="1:3" x14ac:dyDescent="0.25">
      <c r="A1552">
        <v>5236</v>
      </c>
      <c r="B1552" t="s">
        <v>3498</v>
      </c>
      <c r="C1552" t="s">
        <v>61</v>
      </c>
    </row>
    <row r="1553" spans="1:3" x14ac:dyDescent="0.25">
      <c r="A1553">
        <v>5237</v>
      </c>
      <c r="B1553" t="s">
        <v>3499</v>
      </c>
      <c r="C1553" t="s">
        <v>61</v>
      </c>
    </row>
    <row r="1554" spans="1:3" x14ac:dyDescent="0.25">
      <c r="A1554">
        <v>5238</v>
      </c>
      <c r="B1554" t="s">
        <v>3500</v>
      </c>
      <c r="C1554" t="s">
        <v>61</v>
      </c>
    </row>
    <row r="1555" spans="1:3" x14ac:dyDescent="0.25">
      <c r="A1555">
        <v>5239</v>
      </c>
      <c r="B1555" t="s">
        <v>3501</v>
      </c>
      <c r="C1555" t="s">
        <v>61</v>
      </c>
    </row>
    <row r="1556" spans="1:3" x14ac:dyDescent="0.25">
      <c r="A1556">
        <v>5240</v>
      </c>
      <c r="B1556" t="s">
        <v>3502</v>
      </c>
      <c r="C1556" t="s">
        <v>61</v>
      </c>
    </row>
    <row r="1557" spans="1:3" x14ac:dyDescent="0.25">
      <c r="A1557">
        <v>5242</v>
      </c>
      <c r="B1557" t="s">
        <v>3503</v>
      </c>
      <c r="C1557" t="s">
        <v>61</v>
      </c>
    </row>
    <row r="1558" spans="1:3" x14ac:dyDescent="0.25">
      <c r="A1558">
        <v>5249</v>
      </c>
      <c r="B1558" t="s">
        <v>3504</v>
      </c>
      <c r="C1558" t="s">
        <v>61</v>
      </c>
    </row>
    <row r="1559" spans="1:3" x14ac:dyDescent="0.25">
      <c r="A1559">
        <v>5250</v>
      </c>
      <c r="B1559" t="s">
        <v>3505</v>
      </c>
      <c r="C1559" t="s">
        <v>61</v>
      </c>
    </row>
    <row r="1560" spans="1:3" x14ac:dyDescent="0.25">
      <c r="A1560">
        <v>5251</v>
      </c>
      <c r="B1560" t="s">
        <v>3506</v>
      </c>
      <c r="C1560" t="s">
        <v>61</v>
      </c>
    </row>
    <row r="1561" spans="1:3" x14ac:dyDescent="0.25">
      <c r="A1561">
        <v>5254</v>
      </c>
      <c r="B1561" t="s">
        <v>3507</v>
      </c>
      <c r="C1561" t="s">
        <v>61</v>
      </c>
    </row>
    <row r="1562" spans="1:3" x14ac:dyDescent="0.25">
      <c r="A1562">
        <v>5257</v>
      </c>
      <c r="B1562" t="s">
        <v>3508</v>
      </c>
      <c r="C1562" t="s">
        <v>61</v>
      </c>
    </row>
    <row r="1563" spans="1:3" x14ac:dyDescent="0.25">
      <c r="A1563">
        <v>5260</v>
      </c>
      <c r="B1563" t="s">
        <v>3509</v>
      </c>
      <c r="C1563" t="s">
        <v>61</v>
      </c>
    </row>
    <row r="1564" spans="1:3" x14ac:dyDescent="0.25">
      <c r="A1564">
        <v>5263</v>
      </c>
      <c r="B1564" t="s">
        <v>3510</v>
      </c>
      <c r="C1564" t="s">
        <v>61</v>
      </c>
    </row>
    <row r="1565" spans="1:3" x14ac:dyDescent="0.25">
      <c r="A1565">
        <v>5266</v>
      </c>
      <c r="B1565" t="s">
        <v>3511</v>
      </c>
      <c r="C1565" t="s">
        <v>61</v>
      </c>
    </row>
    <row r="1566" spans="1:3" x14ac:dyDescent="0.25">
      <c r="A1566">
        <v>5268</v>
      </c>
      <c r="B1566" t="s">
        <v>3512</v>
      </c>
      <c r="C1566" t="s">
        <v>61</v>
      </c>
    </row>
    <row r="1567" spans="1:3" x14ac:dyDescent="0.25">
      <c r="A1567">
        <v>5269</v>
      </c>
      <c r="B1567" t="s">
        <v>3513</v>
      </c>
      <c r="C1567" t="s">
        <v>61</v>
      </c>
    </row>
    <row r="1568" spans="1:3" x14ac:dyDescent="0.25">
      <c r="A1568">
        <v>5281</v>
      </c>
      <c r="B1568" t="s">
        <v>3514</v>
      </c>
      <c r="C1568" t="s">
        <v>61</v>
      </c>
    </row>
    <row r="1569" spans="1:3" x14ac:dyDescent="0.25">
      <c r="A1569">
        <v>5287</v>
      </c>
      <c r="B1569" t="s">
        <v>3515</v>
      </c>
      <c r="C1569" t="s">
        <v>61</v>
      </c>
    </row>
    <row r="1570" spans="1:3" x14ac:dyDescent="0.25">
      <c r="A1570">
        <v>5304</v>
      </c>
      <c r="B1570" t="s">
        <v>3516</v>
      </c>
      <c r="C1570" t="s">
        <v>61</v>
      </c>
    </row>
    <row r="1571" spans="1:3" x14ac:dyDescent="0.25">
      <c r="A1571">
        <v>5307</v>
      </c>
      <c r="B1571" t="s">
        <v>3517</v>
      </c>
      <c r="C1571" t="s">
        <v>61</v>
      </c>
    </row>
    <row r="1572" spans="1:3" x14ac:dyDescent="0.25">
      <c r="A1572">
        <v>5309</v>
      </c>
      <c r="B1572" t="s">
        <v>3518</v>
      </c>
      <c r="C1572" t="s">
        <v>61</v>
      </c>
    </row>
    <row r="1573" spans="1:3" x14ac:dyDescent="0.25">
      <c r="A1573">
        <v>5310</v>
      </c>
      <c r="B1573" t="s">
        <v>3519</v>
      </c>
      <c r="C1573" t="s">
        <v>61</v>
      </c>
    </row>
    <row r="1574" spans="1:3" x14ac:dyDescent="0.25">
      <c r="A1574">
        <v>5315</v>
      </c>
      <c r="B1574" t="s">
        <v>3520</v>
      </c>
      <c r="C1574" t="s">
        <v>61</v>
      </c>
    </row>
    <row r="1575" spans="1:3" x14ac:dyDescent="0.25">
      <c r="A1575">
        <v>5317</v>
      </c>
      <c r="B1575" t="s">
        <v>3521</v>
      </c>
      <c r="C1575" t="s">
        <v>61</v>
      </c>
    </row>
    <row r="1576" spans="1:3" x14ac:dyDescent="0.25">
      <c r="A1576">
        <v>5323</v>
      </c>
      <c r="B1576" t="s">
        <v>3522</v>
      </c>
      <c r="C1576" t="s">
        <v>61</v>
      </c>
    </row>
    <row r="1577" spans="1:3" x14ac:dyDescent="0.25">
      <c r="A1577">
        <v>5324</v>
      </c>
      <c r="B1577" t="s">
        <v>3523</v>
      </c>
      <c r="C1577" t="s">
        <v>61</v>
      </c>
    </row>
    <row r="1578" spans="1:3" x14ac:dyDescent="0.25">
      <c r="A1578">
        <v>5396</v>
      </c>
      <c r="B1578" t="s">
        <v>3524</v>
      </c>
      <c r="C1578" t="s">
        <v>61</v>
      </c>
    </row>
    <row r="1579" spans="1:3" x14ac:dyDescent="0.25">
      <c r="A1579">
        <v>5397</v>
      </c>
      <c r="B1579" t="s">
        <v>3525</v>
      </c>
      <c r="C1579" t="s">
        <v>61</v>
      </c>
    </row>
    <row r="1580" spans="1:3" x14ac:dyDescent="0.25">
      <c r="A1580">
        <v>5398</v>
      </c>
      <c r="B1580" t="s">
        <v>3526</v>
      </c>
      <c r="C1580" t="s">
        <v>61</v>
      </c>
    </row>
    <row r="1581" spans="1:3" x14ac:dyDescent="0.25">
      <c r="A1581">
        <v>5399</v>
      </c>
      <c r="B1581" t="s">
        <v>3527</v>
      </c>
      <c r="C1581" t="s">
        <v>61</v>
      </c>
    </row>
    <row r="1582" spans="1:3" x14ac:dyDescent="0.25">
      <c r="A1582">
        <v>5401</v>
      </c>
      <c r="B1582" t="s">
        <v>3528</v>
      </c>
      <c r="C1582" t="s">
        <v>63</v>
      </c>
    </row>
    <row r="1583" spans="1:3" x14ac:dyDescent="0.25">
      <c r="A1583">
        <v>5402</v>
      </c>
      <c r="B1583" t="s">
        <v>3529</v>
      </c>
      <c r="C1583" t="s">
        <v>63</v>
      </c>
    </row>
    <row r="1584" spans="1:3" x14ac:dyDescent="0.25">
      <c r="A1584">
        <v>5403</v>
      </c>
      <c r="B1584" t="s">
        <v>3530</v>
      </c>
      <c r="C1584" t="s">
        <v>63</v>
      </c>
    </row>
    <row r="1585" spans="1:3" x14ac:dyDescent="0.25">
      <c r="A1585">
        <v>5404</v>
      </c>
      <c r="B1585" t="s">
        <v>3531</v>
      </c>
      <c r="C1585" t="s">
        <v>63</v>
      </c>
    </row>
    <row r="1586" spans="1:3" x14ac:dyDescent="0.25">
      <c r="A1586">
        <v>5405</v>
      </c>
      <c r="B1586" t="s">
        <v>3532</v>
      </c>
      <c r="C1586" t="s">
        <v>63</v>
      </c>
    </row>
    <row r="1587" spans="1:3" x14ac:dyDescent="0.25">
      <c r="A1587">
        <v>5406</v>
      </c>
      <c r="B1587" t="s">
        <v>3533</v>
      </c>
      <c r="C1587" t="s">
        <v>63</v>
      </c>
    </row>
    <row r="1588" spans="1:3" x14ac:dyDescent="0.25">
      <c r="A1588">
        <v>5407</v>
      </c>
      <c r="B1588" t="s">
        <v>3534</v>
      </c>
      <c r="C1588" t="s">
        <v>63</v>
      </c>
    </row>
    <row r="1589" spans="1:3" x14ac:dyDescent="0.25">
      <c r="A1589">
        <v>5408</v>
      </c>
      <c r="B1589" t="s">
        <v>3535</v>
      </c>
      <c r="C1589" t="s">
        <v>63</v>
      </c>
    </row>
    <row r="1590" spans="1:3" x14ac:dyDescent="0.25">
      <c r="A1590">
        <v>5409</v>
      </c>
      <c r="B1590" t="s">
        <v>3536</v>
      </c>
      <c r="C1590" t="s">
        <v>63</v>
      </c>
    </row>
    <row r="1591" spans="1:3" x14ac:dyDescent="0.25">
      <c r="A1591">
        <v>5410</v>
      </c>
      <c r="B1591" t="s">
        <v>3537</v>
      </c>
      <c r="C1591" t="s">
        <v>63</v>
      </c>
    </row>
    <row r="1592" spans="1:3" x14ac:dyDescent="0.25">
      <c r="A1592">
        <v>5411</v>
      </c>
      <c r="B1592" t="s">
        <v>3538</v>
      </c>
      <c r="C1592" t="s">
        <v>63</v>
      </c>
    </row>
    <row r="1593" spans="1:3" x14ac:dyDescent="0.25">
      <c r="A1593">
        <v>5412</v>
      </c>
      <c r="B1593" t="s">
        <v>3539</v>
      </c>
      <c r="C1593" t="s">
        <v>63</v>
      </c>
    </row>
    <row r="1594" spans="1:3" x14ac:dyDescent="0.25">
      <c r="A1594">
        <v>5413</v>
      </c>
      <c r="B1594" t="s">
        <v>3540</v>
      </c>
      <c r="C1594" t="s">
        <v>63</v>
      </c>
    </row>
    <row r="1595" spans="1:3" x14ac:dyDescent="0.25">
      <c r="A1595">
        <v>5414</v>
      </c>
      <c r="B1595" t="s">
        <v>3541</v>
      </c>
      <c r="C1595" t="s">
        <v>63</v>
      </c>
    </row>
    <row r="1596" spans="1:3" x14ac:dyDescent="0.25">
      <c r="A1596">
        <v>5415</v>
      </c>
      <c r="B1596" t="s">
        <v>3542</v>
      </c>
      <c r="C1596" t="s">
        <v>63</v>
      </c>
    </row>
    <row r="1597" spans="1:3" x14ac:dyDescent="0.25">
      <c r="A1597">
        <v>5422</v>
      </c>
      <c r="B1597" t="s">
        <v>3543</v>
      </c>
      <c r="C1597" t="s">
        <v>63</v>
      </c>
    </row>
    <row r="1598" spans="1:3" x14ac:dyDescent="0.25">
      <c r="A1598">
        <v>5423</v>
      </c>
      <c r="B1598" t="s">
        <v>3544</v>
      </c>
      <c r="C1598" t="s">
        <v>63</v>
      </c>
    </row>
    <row r="1599" spans="1:3" x14ac:dyDescent="0.25">
      <c r="A1599">
        <v>5424</v>
      </c>
      <c r="B1599" t="s">
        <v>3545</v>
      </c>
      <c r="C1599" t="s">
        <v>63</v>
      </c>
    </row>
    <row r="1600" spans="1:3" x14ac:dyDescent="0.25">
      <c r="A1600">
        <v>5425</v>
      </c>
      <c r="B1600" t="s">
        <v>3546</v>
      </c>
      <c r="C1600" t="s">
        <v>63</v>
      </c>
    </row>
    <row r="1601" spans="1:3" x14ac:dyDescent="0.25">
      <c r="A1601">
        <v>5426</v>
      </c>
      <c r="B1601" t="s">
        <v>3547</v>
      </c>
      <c r="C1601" t="s">
        <v>63</v>
      </c>
    </row>
    <row r="1602" spans="1:3" x14ac:dyDescent="0.25">
      <c r="A1602">
        <v>5427</v>
      </c>
      <c r="B1602" t="s">
        <v>3548</v>
      </c>
      <c r="C1602" t="s">
        <v>63</v>
      </c>
    </row>
    <row r="1603" spans="1:3" x14ac:dyDescent="0.25">
      <c r="A1603">
        <v>5428</v>
      </c>
      <c r="B1603" t="s">
        <v>3549</v>
      </c>
      <c r="C1603" t="s">
        <v>63</v>
      </c>
    </row>
    <row r="1604" spans="1:3" x14ac:dyDescent="0.25">
      <c r="A1604">
        <v>5429</v>
      </c>
      <c r="B1604" t="s">
        <v>3550</v>
      </c>
      <c r="C1604" t="s">
        <v>63</v>
      </c>
    </row>
    <row r="1605" spans="1:3" x14ac:dyDescent="0.25">
      <c r="A1605">
        <v>5430</v>
      </c>
      <c r="B1605" t="s">
        <v>3551</v>
      </c>
      <c r="C1605" t="s">
        <v>63</v>
      </c>
    </row>
    <row r="1606" spans="1:3" x14ac:dyDescent="0.25">
      <c r="A1606">
        <v>5431</v>
      </c>
      <c r="B1606" t="s">
        <v>3552</v>
      </c>
      <c r="C1606" t="s">
        <v>63</v>
      </c>
    </row>
    <row r="1607" spans="1:3" x14ac:dyDescent="0.25">
      <c r="A1607">
        <v>5434</v>
      </c>
      <c r="B1607" t="s">
        <v>3553</v>
      </c>
      <c r="C1607" t="s">
        <v>63</v>
      </c>
    </row>
    <row r="1608" spans="1:3" x14ac:dyDescent="0.25">
      <c r="A1608">
        <v>5435</v>
      </c>
      <c r="B1608" t="s">
        <v>3554</v>
      </c>
      <c r="C1608" t="s">
        <v>63</v>
      </c>
    </row>
    <row r="1609" spans="1:3" x14ac:dyDescent="0.25">
      <c r="A1609">
        <v>5436</v>
      </c>
      <c r="B1609" t="s">
        <v>3555</v>
      </c>
      <c r="C1609" t="s">
        <v>63</v>
      </c>
    </row>
    <row r="1610" spans="1:3" x14ac:dyDescent="0.25">
      <c r="A1610">
        <v>5437</v>
      </c>
      <c r="B1610" t="s">
        <v>3556</v>
      </c>
      <c r="C1610" t="s">
        <v>63</v>
      </c>
    </row>
    <row r="1611" spans="1:3" x14ac:dyDescent="0.25">
      <c r="A1611">
        <v>5451</v>
      </c>
      <c r="B1611" t="s">
        <v>3557</v>
      </c>
      <c r="C1611" t="s">
        <v>63</v>
      </c>
    </row>
    <row r="1612" spans="1:3" x14ac:dyDescent="0.25">
      <c r="A1612">
        <v>5456</v>
      </c>
      <c r="B1612" t="s">
        <v>3558</v>
      </c>
      <c r="C1612" t="s">
        <v>63</v>
      </c>
    </row>
    <row r="1613" spans="1:3" x14ac:dyDescent="0.25">
      <c r="A1613">
        <v>5458</v>
      </c>
      <c r="B1613" t="s">
        <v>3559</v>
      </c>
      <c r="C1613" t="s">
        <v>63</v>
      </c>
    </row>
    <row r="1614" spans="1:3" x14ac:dyDescent="0.25">
      <c r="A1614">
        <v>5464</v>
      </c>
      <c r="B1614" t="s">
        <v>3560</v>
      </c>
      <c r="C1614" t="s">
        <v>63</v>
      </c>
    </row>
    <row r="1615" spans="1:3" x14ac:dyDescent="0.25">
      <c r="A1615">
        <v>5471</v>
      </c>
      <c r="B1615" t="s">
        <v>3561</v>
      </c>
      <c r="C1615" t="s">
        <v>63</v>
      </c>
    </row>
    <row r="1616" spans="1:3" x14ac:dyDescent="0.25">
      <c r="A1616">
        <v>5472</v>
      </c>
      <c r="B1616" t="s">
        <v>3562</v>
      </c>
      <c r="C1616" t="s">
        <v>63</v>
      </c>
    </row>
    <row r="1617" spans="1:3" x14ac:dyDescent="0.25">
      <c r="A1617">
        <v>5473</v>
      </c>
      <c r="B1617" t="s">
        <v>3563</v>
      </c>
      <c r="C1617" t="s">
        <v>63</v>
      </c>
    </row>
    <row r="1618" spans="1:3" x14ac:dyDescent="0.25">
      <c r="A1618">
        <v>5474</v>
      </c>
      <c r="B1618" t="s">
        <v>3564</v>
      </c>
      <c r="C1618" t="s">
        <v>63</v>
      </c>
    </row>
    <row r="1619" spans="1:3" x14ac:dyDescent="0.25">
      <c r="A1619">
        <v>5475</v>
      </c>
      <c r="B1619" t="s">
        <v>3565</v>
      </c>
      <c r="C1619" t="s">
        <v>63</v>
      </c>
    </row>
    <row r="1620" spans="1:3" x14ac:dyDescent="0.25">
      <c r="A1620">
        <v>5476</v>
      </c>
      <c r="B1620" t="s">
        <v>3566</v>
      </c>
      <c r="C1620" t="s">
        <v>63</v>
      </c>
    </row>
    <row r="1621" spans="1:3" x14ac:dyDescent="0.25">
      <c r="A1621">
        <v>5477</v>
      </c>
      <c r="B1621" t="s">
        <v>3567</v>
      </c>
      <c r="C1621" t="s">
        <v>63</v>
      </c>
    </row>
    <row r="1622" spans="1:3" x14ac:dyDescent="0.25">
      <c r="A1622">
        <v>5479</v>
      </c>
      <c r="B1622" t="s">
        <v>3568</v>
      </c>
      <c r="C1622" t="s">
        <v>63</v>
      </c>
    </row>
    <row r="1623" spans="1:3" x14ac:dyDescent="0.25">
      <c r="A1623">
        <v>5480</v>
      </c>
      <c r="B1623" t="s">
        <v>3569</v>
      </c>
      <c r="C1623" t="s">
        <v>63</v>
      </c>
    </row>
    <row r="1624" spans="1:3" x14ac:dyDescent="0.25">
      <c r="A1624">
        <v>5481</v>
      </c>
      <c r="B1624" t="s">
        <v>3570</v>
      </c>
      <c r="C1624" t="s">
        <v>63</v>
      </c>
    </row>
    <row r="1625" spans="1:3" x14ac:dyDescent="0.25">
      <c r="A1625">
        <v>5482</v>
      </c>
      <c r="B1625" t="s">
        <v>3571</v>
      </c>
      <c r="C1625" t="s">
        <v>63</v>
      </c>
    </row>
    <row r="1626" spans="1:3" x14ac:dyDescent="0.25">
      <c r="A1626">
        <v>5483</v>
      </c>
      <c r="B1626" t="s">
        <v>3572</v>
      </c>
      <c r="C1626" t="s">
        <v>63</v>
      </c>
    </row>
    <row r="1627" spans="1:3" x14ac:dyDescent="0.25">
      <c r="A1627">
        <v>5484</v>
      </c>
      <c r="B1627" t="s">
        <v>3573</v>
      </c>
      <c r="C1627" t="s">
        <v>63</v>
      </c>
    </row>
    <row r="1628" spans="1:3" x14ac:dyDescent="0.25">
      <c r="A1628">
        <v>5485</v>
      </c>
      <c r="B1628" t="s">
        <v>3574</v>
      </c>
      <c r="C1628" t="s">
        <v>63</v>
      </c>
    </row>
    <row r="1629" spans="1:3" x14ac:dyDescent="0.25">
      <c r="A1629">
        <v>5486</v>
      </c>
      <c r="B1629" t="s">
        <v>3575</v>
      </c>
      <c r="C1629" t="s">
        <v>63</v>
      </c>
    </row>
    <row r="1630" spans="1:3" x14ac:dyDescent="0.25">
      <c r="A1630">
        <v>5487</v>
      </c>
      <c r="B1630" t="s">
        <v>3576</v>
      </c>
      <c r="C1630" t="s">
        <v>63</v>
      </c>
    </row>
    <row r="1631" spans="1:3" x14ac:dyDescent="0.25">
      <c r="A1631">
        <v>5488</v>
      </c>
      <c r="B1631" t="s">
        <v>3577</v>
      </c>
      <c r="C1631" t="s">
        <v>63</v>
      </c>
    </row>
    <row r="1632" spans="1:3" x14ac:dyDescent="0.25">
      <c r="A1632">
        <v>5489</v>
      </c>
      <c r="B1632" t="s">
        <v>3578</v>
      </c>
      <c r="C1632" t="s">
        <v>63</v>
      </c>
    </row>
    <row r="1633" spans="1:3" x14ac:dyDescent="0.25">
      <c r="A1633">
        <v>5490</v>
      </c>
      <c r="B1633" t="s">
        <v>3579</v>
      </c>
      <c r="C1633" t="s">
        <v>63</v>
      </c>
    </row>
    <row r="1634" spans="1:3" x14ac:dyDescent="0.25">
      <c r="A1634">
        <v>5491</v>
      </c>
      <c r="B1634" t="s">
        <v>3580</v>
      </c>
      <c r="C1634" t="s">
        <v>63</v>
      </c>
    </row>
    <row r="1635" spans="1:3" x14ac:dyDescent="0.25">
      <c r="A1635">
        <v>5492</v>
      </c>
      <c r="B1635" t="s">
        <v>3581</v>
      </c>
      <c r="C1635" t="s">
        <v>63</v>
      </c>
    </row>
    <row r="1636" spans="1:3" x14ac:dyDescent="0.25">
      <c r="A1636">
        <v>5493</v>
      </c>
      <c r="B1636" t="s">
        <v>3582</v>
      </c>
      <c r="C1636" t="s">
        <v>63</v>
      </c>
    </row>
    <row r="1637" spans="1:3" x14ac:dyDescent="0.25">
      <c r="A1637">
        <v>5495</v>
      </c>
      <c r="B1637" t="s">
        <v>3583</v>
      </c>
      <c r="C1637" t="s">
        <v>63</v>
      </c>
    </row>
    <row r="1638" spans="1:3" x14ac:dyDescent="0.25">
      <c r="A1638">
        <v>5496</v>
      </c>
      <c r="B1638" t="s">
        <v>3584</v>
      </c>
      <c r="C1638" t="s">
        <v>63</v>
      </c>
    </row>
    <row r="1639" spans="1:3" x14ac:dyDescent="0.25">
      <c r="A1639">
        <v>5497</v>
      </c>
      <c r="B1639" t="s">
        <v>3585</v>
      </c>
      <c r="C1639" t="s">
        <v>63</v>
      </c>
    </row>
    <row r="1640" spans="1:3" x14ac:dyDescent="0.25">
      <c r="A1640">
        <v>5498</v>
      </c>
      <c r="B1640" t="s">
        <v>3586</v>
      </c>
      <c r="C1640" t="s">
        <v>63</v>
      </c>
    </row>
    <row r="1641" spans="1:3" x14ac:dyDescent="0.25">
      <c r="A1641">
        <v>5499</v>
      </c>
      <c r="B1641" t="s">
        <v>3587</v>
      </c>
      <c r="C1641" t="s">
        <v>63</v>
      </c>
    </row>
    <row r="1642" spans="1:3" x14ac:dyDescent="0.25">
      <c r="A1642">
        <v>5501</v>
      </c>
      <c r="B1642" t="s">
        <v>3588</v>
      </c>
      <c r="C1642" t="s">
        <v>63</v>
      </c>
    </row>
    <row r="1643" spans="1:3" x14ac:dyDescent="0.25">
      <c r="A1643">
        <v>5503</v>
      </c>
      <c r="B1643" t="s">
        <v>3589</v>
      </c>
      <c r="C1643" t="s">
        <v>63</v>
      </c>
    </row>
    <row r="1644" spans="1:3" x14ac:dyDescent="0.25">
      <c r="A1644">
        <v>5511</v>
      </c>
      <c r="B1644" t="s">
        <v>3590</v>
      </c>
      <c r="C1644" t="s">
        <v>63</v>
      </c>
    </row>
    <row r="1645" spans="1:3" x14ac:dyDescent="0.25">
      <c r="A1645">
        <v>5512</v>
      </c>
      <c r="B1645" t="s">
        <v>3591</v>
      </c>
      <c r="C1645" t="s">
        <v>63</v>
      </c>
    </row>
    <row r="1646" spans="1:3" x14ac:dyDescent="0.25">
      <c r="A1646">
        <v>5514</v>
      </c>
      <c r="B1646" t="s">
        <v>3592</v>
      </c>
      <c r="C1646" t="s">
        <v>63</v>
      </c>
    </row>
    <row r="1647" spans="1:3" x14ac:dyDescent="0.25">
      <c r="A1647">
        <v>5515</v>
      </c>
      <c r="B1647" t="s">
        <v>3593</v>
      </c>
      <c r="C1647" t="s">
        <v>63</v>
      </c>
    </row>
    <row r="1648" spans="1:3" x14ac:dyDescent="0.25">
      <c r="A1648">
        <v>5516</v>
      </c>
      <c r="B1648" t="s">
        <v>3594</v>
      </c>
      <c r="C1648" t="s">
        <v>63</v>
      </c>
    </row>
    <row r="1649" spans="1:3" x14ac:dyDescent="0.25">
      <c r="A1649">
        <v>5518</v>
      </c>
      <c r="B1649" t="s">
        <v>3595</v>
      </c>
      <c r="C1649" t="s">
        <v>63</v>
      </c>
    </row>
    <row r="1650" spans="1:3" x14ac:dyDescent="0.25">
      <c r="A1650">
        <v>5520</v>
      </c>
      <c r="B1650" t="s">
        <v>3596</v>
      </c>
      <c r="C1650" t="s">
        <v>63</v>
      </c>
    </row>
    <row r="1651" spans="1:3" x14ac:dyDescent="0.25">
      <c r="A1651">
        <v>5521</v>
      </c>
      <c r="B1651" t="s">
        <v>3597</v>
      </c>
      <c r="C1651" t="s">
        <v>63</v>
      </c>
    </row>
    <row r="1652" spans="1:3" x14ac:dyDescent="0.25">
      <c r="A1652">
        <v>5522</v>
      </c>
      <c r="B1652" t="s">
        <v>3598</v>
      </c>
      <c r="C1652" t="s">
        <v>63</v>
      </c>
    </row>
    <row r="1653" spans="1:3" x14ac:dyDescent="0.25">
      <c r="A1653">
        <v>5523</v>
      </c>
      <c r="B1653" t="s">
        <v>3599</v>
      </c>
      <c r="C1653" t="s">
        <v>63</v>
      </c>
    </row>
    <row r="1654" spans="1:3" x14ac:dyDescent="0.25">
      <c r="A1654">
        <v>5527</v>
      </c>
      <c r="B1654" t="s">
        <v>3600</v>
      </c>
      <c r="C1654" t="s">
        <v>63</v>
      </c>
    </row>
    <row r="1655" spans="1:3" x14ac:dyDescent="0.25">
      <c r="A1655">
        <v>5529</v>
      </c>
      <c r="B1655" t="s">
        <v>3601</v>
      </c>
      <c r="C1655" t="s">
        <v>63</v>
      </c>
    </row>
    <row r="1656" spans="1:3" x14ac:dyDescent="0.25">
      <c r="A1656">
        <v>5530</v>
      </c>
      <c r="B1656" t="s">
        <v>3602</v>
      </c>
      <c r="C1656" t="s">
        <v>63</v>
      </c>
    </row>
    <row r="1657" spans="1:3" x14ac:dyDescent="0.25">
      <c r="A1657">
        <v>5531</v>
      </c>
      <c r="B1657" t="s">
        <v>3603</v>
      </c>
      <c r="C1657" t="s">
        <v>63</v>
      </c>
    </row>
    <row r="1658" spans="1:3" x14ac:dyDescent="0.25">
      <c r="A1658">
        <v>5533</v>
      </c>
      <c r="B1658" t="s">
        <v>3604</v>
      </c>
      <c r="C1658" t="s">
        <v>63</v>
      </c>
    </row>
    <row r="1659" spans="1:3" x14ac:dyDescent="0.25">
      <c r="A1659">
        <v>5534</v>
      </c>
      <c r="B1659" t="s">
        <v>3605</v>
      </c>
      <c r="C1659" t="s">
        <v>63</v>
      </c>
    </row>
    <row r="1660" spans="1:3" x14ac:dyDescent="0.25">
      <c r="A1660">
        <v>5535</v>
      </c>
      <c r="B1660" t="s">
        <v>3606</v>
      </c>
      <c r="C1660" t="s">
        <v>63</v>
      </c>
    </row>
    <row r="1661" spans="1:3" x14ac:dyDescent="0.25">
      <c r="A1661">
        <v>5537</v>
      </c>
      <c r="B1661" t="s">
        <v>3607</v>
      </c>
      <c r="C1661" t="s">
        <v>63</v>
      </c>
    </row>
    <row r="1662" spans="1:3" x14ac:dyDescent="0.25">
      <c r="A1662">
        <v>5539</v>
      </c>
      <c r="B1662" t="s">
        <v>3608</v>
      </c>
      <c r="C1662" t="s">
        <v>63</v>
      </c>
    </row>
    <row r="1663" spans="1:3" x14ac:dyDescent="0.25">
      <c r="A1663">
        <v>5540</v>
      </c>
      <c r="B1663" t="s">
        <v>3609</v>
      </c>
      <c r="C1663" t="s">
        <v>63</v>
      </c>
    </row>
    <row r="1664" spans="1:3" x14ac:dyDescent="0.25">
      <c r="A1664">
        <v>5541</v>
      </c>
      <c r="B1664" t="s">
        <v>3610</v>
      </c>
      <c r="C1664" t="s">
        <v>63</v>
      </c>
    </row>
    <row r="1665" spans="1:3" x14ac:dyDescent="0.25">
      <c r="A1665">
        <v>5551</v>
      </c>
      <c r="B1665" t="s">
        <v>3611</v>
      </c>
      <c r="C1665" t="s">
        <v>63</v>
      </c>
    </row>
    <row r="1666" spans="1:3" x14ac:dyDescent="0.25">
      <c r="A1666">
        <v>5552</v>
      </c>
      <c r="B1666" t="s">
        <v>3612</v>
      </c>
      <c r="C1666" t="s">
        <v>63</v>
      </c>
    </row>
    <row r="1667" spans="1:3" x14ac:dyDescent="0.25">
      <c r="A1667">
        <v>5553</v>
      </c>
      <c r="B1667" t="s">
        <v>3613</v>
      </c>
      <c r="C1667" t="s">
        <v>63</v>
      </c>
    </row>
    <row r="1668" spans="1:3" x14ac:dyDescent="0.25">
      <c r="A1668">
        <v>5554</v>
      </c>
      <c r="B1668" t="s">
        <v>3614</v>
      </c>
      <c r="C1668" t="s">
        <v>63</v>
      </c>
    </row>
    <row r="1669" spans="1:3" x14ac:dyDescent="0.25">
      <c r="A1669">
        <v>5555</v>
      </c>
      <c r="B1669" t="s">
        <v>3615</v>
      </c>
      <c r="C1669" t="s">
        <v>63</v>
      </c>
    </row>
    <row r="1670" spans="1:3" x14ac:dyDescent="0.25">
      <c r="A1670">
        <v>5556</v>
      </c>
      <c r="B1670" t="s">
        <v>3616</v>
      </c>
      <c r="C1670" t="s">
        <v>63</v>
      </c>
    </row>
    <row r="1671" spans="1:3" x14ac:dyDescent="0.25">
      <c r="A1671">
        <v>5557</v>
      </c>
      <c r="B1671" t="s">
        <v>3617</v>
      </c>
      <c r="C1671" t="s">
        <v>63</v>
      </c>
    </row>
    <row r="1672" spans="1:3" x14ac:dyDescent="0.25">
      <c r="A1672">
        <v>5559</v>
      </c>
      <c r="B1672" t="s">
        <v>3618</v>
      </c>
      <c r="C1672" t="s">
        <v>63</v>
      </c>
    </row>
    <row r="1673" spans="1:3" x14ac:dyDescent="0.25">
      <c r="A1673">
        <v>5560</v>
      </c>
      <c r="B1673" t="s">
        <v>3619</v>
      </c>
      <c r="C1673" t="s">
        <v>63</v>
      </c>
    </row>
    <row r="1674" spans="1:3" x14ac:dyDescent="0.25">
      <c r="A1674">
        <v>5561</v>
      </c>
      <c r="B1674" t="s">
        <v>3620</v>
      </c>
      <c r="C1674" t="s">
        <v>63</v>
      </c>
    </row>
    <row r="1675" spans="1:3" x14ac:dyDescent="0.25">
      <c r="A1675">
        <v>5562</v>
      </c>
      <c r="B1675" t="s">
        <v>3621</v>
      </c>
      <c r="C1675" t="s">
        <v>63</v>
      </c>
    </row>
    <row r="1676" spans="1:3" x14ac:dyDescent="0.25">
      <c r="A1676">
        <v>5563</v>
      </c>
      <c r="B1676" t="s">
        <v>3622</v>
      </c>
      <c r="C1676" t="s">
        <v>63</v>
      </c>
    </row>
    <row r="1677" spans="1:3" x14ac:dyDescent="0.25">
      <c r="A1677">
        <v>5564</v>
      </c>
      <c r="B1677" t="s">
        <v>3623</v>
      </c>
      <c r="C1677" t="s">
        <v>63</v>
      </c>
    </row>
    <row r="1678" spans="1:3" x14ac:dyDescent="0.25">
      <c r="A1678">
        <v>5565</v>
      </c>
      <c r="B1678" t="s">
        <v>3624</v>
      </c>
      <c r="C1678" t="s">
        <v>63</v>
      </c>
    </row>
    <row r="1679" spans="1:3" x14ac:dyDescent="0.25">
      <c r="A1679">
        <v>5566</v>
      </c>
      <c r="B1679" t="s">
        <v>3625</v>
      </c>
      <c r="C1679" t="s">
        <v>63</v>
      </c>
    </row>
    <row r="1680" spans="1:3" x14ac:dyDescent="0.25">
      <c r="A1680">
        <v>5568</v>
      </c>
      <c r="B1680" t="s">
        <v>3626</v>
      </c>
      <c r="C1680" t="s">
        <v>63</v>
      </c>
    </row>
    <row r="1681" spans="1:3" x14ac:dyDescent="0.25">
      <c r="A1681">
        <v>5571</v>
      </c>
      <c r="B1681" t="s">
        <v>3627</v>
      </c>
      <c r="C1681" t="s">
        <v>63</v>
      </c>
    </row>
    <row r="1682" spans="1:3" x14ac:dyDescent="0.25">
      <c r="A1682">
        <v>5581</v>
      </c>
      <c r="B1682" t="s">
        <v>3628</v>
      </c>
      <c r="C1682" t="s">
        <v>63</v>
      </c>
    </row>
    <row r="1683" spans="1:3" x14ac:dyDescent="0.25">
      <c r="A1683">
        <v>5582</v>
      </c>
      <c r="B1683" t="s">
        <v>3629</v>
      </c>
      <c r="C1683" t="s">
        <v>63</v>
      </c>
    </row>
    <row r="1684" spans="1:3" x14ac:dyDescent="0.25">
      <c r="A1684">
        <v>5583</v>
      </c>
      <c r="B1684" t="s">
        <v>3630</v>
      </c>
      <c r="C1684" t="s">
        <v>63</v>
      </c>
    </row>
    <row r="1685" spans="1:3" x14ac:dyDescent="0.25">
      <c r="A1685">
        <v>5584</v>
      </c>
      <c r="B1685" t="s">
        <v>3631</v>
      </c>
      <c r="C1685" t="s">
        <v>63</v>
      </c>
    </row>
    <row r="1686" spans="1:3" x14ac:dyDescent="0.25">
      <c r="A1686">
        <v>5585</v>
      </c>
      <c r="B1686" t="s">
        <v>3632</v>
      </c>
      <c r="C1686" t="s">
        <v>63</v>
      </c>
    </row>
    <row r="1687" spans="1:3" x14ac:dyDescent="0.25">
      <c r="A1687">
        <v>5586</v>
      </c>
      <c r="B1687" t="s">
        <v>3633</v>
      </c>
      <c r="C1687" t="s">
        <v>63</v>
      </c>
    </row>
    <row r="1688" spans="1:3" x14ac:dyDescent="0.25">
      <c r="A1688">
        <v>5587</v>
      </c>
      <c r="B1688" t="s">
        <v>3634</v>
      </c>
      <c r="C1688" t="s">
        <v>63</v>
      </c>
    </row>
    <row r="1689" spans="1:3" x14ac:dyDescent="0.25">
      <c r="A1689">
        <v>5588</v>
      </c>
      <c r="B1689" t="s">
        <v>3635</v>
      </c>
      <c r="C1689" t="s">
        <v>63</v>
      </c>
    </row>
    <row r="1690" spans="1:3" x14ac:dyDescent="0.25">
      <c r="A1690">
        <v>5589</v>
      </c>
      <c r="B1690" t="s">
        <v>3636</v>
      </c>
      <c r="C1690" t="s">
        <v>63</v>
      </c>
    </row>
    <row r="1691" spans="1:3" x14ac:dyDescent="0.25">
      <c r="A1691">
        <v>5590</v>
      </c>
      <c r="B1691" t="s">
        <v>3637</v>
      </c>
      <c r="C1691" t="s">
        <v>63</v>
      </c>
    </row>
    <row r="1692" spans="1:3" x14ac:dyDescent="0.25">
      <c r="A1692">
        <v>5591</v>
      </c>
      <c r="B1692" t="s">
        <v>3638</v>
      </c>
      <c r="C1692" t="s">
        <v>63</v>
      </c>
    </row>
    <row r="1693" spans="1:3" x14ac:dyDescent="0.25">
      <c r="A1693">
        <v>5592</v>
      </c>
      <c r="B1693" t="s">
        <v>3639</v>
      </c>
      <c r="C1693" t="s">
        <v>63</v>
      </c>
    </row>
    <row r="1694" spans="1:3" x14ac:dyDescent="0.25">
      <c r="A1694">
        <v>5601</v>
      </c>
      <c r="B1694" t="s">
        <v>3640</v>
      </c>
      <c r="C1694" t="s">
        <v>63</v>
      </c>
    </row>
    <row r="1695" spans="1:3" x14ac:dyDescent="0.25">
      <c r="A1695">
        <v>5604</v>
      </c>
      <c r="B1695" t="s">
        <v>3641</v>
      </c>
      <c r="C1695" t="s">
        <v>63</v>
      </c>
    </row>
    <row r="1696" spans="1:3" x14ac:dyDescent="0.25">
      <c r="A1696">
        <v>5606</v>
      </c>
      <c r="B1696" t="s">
        <v>3642</v>
      </c>
      <c r="C1696" t="s">
        <v>63</v>
      </c>
    </row>
    <row r="1697" spans="1:3" x14ac:dyDescent="0.25">
      <c r="A1697">
        <v>5607</v>
      </c>
      <c r="B1697" t="s">
        <v>3643</v>
      </c>
      <c r="C1697" t="s">
        <v>63</v>
      </c>
    </row>
    <row r="1698" spans="1:3" x14ac:dyDescent="0.25">
      <c r="A1698">
        <v>5609</v>
      </c>
      <c r="B1698" t="s">
        <v>3644</v>
      </c>
      <c r="C1698" t="s">
        <v>63</v>
      </c>
    </row>
    <row r="1699" spans="1:3" x14ac:dyDescent="0.25">
      <c r="A1699">
        <v>5610</v>
      </c>
      <c r="B1699" t="s">
        <v>3645</v>
      </c>
      <c r="C1699" t="s">
        <v>63</v>
      </c>
    </row>
    <row r="1700" spans="1:3" x14ac:dyDescent="0.25">
      <c r="A1700">
        <v>5611</v>
      </c>
      <c r="B1700" t="s">
        <v>3646</v>
      </c>
      <c r="C1700" t="s">
        <v>63</v>
      </c>
    </row>
    <row r="1701" spans="1:3" x14ac:dyDescent="0.25">
      <c r="A1701">
        <v>5613</v>
      </c>
      <c r="B1701" t="s">
        <v>3647</v>
      </c>
      <c r="C1701" t="s">
        <v>63</v>
      </c>
    </row>
    <row r="1702" spans="1:3" x14ac:dyDescent="0.25">
      <c r="A1702">
        <v>5621</v>
      </c>
      <c r="B1702" t="s">
        <v>3648</v>
      </c>
      <c r="C1702" t="s">
        <v>63</v>
      </c>
    </row>
    <row r="1703" spans="1:3" x14ac:dyDescent="0.25">
      <c r="A1703">
        <v>5622</v>
      </c>
      <c r="B1703" t="s">
        <v>3649</v>
      </c>
      <c r="C1703" t="s">
        <v>63</v>
      </c>
    </row>
    <row r="1704" spans="1:3" x14ac:dyDescent="0.25">
      <c r="A1704">
        <v>5623</v>
      </c>
      <c r="B1704" t="s">
        <v>3650</v>
      </c>
      <c r="C1704" t="s">
        <v>63</v>
      </c>
    </row>
    <row r="1705" spans="1:3" x14ac:dyDescent="0.25">
      <c r="A1705">
        <v>5624</v>
      </c>
      <c r="B1705" t="s">
        <v>3651</v>
      </c>
      <c r="C1705" t="s">
        <v>63</v>
      </c>
    </row>
    <row r="1706" spans="1:3" x14ac:dyDescent="0.25">
      <c r="A1706">
        <v>5627</v>
      </c>
      <c r="B1706" t="s">
        <v>3652</v>
      </c>
      <c r="C1706" t="s">
        <v>63</v>
      </c>
    </row>
    <row r="1707" spans="1:3" x14ac:dyDescent="0.25">
      <c r="A1707">
        <v>5628</v>
      </c>
      <c r="B1707" t="s">
        <v>3653</v>
      </c>
      <c r="C1707" t="s">
        <v>63</v>
      </c>
    </row>
    <row r="1708" spans="1:3" x14ac:dyDescent="0.25">
      <c r="A1708">
        <v>5629</v>
      </c>
      <c r="B1708" t="s">
        <v>3654</v>
      </c>
      <c r="C1708" t="s">
        <v>63</v>
      </c>
    </row>
    <row r="1709" spans="1:3" x14ac:dyDescent="0.25">
      <c r="A1709">
        <v>5631</v>
      </c>
      <c r="B1709" t="s">
        <v>3655</v>
      </c>
      <c r="C1709" t="s">
        <v>63</v>
      </c>
    </row>
    <row r="1710" spans="1:3" x14ac:dyDescent="0.25">
      <c r="A1710">
        <v>5632</v>
      </c>
      <c r="B1710" t="s">
        <v>3656</v>
      </c>
      <c r="C1710" t="s">
        <v>63</v>
      </c>
    </row>
    <row r="1711" spans="1:3" x14ac:dyDescent="0.25">
      <c r="A1711">
        <v>5633</v>
      </c>
      <c r="B1711" t="s">
        <v>3657</v>
      </c>
      <c r="C1711" t="s">
        <v>63</v>
      </c>
    </row>
    <row r="1712" spans="1:3" x14ac:dyDescent="0.25">
      <c r="A1712">
        <v>5634</v>
      </c>
      <c r="B1712" t="s">
        <v>3658</v>
      </c>
      <c r="C1712" t="s">
        <v>63</v>
      </c>
    </row>
    <row r="1713" spans="1:3" x14ac:dyDescent="0.25">
      <c r="A1713">
        <v>5635</v>
      </c>
      <c r="B1713" t="s">
        <v>3659</v>
      </c>
      <c r="C1713" t="s">
        <v>63</v>
      </c>
    </row>
    <row r="1714" spans="1:3" x14ac:dyDescent="0.25">
      <c r="A1714">
        <v>5636</v>
      </c>
      <c r="B1714" t="s">
        <v>3660</v>
      </c>
      <c r="C1714" t="s">
        <v>63</v>
      </c>
    </row>
    <row r="1715" spans="1:3" x14ac:dyDescent="0.25">
      <c r="A1715">
        <v>5637</v>
      </c>
      <c r="B1715" t="s">
        <v>3661</v>
      </c>
      <c r="C1715" t="s">
        <v>63</v>
      </c>
    </row>
    <row r="1716" spans="1:3" x14ac:dyDescent="0.25">
      <c r="A1716">
        <v>5638</v>
      </c>
      <c r="B1716" t="s">
        <v>3662</v>
      </c>
      <c r="C1716" t="s">
        <v>63</v>
      </c>
    </row>
    <row r="1717" spans="1:3" x14ac:dyDescent="0.25">
      <c r="A1717">
        <v>5639</v>
      </c>
      <c r="B1717" t="s">
        <v>3663</v>
      </c>
      <c r="C1717" t="s">
        <v>63</v>
      </c>
    </row>
    <row r="1718" spans="1:3" x14ac:dyDescent="0.25">
      <c r="A1718">
        <v>5640</v>
      </c>
      <c r="B1718" t="s">
        <v>3664</v>
      </c>
      <c r="C1718" t="s">
        <v>63</v>
      </c>
    </row>
    <row r="1719" spans="1:3" x14ac:dyDescent="0.25">
      <c r="A1719">
        <v>5642</v>
      </c>
      <c r="B1719" t="s">
        <v>3665</v>
      </c>
      <c r="C1719" t="s">
        <v>63</v>
      </c>
    </row>
    <row r="1720" spans="1:3" x14ac:dyDescent="0.25">
      <c r="A1720">
        <v>5643</v>
      </c>
      <c r="B1720" t="s">
        <v>3666</v>
      </c>
      <c r="C1720" t="s">
        <v>63</v>
      </c>
    </row>
    <row r="1721" spans="1:3" x14ac:dyDescent="0.25">
      <c r="A1721">
        <v>5645</v>
      </c>
      <c r="B1721" t="s">
        <v>3667</v>
      </c>
      <c r="C1721" t="s">
        <v>63</v>
      </c>
    </row>
    <row r="1722" spans="1:3" x14ac:dyDescent="0.25">
      <c r="A1722">
        <v>5646</v>
      </c>
      <c r="B1722" t="s">
        <v>3668</v>
      </c>
      <c r="C1722" t="s">
        <v>63</v>
      </c>
    </row>
    <row r="1723" spans="1:3" x14ac:dyDescent="0.25">
      <c r="A1723">
        <v>5648</v>
      </c>
      <c r="B1723" t="s">
        <v>3669</v>
      </c>
      <c r="C1723" t="s">
        <v>63</v>
      </c>
    </row>
    <row r="1724" spans="1:3" x14ac:dyDescent="0.25">
      <c r="A1724">
        <v>5649</v>
      </c>
      <c r="B1724" t="s">
        <v>3670</v>
      </c>
      <c r="C1724" t="s">
        <v>63</v>
      </c>
    </row>
    <row r="1725" spans="1:3" x14ac:dyDescent="0.25">
      <c r="A1725">
        <v>5650</v>
      </c>
      <c r="B1725" t="s">
        <v>3671</v>
      </c>
      <c r="C1725" t="s">
        <v>63</v>
      </c>
    </row>
    <row r="1726" spans="1:3" x14ac:dyDescent="0.25">
      <c r="A1726">
        <v>5651</v>
      </c>
      <c r="B1726" t="s">
        <v>3672</v>
      </c>
      <c r="C1726" t="s">
        <v>63</v>
      </c>
    </row>
    <row r="1727" spans="1:3" x14ac:dyDescent="0.25">
      <c r="A1727">
        <v>5652</v>
      </c>
      <c r="B1727" t="s">
        <v>3673</v>
      </c>
      <c r="C1727" t="s">
        <v>63</v>
      </c>
    </row>
    <row r="1728" spans="1:3" x14ac:dyDescent="0.25">
      <c r="A1728">
        <v>5653</v>
      </c>
      <c r="B1728" t="s">
        <v>3674</v>
      </c>
      <c r="C1728" t="s">
        <v>63</v>
      </c>
    </row>
    <row r="1729" spans="1:3" x14ac:dyDescent="0.25">
      <c r="A1729">
        <v>5654</v>
      </c>
      <c r="B1729" t="s">
        <v>3675</v>
      </c>
      <c r="C1729" t="s">
        <v>63</v>
      </c>
    </row>
    <row r="1730" spans="1:3" x14ac:dyDescent="0.25">
      <c r="A1730">
        <v>5655</v>
      </c>
      <c r="B1730" t="s">
        <v>3676</v>
      </c>
      <c r="C1730" t="s">
        <v>63</v>
      </c>
    </row>
    <row r="1731" spans="1:3" x14ac:dyDescent="0.25">
      <c r="A1731">
        <v>5656</v>
      </c>
      <c r="B1731" t="s">
        <v>3677</v>
      </c>
      <c r="C1731" t="s">
        <v>63</v>
      </c>
    </row>
    <row r="1732" spans="1:3" x14ac:dyDescent="0.25">
      <c r="A1732">
        <v>5661</v>
      </c>
      <c r="B1732" t="s">
        <v>3678</v>
      </c>
      <c r="C1732" t="s">
        <v>63</v>
      </c>
    </row>
    <row r="1733" spans="1:3" x14ac:dyDescent="0.25">
      <c r="A1733">
        <v>5663</v>
      </c>
      <c r="B1733" t="s">
        <v>3679</v>
      </c>
      <c r="C1733" t="s">
        <v>63</v>
      </c>
    </row>
    <row r="1734" spans="1:3" x14ac:dyDescent="0.25">
      <c r="A1734">
        <v>5665</v>
      </c>
      <c r="B1734" t="s">
        <v>3680</v>
      </c>
      <c r="C1734" t="s">
        <v>63</v>
      </c>
    </row>
    <row r="1735" spans="1:3" x14ac:dyDescent="0.25">
      <c r="A1735">
        <v>5669</v>
      </c>
      <c r="B1735" t="s">
        <v>3681</v>
      </c>
      <c r="C1735" t="s">
        <v>63</v>
      </c>
    </row>
    <row r="1736" spans="1:3" x14ac:dyDescent="0.25">
      <c r="A1736">
        <v>5671</v>
      </c>
      <c r="B1736" t="s">
        <v>3682</v>
      </c>
      <c r="C1736" t="s">
        <v>63</v>
      </c>
    </row>
    <row r="1737" spans="1:3" x14ac:dyDescent="0.25">
      <c r="A1737">
        <v>5673</v>
      </c>
      <c r="B1737" t="s">
        <v>3683</v>
      </c>
      <c r="C1737" t="s">
        <v>63</v>
      </c>
    </row>
    <row r="1738" spans="1:3" x14ac:dyDescent="0.25">
      <c r="A1738">
        <v>5674</v>
      </c>
      <c r="B1738" t="s">
        <v>3684</v>
      </c>
      <c r="C1738" t="s">
        <v>63</v>
      </c>
    </row>
    <row r="1739" spans="1:3" x14ac:dyDescent="0.25">
      <c r="A1739">
        <v>5675</v>
      </c>
      <c r="B1739" t="s">
        <v>3685</v>
      </c>
      <c r="C1739" t="s">
        <v>63</v>
      </c>
    </row>
    <row r="1740" spans="1:3" x14ac:dyDescent="0.25">
      <c r="A1740">
        <v>5678</v>
      </c>
      <c r="B1740" t="s">
        <v>3686</v>
      </c>
      <c r="C1740" t="s">
        <v>63</v>
      </c>
    </row>
    <row r="1741" spans="1:3" x14ac:dyDescent="0.25">
      <c r="A1741">
        <v>5680</v>
      </c>
      <c r="B1741" t="s">
        <v>3687</v>
      </c>
      <c r="C1741" t="s">
        <v>63</v>
      </c>
    </row>
    <row r="1742" spans="1:3" x14ac:dyDescent="0.25">
      <c r="A1742">
        <v>5683</v>
      </c>
      <c r="B1742" t="s">
        <v>3688</v>
      </c>
      <c r="C1742" t="s">
        <v>63</v>
      </c>
    </row>
    <row r="1743" spans="1:3" x14ac:dyDescent="0.25">
      <c r="A1743">
        <v>5684</v>
      </c>
      <c r="B1743" t="s">
        <v>3689</v>
      </c>
      <c r="C1743" t="s">
        <v>63</v>
      </c>
    </row>
    <row r="1744" spans="1:3" x14ac:dyDescent="0.25">
      <c r="A1744">
        <v>5688</v>
      </c>
      <c r="B1744" t="s">
        <v>3690</v>
      </c>
      <c r="C1744" t="s">
        <v>63</v>
      </c>
    </row>
    <row r="1745" spans="1:3" x14ac:dyDescent="0.25">
      <c r="A1745">
        <v>5690</v>
      </c>
      <c r="B1745" t="s">
        <v>3691</v>
      </c>
      <c r="C1745" t="s">
        <v>63</v>
      </c>
    </row>
    <row r="1746" spans="1:3" x14ac:dyDescent="0.25">
      <c r="A1746">
        <v>5692</v>
      </c>
      <c r="B1746" t="s">
        <v>3692</v>
      </c>
      <c r="C1746" t="s">
        <v>63</v>
      </c>
    </row>
    <row r="1747" spans="1:3" x14ac:dyDescent="0.25">
      <c r="A1747">
        <v>5693</v>
      </c>
      <c r="B1747" t="s">
        <v>3693</v>
      </c>
      <c r="C1747" t="s">
        <v>63</v>
      </c>
    </row>
    <row r="1748" spans="1:3" x14ac:dyDescent="0.25">
      <c r="A1748">
        <v>5701</v>
      </c>
      <c r="B1748" t="s">
        <v>3694</v>
      </c>
      <c r="C1748" t="s">
        <v>63</v>
      </c>
    </row>
    <row r="1749" spans="1:3" x14ac:dyDescent="0.25">
      <c r="A1749">
        <v>5702</v>
      </c>
      <c r="B1749" t="s">
        <v>3695</v>
      </c>
      <c r="C1749" t="s">
        <v>63</v>
      </c>
    </row>
    <row r="1750" spans="1:3" x14ac:dyDescent="0.25">
      <c r="A1750">
        <v>5703</v>
      </c>
      <c r="B1750" t="s">
        <v>3696</v>
      </c>
      <c r="C1750" t="s">
        <v>63</v>
      </c>
    </row>
    <row r="1751" spans="1:3" x14ac:dyDescent="0.25">
      <c r="A1751">
        <v>5704</v>
      </c>
      <c r="B1751" t="s">
        <v>3697</v>
      </c>
      <c r="C1751" t="s">
        <v>63</v>
      </c>
    </row>
    <row r="1752" spans="1:3" x14ac:dyDescent="0.25">
      <c r="A1752">
        <v>5705</v>
      </c>
      <c r="B1752" t="s">
        <v>3698</v>
      </c>
      <c r="C1752" t="s">
        <v>63</v>
      </c>
    </row>
    <row r="1753" spans="1:3" x14ac:dyDescent="0.25">
      <c r="A1753">
        <v>5706</v>
      </c>
      <c r="B1753" t="s">
        <v>3699</v>
      </c>
      <c r="C1753" t="s">
        <v>63</v>
      </c>
    </row>
    <row r="1754" spans="1:3" x14ac:dyDescent="0.25">
      <c r="A1754">
        <v>5707</v>
      </c>
      <c r="B1754" t="s">
        <v>3700</v>
      </c>
      <c r="C1754" t="s">
        <v>63</v>
      </c>
    </row>
    <row r="1755" spans="1:3" x14ac:dyDescent="0.25">
      <c r="A1755">
        <v>5708</v>
      </c>
      <c r="B1755" t="s">
        <v>3701</v>
      </c>
      <c r="C1755" t="s">
        <v>63</v>
      </c>
    </row>
    <row r="1756" spans="1:3" x14ac:dyDescent="0.25">
      <c r="A1756">
        <v>5709</v>
      </c>
      <c r="B1756" t="s">
        <v>3702</v>
      </c>
      <c r="C1756" t="s">
        <v>63</v>
      </c>
    </row>
    <row r="1757" spans="1:3" x14ac:dyDescent="0.25">
      <c r="A1757">
        <v>5710</v>
      </c>
      <c r="B1757" t="s">
        <v>3703</v>
      </c>
      <c r="C1757" t="s">
        <v>63</v>
      </c>
    </row>
    <row r="1758" spans="1:3" x14ac:dyDescent="0.25">
      <c r="A1758">
        <v>5711</v>
      </c>
      <c r="B1758" t="s">
        <v>3704</v>
      </c>
      <c r="C1758" t="s">
        <v>63</v>
      </c>
    </row>
    <row r="1759" spans="1:3" x14ac:dyDescent="0.25">
      <c r="A1759">
        <v>5712</v>
      </c>
      <c r="B1759" t="s">
        <v>3705</v>
      </c>
      <c r="C1759" t="s">
        <v>63</v>
      </c>
    </row>
    <row r="1760" spans="1:3" x14ac:dyDescent="0.25">
      <c r="A1760">
        <v>5713</v>
      </c>
      <c r="B1760" t="s">
        <v>3706</v>
      </c>
      <c r="C1760" t="s">
        <v>63</v>
      </c>
    </row>
    <row r="1761" spans="1:3" x14ac:dyDescent="0.25">
      <c r="A1761">
        <v>5714</v>
      </c>
      <c r="B1761" t="s">
        <v>3707</v>
      </c>
      <c r="C1761" t="s">
        <v>63</v>
      </c>
    </row>
    <row r="1762" spans="1:3" x14ac:dyDescent="0.25">
      <c r="A1762">
        <v>5715</v>
      </c>
      <c r="B1762" t="s">
        <v>3708</v>
      </c>
      <c r="C1762" t="s">
        <v>63</v>
      </c>
    </row>
    <row r="1763" spans="1:3" x14ac:dyDescent="0.25">
      <c r="A1763">
        <v>5716</v>
      </c>
      <c r="B1763" t="s">
        <v>3709</v>
      </c>
      <c r="C1763" t="s">
        <v>63</v>
      </c>
    </row>
    <row r="1764" spans="1:3" x14ac:dyDescent="0.25">
      <c r="A1764">
        <v>5717</v>
      </c>
      <c r="B1764" t="s">
        <v>3710</v>
      </c>
      <c r="C1764" t="s">
        <v>63</v>
      </c>
    </row>
    <row r="1765" spans="1:3" x14ac:dyDescent="0.25">
      <c r="A1765">
        <v>5718</v>
      </c>
      <c r="B1765" t="s">
        <v>3711</v>
      </c>
      <c r="C1765" t="s">
        <v>63</v>
      </c>
    </row>
    <row r="1766" spans="1:3" x14ac:dyDescent="0.25">
      <c r="A1766">
        <v>5719</v>
      </c>
      <c r="B1766" t="s">
        <v>3712</v>
      </c>
      <c r="C1766" t="s">
        <v>63</v>
      </c>
    </row>
    <row r="1767" spans="1:3" x14ac:dyDescent="0.25">
      <c r="A1767">
        <v>5720</v>
      </c>
      <c r="B1767" t="s">
        <v>3713</v>
      </c>
      <c r="C1767" t="s">
        <v>63</v>
      </c>
    </row>
    <row r="1768" spans="1:3" x14ac:dyDescent="0.25">
      <c r="A1768">
        <v>5721</v>
      </c>
      <c r="B1768" t="s">
        <v>3714</v>
      </c>
      <c r="C1768" t="s">
        <v>63</v>
      </c>
    </row>
    <row r="1769" spans="1:3" x14ac:dyDescent="0.25">
      <c r="A1769">
        <v>5722</v>
      </c>
      <c r="B1769" t="s">
        <v>3715</v>
      </c>
      <c r="C1769" t="s">
        <v>63</v>
      </c>
    </row>
    <row r="1770" spans="1:3" x14ac:dyDescent="0.25">
      <c r="A1770">
        <v>5723</v>
      </c>
      <c r="B1770" t="s">
        <v>3716</v>
      </c>
      <c r="C1770" t="s">
        <v>63</v>
      </c>
    </row>
    <row r="1771" spans="1:3" x14ac:dyDescent="0.25">
      <c r="A1771">
        <v>5724</v>
      </c>
      <c r="B1771" t="s">
        <v>3717</v>
      </c>
      <c r="C1771" t="s">
        <v>63</v>
      </c>
    </row>
    <row r="1772" spans="1:3" x14ac:dyDescent="0.25">
      <c r="A1772">
        <v>5725</v>
      </c>
      <c r="B1772" t="s">
        <v>3718</v>
      </c>
      <c r="C1772" t="s">
        <v>63</v>
      </c>
    </row>
    <row r="1773" spans="1:3" x14ac:dyDescent="0.25">
      <c r="A1773">
        <v>5726</v>
      </c>
      <c r="B1773" t="s">
        <v>3719</v>
      </c>
      <c r="C1773" t="s">
        <v>63</v>
      </c>
    </row>
    <row r="1774" spans="1:3" x14ac:dyDescent="0.25">
      <c r="A1774">
        <v>5727</v>
      </c>
      <c r="B1774" t="s">
        <v>3720</v>
      </c>
      <c r="C1774" t="s">
        <v>63</v>
      </c>
    </row>
    <row r="1775" spans="1:3" x14ac:dyDescent="0.25">
      <c r="A1775">
        <v>5728</v>
      </c>
      <c r="B1775" t="s">
        <v>3721</v>
      </c>
      <c r="C1775" t="s">
        <v>63</v>
      </c>
    </row>
    <row r="1776" spans="1:3" x14ac:dyDescent="0.25">
      <c r="A1776">
        <v>5729</v>
      </c>
      <c r="B1776" t="s">
        <v>3722</v>
      </c>
      <c r="C1776" t="s">
        <v>63</v>
      </c>
    </row>
    <row r="1777" spans="1:3" x14ac:dyDescent="0.25">
      <c r="A1777">
        <v>5730</v>
      </c>
      <c r="B1777" t="s">
        <v>3723</v>
      </c>
      <c r="C1777" t="s">
        <v>63</v>
      </c>
    </row>
    <row r="1778" spans="1:3" x14ac:dyDescent="0.25">
      <c r="A1778">
        <v>5731</v>
      </c>
      <c r="B1778" t="s">
        <v>3724</v>
      </c>
      <c r="C1778" t="s">
        <v>63</v>
      </c>
    </row>
    <row r="1779" spans="1:3" x14ac:dyDescent="0.25">
      <c r="A1779">
        <v>5732</v>
      </c>
      <c r="B1779" t="s">
        <v>3725</v>
      </c>
      <c r="C1779" t="s">
        <v>63</v>
      </c>
    </row>
    <row r="1780" spans="1:3" x14ac:dyDescent="0.25">
      <c r="A1780">
        <v>5741</v>
      </c>
      <c r="B1780" t="s">
        <v>3726</v>
      </c>
      <c r="C1780" t="s">
        <v>63</v>
      </c>
    </row>
    <row r="1781" spans="1:3" x14ac:dyDescent="0.25">
      <c r="A1781">
        <v>5742</v>
      </c>
      <c r="B1781" t="s">
        <v>3727</v>
      </c>
      <c r="C1781" t="s">
        <v>63</v>
      </c>
    </row>
    <row r="1782" spans="1:3" x14ac:dyDescent="0.25">
      <c r="A1782">
        <v>5743</v>
      </c>
      <c r="B1782" t="s">
        <v>3728</v>
      </c>
      <c r="C1782" t="s">
        <v>63</v>
      </c>
    </row>
    <row r="1783" spans="1:3" x14ac:dyDescent="0.25">
      <c r="A1783">
        <v>5744</v>
      </c>
      <c r="B1783" t="s">
        <v>3729</v>
      </c>
      <c r="C1783" t="s">
        <v>63</v>
      </c>
    </row>
    <row r="1784" spans="1:3" x14ac:dyDescent="0.25">
      <c r="A1784">
        <v>5745</v>
      </c>
      <c r="B1784" t="s">
        <v>3730</v>
      </c>
      <c r="C1784" t="s">
        <v>63</v>
      </c>
    </row>
    <row r="1785" spans="1:3" x14ac:dyDescent="0.25">
      <c r="A1785">
        <v>5746</v>
      </c>
      <c r="B1785" t="s">
        <v>3731</v>
      </c>
      <c r="C1785" t="s">
        <v>63</v>
      </c>
    </row>
    <row r="1786" spans="1:3" x14ac:dyDescent="0.25">
      <c r="A1786">
        <v>5747</v>
      </c>
      <c r="B1786" t="s">
        <v>3732</v>
      </c>
      <c r="C1786" t="s">
        <v>63</v>
      </c>
    </row>
    <row r="1787" spans="1:3" x14ac:dyDescent="0.25">
      <c r="A1787">
        <v>5748</v>
      </c>
      <c r="B1787" t="s">
        <v>3733</v>
      </c>
      <c r="C1787" t="s">
        <v>63</v>
      </c>
    </row>
    <row r="1788" spans="1:3" x14ac:dyDescent="0.25">
      <c r="A1788">
        <v>5749</v>
      </c>
      <c r="B1788" t="s">
        <v>3734</v>
      </c>
      <c r="C1788" t="s">
        <v>63</v>
      </c>
    </row>
    <row r="1789" spans="1:3" x14ac:dyDescent="0.25">
      <c r="A1789">
        <v>5750</v>
      </c>
      <c r="B1789" t="s">
        <v>3735</v>
      </c>
      <c r="C1789" t="s">
        <v>63</v>
      </c>
    </row>
    <row r="1790" spans="1:3" x14ac:dyDescent="0.25">
      <c r="A1790">
        <v>5752</v>
      </c>
      <c r="B1790" t="s">
        <v>3736</v>
      </c>
      <c r="C1790" t="s">
        <v>63</v>
      </c>
    </row>
    <row r="1791" spans="1:3" x14ac:dyDescent="0.25">
      <c r="A1791">
        <v>5754</v>
      </c>
      <c r="B1791" t="s">
        <v>3737</v>
      </c>
      <c r="C1791" t="s">
        <v>63</v>
      </c>
    </row>
    <row r="1792" spans="1:3" x14ac:dyDescent="0.25">
      <c r="A1792">
        <v>5755</v>
      </c>
      <c r="B1792" t="s">
        <v>3738</v>
      </c>
      <c r="C1792" t="s">
        <v>63</v>
      </c>
    </row>
    <row r="1793" spans="1:3" x14ac:dyDescent="0.25">
      <c r="A1793">
        <v>5756</v>
      </c>
      <c r="B1793" t="s">
        <v>3739</v>
      </c>
      <c r="C1793" t="s">
        <v>63</v>
      </c>
    </row>
    <row r="1794" spans="1:3" x14ac:dyDescent="0.25">
      <c r="A1794">
        <v>5757</v>
      </c>
      <c r="B1794" t="s">
        <v>3740</v>
      </c>
      <c r="C1794" t="s">
        <v>63</v>
      </c>
    </row>
    <row r="1795" spans="1:3" x14ac:dyDescent="0.25">
      <c r="A1795">
        <v>5758</v>
      </c>
      <c r="B1795" t="s">
        <v>3741</v>
      </c>
      <c r="C1795" t="s">
        <v>63</v>
      </c>
    </row>
    <row r="1796" spans="1:3" x14ac:dyDescent="0.25">
      <c r="A1796">
        <v>5759</v>
      </c>
      <c r="B1796" t="s">
        <v>3742</v>
      </c>
      <c r="C1796" t="s">
        <v>63</v>
      </c>
    </row>
    <row r="1797" spans="1:3" x14ac:dyDescent="0.25">
      <c r="A1797">
        <v>5760</v>
      </c>
      <c r="B1797" t="s">
        <v>3743</v>
      </c>
      <c r="C1797" t="s">
        <v>63</v>
      </c>
    </row>
    <row r="1798" spans="1:3" x14ac:dyDescent="0.25">
      <c r="A1798">
        <v>5761</v>
      </c>
      <c r="B1798" t="s">
        <v>3744</v>
      </c>
      <c r="C1798" t="s">
        <v>63</v>
      </c>
    </row>
    <row r="1799" spans="1:3" x14ac:dyDescent="0.25">
      <c r="A1799">
        <v>5762</v>
      </c>
      <c r="B1799" t="s">
        <v>3745</v>
      </c>
      <c r="C1799" t="s">
        <v>63</v>
      </c>
    </row>
    <row r="1800" spans="1:3" x14ac:dyDescent="0.25">
      <c r="A1800">
        <v>5763</v>
      </c>
      <c r="B1800" t="s">
        <v>3746</v>
      </c>
      <c r="C1800" t="s">
        <v>63</v>
      </c>
    </row>
    <row r="1801" spans="1:3" x14ac:dyDescent="0.25">
      <c r="A1801">
        <v>5764</v>
      </c>
      <c r="B1801" t="s">
        <v>3747</v>
      </c>
      <c r="C1801" t="s">
        <v>63</v>
      </c>
    </row>
    <row r="1802" spans="1:3" x14ac:dyDescent="0.25">
      <c r="A1802">
        <v>5765</v>
      </c>
      <c r="B1802" t="s">
        <v>3748</v>
      </c>
      <c r="C1802" t="s">
        <v>63</v>
      </c>
    </row>
    <row r="1803" spans="1:3" x14ac:dyDescent="0.25">
      <c r="A1803">
        <v>5766</v>
      </c>
      <c r="B1803" t="s">
        <v>3749</v>
      </c>
      <c r="C1803" t="s">
        <v>63</v>
      </c>
    </row>
    <row r="1804" spans="1:3" x14ac:dyDescent="0.25">
      <c r="A1804">
        <v>5785</v>
      </c>
      <c r="B1804" t="s">
        <v>3750</v>
      </c>
      <c r="C1804" t="s">
        <v>63</v>
      </c>
    </row>
    <row r="1805" spans="1:3" x14ac:dyDescent="0.25">
      <c r="A1805">
        <v>5790</v>
      </c>
      <c r="B1805" t="s">
        <v>3751</v>
      </c>
      <c r="C1805" t="s">
        <v>63</v>
      </c>
    </row>
    <row r="1806" spans="1:3" x14ac:dyDescent="0.25">
      <c r="A1806">
        <v>5792</v>
      </c>
      <c r="B1806" t="s">
        <v>3752</v>
      </c>
      <c r="C1806" t="s">
        <v>63</v>
      </c>
    </row>
    <row r="1807" spans="1:3" x14ac:dyDescent="0.25">
      <c r="A1807">
        <v>5798</v>
      </c>
      <c r="B1807" t="s">
        <v>3753</v>
      </c>
      <c r="C1807" t="s">
        <v>63</v>
      </c>
    </row>
    <row r="1808" spans="1:3" x14ac:dyDescent="0.25">
      <c r="A1808">
        <v>5799</v>
      </c>
      <c r="B1808" t="s">
        <v>3754</v>
      </c>
      <c r="C1808" t="s">
        <v>63</v>
      </c>
    </row>
    <row r="1809" spans="1:3" x14ac:dyDescent="0.25">
      <c r="A1809">
        <v>5803</v>
      </c>
      <c r="B1809" t="s">
        <v>3755</v>
      </c>
      <c r="C1809" t="s">
        <v>63</v>
      </c>
    </row>
    <row r="1810" spans="1:3" x14ac:dyDescent="0.25">
      <c r="A1810">
        <v>5804</v>
      </c>
      <c r="B1810" t="s">
        <v>3756</v>
      </c>
      <c r="C1810" t="s">
        <v>63</v>
      </c>
    </row>
    <row r="1811" spans="1:3" x14ac:dyDescent="0.25">
      <c r="A1811">
        <v>5805</v>
      </c>
      <c r="B1811" t="s">
        <v>3757</v>
      </c>
      <c r="C1811" t="s">
        <v>63</v>
      </c>
    </row>
    <row r="1812" spans="1:3" x14ac:dyDescent="0.25">
      <c r="A1812">
        <v>5806</v>
      </c>
      <c r="B1812" t="s">
        <v>3758</v>
      </c>
      <c r="C1812" t="s">
        <v>63</v>
      </c>
    </row>
    <row r="1813" spans="1:3" x14ac:dyDescent="0.25">
      <c r="A1813">
        <v>5812</v>
      </c>
      <c r="B1813" t="s">
        <v>3759</v>
      </c>
      <c r="C1813" t="s">
        <v>63</v>
      </c>
    </row>
    <row r="1814" spans="1:3" x14ac:dyDescent="0.25">
      <c r="A1814">
        <v>5813</v>
      </c>
      <c r="B1814" t="s">
        <v>3760</v>
      </c>
      <c r="C1814" t="s">
        <v>63</v>
      </c>
    </row>
    <row r="1815" spans="1:3" x14ac:dyDescent="0.25">
      <c r="A1815">
        <v>5816</v>
      </c>
      <c r="B1815" t="s">
        <v>3761</v>
      </c>
      <c r="C1815" t="s">
        <v>63</v>
      </c>
    </row>
    <row r="1816" spans="1:3" x14ac:dyDescent="0.25">
      <c r="A1816">
        <v>5817</v>
      </c>
      <c r="B1816" t="s">
        <v>3762</v>
      </c>
      <c r="C1816" t="s">
        <v>63</v>
      </c>
    </row>
    <row r="1817" spans="1:3" x14ac:dyDescent="0.25">
      <c r="A1817">
        <v>5819</v>
      </c>
      <c r="B1817" t="s">
        <v>3763</v>
      </c>
      <c r="C1817" t="s">
        <v>63</v>
      </c>
    </row>
    <row r="1818" spans="1:3" x14ac:dyDescent="0.25">
      <c r="A1818">
        <v>5821</v>
      </c>
      <c r="B1818" t="s">
        <v>3764</v>
      </c>
      <c r="C1818" t="s">
        <v>63</v>
      </c>
    </row>
    <row r="1819" spans="1:3" x14ac:dyDescent="0.25">
      <c r="A1819">
        <v>5822</v>
      </c>
      <c r="B1819" t="s">
        <v>3765</v>
      </c>
      <c r="C1819" t="s">
        <v>63</v>
      </c>
    </row>
    <row r="1820" spans="1:3" x14ac:dyDescent="0.25">
      <c r="A1820">
        <v>5827</v>
      </c>
      <c r="B1820" t="s">
        <v>3766</v>
      </c>
      <c r="C1820" t="s">
        <v>63</v>
      </c>
    </row>
    <row r="1821" spans="1:3" x14ac:dyDescent="0.25">
      <c r="A1821">
        <v>5828</v>
      </c>
      <c r="B1821" t="s">
        <v>3767</v>
      </c>
      <c r="C1821" t="s">
        <v>63</v>
      </c>
    </row>
    <row r="1822" spans="1:3" x14ac:dyDescent="0.25">
      <c r="A1822">
        <v>5830</v>
      </c>
      <c r="B1822" t="s">
        <v>3768</v>
      </c>
      <c r="C1822" t="s">
        <v>63</v>
      </c>
    </row>
    <row r="1823" spans="1:3" x14ac:dyDescent="0.25">
      <c r="A1823">
        <v>5831</v>
      </c>
      <c r="B1823" t="s">
        <v>3769</v>
      </c>
      <c r="C1823" t="s">
        <v>63</v>
      </c>
    </row>
    <row r="1824" spans="1:3" x14ac:dyDescent="0.25">
      <c r="A1824">
        <v>5841</v>
      </c>
      <c r="B1824" t="s">
        <v>3770</v>
      </c>
      <c r="C1824" t="s">
        <v>63</v>
      </c>
    </row>
    <row r="1825" spans="1:3" x14ac:dyDescent="0.25">
      <c r="A1825">
        <v>5842</v>
      </c>
      <c r="B1825" t="s">
        <v>3771</v>
      </c>
      <c r="C1825" t="s">
        <v>63</v>
      </c>
    </row>
    <row r="1826" spans="1:3" x14ac:dyDescent="0.25">
      <c r="A1826">
        <v>5843</v>
      </c>
      <c r="B1826" t="s">
        <v>3772</v>
      </c>
      <c r="C1826" t="s">
        <v>63</v>
      </c>
    </row>
    <row r="1827" spans="1:3" x14ac:dyDescent="0.25">
      <c r="A1827">
        <v>5851</v>
      </c>
      <c r="B1827" t="s">
        <v>3773</v>
      </c>
      <c r="C1827" t="s">
        <v>63</v>
      </c>
    </row>
    <row r="1828" spans="1:3" x14ac:dyDescent="0.25">
      <c r="A1828">
        <v>5852</v>
      </c>
      <c r="B1828" t="s">
        <v>3774</v>
      </c>
      <c r="C1828" t="s">
        <v>63</v>
      </c>
    </row>
    <row r="1829" spans="1:3" x14ac:dyDescent="0.25">
      <c r="A1829">
        <v>5853</v>
      </c>
      <c r="B1829" t="s">
        <v>3775</v>
      </c>
      <c r="C1829" t="s">
        <v>63</v>
      </c>
    </row>
    <row r="1830" spans="1:3" x14ac:dyDescent="0.25">
      <c r="A1830">
        <v>5854</v>
      </c>
      <c r="B1830" t="s">
        <v>3776</v>
      </c>
      <c r="C1830" t="s">
        <v>63</v>
      </c>
    </row>
    <row r="1831" spans="1:3" x14ac:dyDescent="0.25">
      <c r="A1831">
        <v>5855</v>
      </c>
      <c r="B1831" t="s">
        <v>3777</v>
      </c>
      <c r="C1831" t="s">
        <v>63</v>
      </c>
    </row>
    <row r="1832" spans="1:3" x14ac:dyDescent="0.25">
      <c r="A1832">
        <v>5856</v>
      </c>
      <c r="B1832" t="s">
        <v>3778</v>
      </c>
      <c r="C1832" t="s">
        <v>63</v>
      </c>
    </row>
    <row r="1833" spans="1:3" x14ac:dyDescent="0.25">
      <c r="A1833">
        <v>5857</v>
      </c>
      <c r="B1833" t="s">
        <v>3779</v>
      </c>
      <c r="C1833" t="s">
        <v>63</v>
      </c>
    </row>
    <row r="1834" spans="1:3" x14ac:dyDescent="0.25">
      <c r="A1834">
        <v>5858</v>
      </c>
      <c r="B1834" t="s">
        <v>3780</v>
      </c>
      <c r="C1834" t="s">
        <v>63</v>
      </c>
    </row>
    <row r="1835" spans="1:3" x14ac:dyDescent="0.25">
      <c r="A1835">
        <v>5859</v>
      </c>
      <c r="B1835" t="s">
        <v>3781</v>
      </c>
      <c r="C1835" t="s">
        <v>63</v>
      </c>
    </row>
    <row r="1836" spans="1:3" x14ac:dyDescent="0.25">
      <c r="A1836">
        <v>5860</v>
      </c>
      <c r="B1836" t="s">
        <v>3782</v>
      </c>
      <c r="C1836" t="s">
        <v>63</v>
      </c>
    </row>
    <row r="1837" spans="1:3" x14ac:dyDescent="0.25">
      <c r="A1837">
        <v>5861</v>
      </c>
      <c r="B1837" t="s">
        <v>3783</v>
      </c>
      <c r="C1837" t="s">
        <v>63</v>
      </c>
    </row>
    <row r="1838" spans="1:3" x14ac:dyDescent="0.25">
      <c r="A1838">
        <v>5862</v>
      </c>
      <c r="B1838" t="s">
        <v>3784</v>
      </c>
      <c r="C1838" t="s">
        <v>63</v>
      </c>
    </row>
    <row r="1839" spans="1:3" x14ac:dyDescent="0.25">
      <c r="A1839">
        <v>5863</v>
      </c>
      <c r="B1839" t="s">
        <v>3785</v>
      </c>
      <c r="C1839" t="s">
        <v>63</v>
      </c>
    </row>
    <row r="1840" spans="1:3" x14ac:dyDescent="0.25">
      <c r="A1840">
        <v>5871</v>
      </c>
      <c r="B1840" t="s">
        <v>3786</v>
      </c>
      <c r="C1840" t="s">
        <v>63</v>
      </c>
    </row>
    <row r="1841" spans="1:3" x14ac:dyDescent="0.25">
      <c r="A1841">
        <v>5872</v>
      </c>
      <c r="B1841" t="s">
        <v>3787</v>
      </c>
      <c r="C1841" t="s">
        <v>63</v>
      </c>
    </row>
    <row r="1842" spans="1:3" x14ac:dyDescent="0.25">
      <c r="A1842">
        <v>5873</v>
      </c>
      <c r="B1842" t="s">
        <v>3788</v>
      </c>
      <c r="C1842" t="s">
        <v>63</v>
      </c>
    </row>
    <row r="1843" spans="1:3" x14ac:dyDescent="0.25">
      <c r="A1843">
        <v>5882</v>
      </c>
      <c r="B1843" t="s">
        <v>3789</v>
      </c>
      <c r="C1843" t="s">
        <v>63</v>
      </c>
    </row>
    <row r="1844" spans="1:3" x14ac:dyDescent="0.25">
      <c r="A1844">
        <v>5883</v>
      </c>
      <c r="B1844" t="s">
        <v>3790</v>
      </c>
      <c r="C1844" t="s">
        <v>63</v>
      </c>
    </row>
    <row r="1845" spans="1:3" x14ac:dyDescent="0.25">
      <c r="A1845">
        <v>5884</v>
      </c>
      <c r="B1845" t="s">
        <v>3791</v>
      </c>
      <c r="C1845" t="s">
        <v>63</v>
      </c>
    </row>
    <row r="1846" spans="1:3" x14ac:dyDescent="0.25">
      <c r="A1846">
        <v>5885</v>
      </c>
      <c r="B1846" t="s">
        <v>3792</v>
      </c>
      <c r="C1846" t="s">
        <v>63</v>
      </c>
    </row>
    <row r="1847" spans="1:3" x14ac:dyDescent="0.25">
      <c r="A1847">
        <v>5886</v>
      </c>
      <c r="B1847" t="s">
        <v>3793</v>
      </c>
      <c r="C1847" t="s">
        <v>63</v>
      </c>
    </row>
    <row r="1848" spans="1:3" x14ac:dyDescent="0.25">
      <c r="A1848">
        <v>5889</v>
      </c>
      <c r="B1848" t="s">
        <v>3794</v>
      </c>
      <c r="C1848" t="s">
        <v>63</v>
      </c>
    </row>
    <row r="1849" spans="1:3" x14ac:dyDescent="0.25">
      <c r="A1849">
        <v>5890</v>
      </c>
      <c r="B1849" t="s">
        <v>3795</v>
      </c>
      <c r="C1849" t="s">
        <v>63</v>
      </c>
    </row>
    <row r="1850" spans="1:3" x14ac:dyDescent="0.25">
      <c r="A1850">
        <v>5891</v>
      </c>
      <c r="B1850" t="s">
        <v>3796</v>
      </c>
      <c r="C1850" t="s">
        <v>63</v>
      </c>
    </row>
    <row r="1851" spans="1:3" x14ac:dyDescent="0.25">
      <c r="A1851">
        <v>5892</v>
      </c>
      <c r="B1851" t="s">
        <v>3797</v>
      </c>
      <c r="C1851" t="s">
        <v>63</v>
      </c>
    </row>
    <row r="1852" spans="1:3" x14ac:dyDescent="0.25">
      <c r="A1852">
        <v>5902</v>
      </c>
      <c r="B1852" t="s">
        <v>3798</v>
      </c>
      <c r="C1852" t="s">
        <v>63</v>
      </c>
    </row>
    <row r="1853" spans="1:3" x14ac:dyDescent="0.25">
      <c r="A1853">
        <v>5903</v>
      </c>
      <c r="B1853" t="s">
        <v>3799</v>
      </c>
      <c r="C1853" t="s">
        <v>63</v>
      </c>
    </row>
    <row r="1854" spans="1:3" x14ac:dyDescent="0.25">
      <c r="A1854">
        <v>5904</v>
      </c>
      <c r="B1854" t="s">
        <v>3800</v>
      </c>
      <c r="C1854" t="s">
        <v>63</v>
      </c>
    </row>
    <row r="1855" spans="1:3" x14ac:dyDescent="0.25">
      <c r="A1855">
        <v>5905</v>
      </c>
      <c r="B1855" t="s">
        <v>3801</v>
      </c>
      <c r="C1855" t="s">
        <v>63</v>
      </c>
    </row>
    <row r="1856" spans="1:3" x14ac:dyDescent="0.25">
      <c r="A1856">
        <v>5907</v>
      </c>
      <c r="B1856" t="s">
        <v>3802</v>
      </c>
      <c r="C1856" t="s">
        <v>63</v>
      </c>
    </row>
    <row r="1857" spans="1:3" x14ac:dyDescent="0.25">
      <c r="A1857">
        <v>5908</v>
      </c>
      <c r="B1857" t="s">
        <v>3803</v>
      </c>
      <c r="C1857" t="s">
        <v>63</v>
      </c>
    </row>
    <row r="1858" spans="1:3" x14ac:dyDescent="0.25">
      <c r="A1858">
        <v>5909</v>
      </c>
      <c r="B1858" t="s">
        <v>3804</v>
      </c>
      <c r="C1858" t="s">
        <v>63</v>
      </c>
    </row>
    <row r="1859" spans="1:3" x14ac:dyDescent="0.25">
      <c r="A1859">
        <v>5910</v>
      </c>
      <c r="B1859" t="s">
        <v>3805</v>
      </c>
      <c r="C1859" t="s">
        <v>63</v>
      </c>
    </row>
    <row r="1860" spans="1:3" x14ac:dyDescent="0.25">
      <c r="A1860">
        <v>5911</v>
      </c>
      <c r="B1860" t="s">
        <v>3806</v>
      </c>
      <c r="C1860" t="s">
        <v>63</v>
      </c>
    </row>
    <row r="1861" spans="1:3" x14ac:dyDescent="0.25">
      <c r="A1861">
        <v>5912</v>
      </c>
      <c r="B1861" t="s">
        <v>3807</v>
      </c>
      <c r="C1861" t="s">
        <v>63</v>
      </c>
    </row>
    <row r="1862" spans="1:3" x14ac:dyDescent="0.25">
      <c r="A1862">
        <v>5913</v>
      </c>
      <c r="B1862" t="s">
        <v>3808</v>
      </c>
      <c r="C1862" t="s">
        <v>63</v>
      </c>
    </row>
    <row r="1863" spans="1:3" x14ac:dyDescent="0.25">
      <c r="A1863">
        <v>5914</v>
      </c>
      <c r="B1863" t="s">
        <v>3809</v>
      </c>
      <c r="C1863" t="s">
        <v>63</v>
      </c>
    </row>
    <row r="1864" spans="1:3" x14ac:dyDescent="0.25">
      <c r="A1864">
        <v>5919</v>
      </c>
      <c r="B1864" t="s">
        <v>3810</v>
      </c>
      <c r="C1864" t="s">
        <v>63</v>
      </c>
    </row>
    <row r="1865" spans="1:3" x14ac:dyDescent="0.25">
      <c r="A1865">
        <v>5921</v>
      </c>
      <c r="B1865" t="s">
        <v>3811</v>
      </c>
      <c r="C1865" t="s">
        <v>63</v>
      </c>
    </row>
    <row r="1866" spans="1:3" x14ac:dyDescent="0.25">
      <c r="A1866">
        <v>5922</v>
      </c>
      <c r="B1866" t="s">
        <v>3812</v>
      </c>
      <c r="C1866" t="s">
        <v>63</v>
      </c>
    </row>
    <row r="1867" spans="1:3" x14ac:dyDescent="0.25">
      <c r="A1867">
        <v>5923</v>
      </c>
      <c r="B1867" t="s">
        <v>3813</v>
      </c>
      <c r="C1867" t="s">
        <v>63</v>
      </c>
    </row>
    <row r="1868" spans="1:3" x14ac:dyDescent="0.25">
      <c r="A1868">
        <v>5924</v>
      </c>
      <c r="B1868" t="s">
        <v>3814</v>
      </c>
      <c r="C1868" t="s">
        <v>63</v>
      </c>
    </row>
    <row r="1869" spans="1:3" x14ac:dyDescent="0.25">
      <c r="A1869">
        <v>5925</v>
      </c>
      <c r="B1869" t="s">
        <v>3815</v>
      </c>
      <c r="C1869" t="s">
        <v>63</v>
      </c>
    </row>
    <row r="1870" spans="1:3" x14ac:dyDescent="0.25">
      <c r="A1870">
        <v>5926</v>
      </c>
      <c r="B1870" t="s">
        <v>3816</v>
      </c>
      <c r="C1870" t="s">
        <v>63</v>
      </c>
    </row>
    <row r="1871" spans="1:3" x14ac:dyDescent="0.25">
      <c r="A1871">
        <v>5928</v>
      </c>
      <c r="B1871" t="s">
        <v>3817</v>
      </c>
      <c r="C1871" t="s">
        <v>63</v>
      </c>
    </row>
    <row r="1872" spans="1:3" x14ac:dyDescent="0.25">
      <c r="A1872">
        <v>5929</v>
      </c>
      <c r="B1872" t="s">
        <v>3818</v>
      </c>
      <c r="C1872" t="s">
        <v>63</v>
      </c>
    </row>
    <row r="1873" spans="1:3" x14ac:dyDescent="0.25">
      <c r="A1873">
        <v>5930</v>
      </c>
      <c r="B1873" t="s">
        <v>3819</v>
      </c>
      <c r="C1873" t="s">
        <v>63</v>
      </c>
    </row>
    <row r="1874" spans="1:3" x14ac:dyDescent="0.25">
      <c r="A1874">
        <v>5931</v>
      </c>
      <c r="B1874" t="s">
        <v>3820</v>
      </c>
      <c r="C1874" t="s">
        <v>63</v>
      </c>
    </row>
    <row r="1875" spans="1:3" x14ac:dyDescent="0.25">
      <c r="A1875">
        <v>5932</v>
      </c>
      <c r="B1875" t="s">
        <v>3821</v>
      </c>
      <c r="C1875" t="s">
        <v>63</v>
      </c>
    </row>
    <row r="1876" spans="1:3" x14ac:dyDescent="0.25">
      <c r="A1876">
        <v>5933</v>
      </c>
      <c r="B1876" t="s">
        <v>3822</v>
      </c>
      <c r="C1876" t="s">
        <v>63</v>
      </c>
    </row>
    <row r="1877" spans="1:3" x14ac:dyDescent="0.25">
      <c r="A1877">
        <v>5934</v>
      </c>
      <c r="B1877" t="s">
        <v>3823</v>
      </c>
      <c r="C1877" t="s">
        <v>63</v>
      </c>
    </row>
    <row r="1878" spans="1:3" x14ac:dyDescent="0.25">
      <c r="A1878">
        <v>5935</v>
      </c>
      <c r="B1878" t="s">
        <v>3824</v>
      </c>
      <c r="C1878" t="s">
        <v>63</v>
      </c>
    </row>
    <row r="1879" spans="1:3" x14ac:dyDescent="0.25">
      <c r="A1879">
        <v>5937</v>
      </c>
      <c r="B1879" t="s">
        <v>3825</v>
      </c>
      <c r="C1879" t="s">
        <v>63</v>
      </c>
    </row>
    <row r="1880" spans="1:3" x14ac:dyDescent="0.25">
      <c r="A1880">
        <v>5938</v>
      </c>
      <c r="B1880" t="s">
        <v>3826</v>
      </c>
      <c r="C1880" t="s">
        <v>63</v>
      </c>
    </row>
    <row r="1881" spans="1:3" x14ac:dyDescent="0.25">
      <c r="A1881">
        <v>5939</v>
      </c>
      <c r="B1881" t="s">
        <v>3827</v>
      </c>
      <c r="C1881" t="s">
        <v>63</v>
      </c>
    </row>
    <row r="1882" spans="1:3" x14ac:dyDescent="0.25">
      <c r="A1882">
        <v>6002</v>
      </c>
      <c r="B1882" t="s">
        <v>3828</v>
      </c>
      <c r="C1882" t="s">
        <v>66</v>
      </c>
    </row>
    <row r="1883" spans="1:3" x14ac:dyDescent="0.25">
      <c r="A1883">
        <v>6004</v>
      </c>
      <c r="B1883" t="s">
        <v>3829</v>
      </c>
      <c r="C1883" t="s">
        <v>66</v>
      </c>
    </row>
    <row r="1884" spans="1:3" x14ac:dyDescent="0.25">
      <c r="A1884">
        <v>6007</v>
      </c>
      <c r="B1884" t="s">
        <v>3830</v>
      </c>
      <c r="C1884" t="s">
        <v>66</v>
      </c>
    </row>
    <row r="1885" spans="1:3" x14ac:dyDescent="0.25">
      <c r="A1885">
        <v>6008</v>
      </c>
      <c r="B1885" t="s">
        <v>3831</v>
      </c>
      <c r="C1885" t="s">
        <v>66</v>
      </c>
    </row>
    <row r="1886" spans="1:3" x14ac:dyDescent="0.25">
      <c r="A1886">
        <v>6009</v>
      </c>
      <c r="B1886" t="s">
        <v>3832</v>
      </c>
      <c r="C1886" t="s">
        <v>66</v>
      </c>
    </row>
    <row r="1887" spans="1:3" x14ac:dyDescent="0.25">
      <c r="A1887">
        <v>6010</v>
      </c>
      <c r="B1887" t="s">
        <v>3833</v>
      </c>
      <c r="C1887" t="s">
        <v>66</v>
      </c>
    </row>
    <row r="1888" spans="1:3" x14ac:dyDescent="0.25">
      <c r="A1888">
        <v>6011</v>
      </c>
      <c r="B1888" t="s">
        <v>3834</v>
      </c>
      <c r="C1888" t="s">
        <v>66</v>
      </c>
    </row>
    <row r="1889" spans="1:3" x14ac:dyDescent="0.25">
      <c r="A1889">
        <v>6021</v>
      </c>
      <c r="B1889" t="s">
        <v>3835</v>
      </c>
      <c r="C1889" t="s">
        <v>66</v>
      </c>
    </row>
    <row r="1890" spans="1:3" x14ac:dyDescent="0.25">
      <c r="A1890">
        <v>6022</v>
      </c>
      <c r="B1890" t="s">
        <v>3836</v>
      </c>
      <c r="C1890" t="s">
        <v>66</v>
      </c>
    </row>
    <row r="1891" spans="1:3" x14ac:dyDescent="0.25">
      <c r="A1891">
        <v>6023</v>
      </c>
      <c r="B1891" t="s">
        <v>3837</v>
      </c>
      <c r="C1891" t="s">
        <v>66</v>
      </c>
    </row>
    <row r="1892" spans="1:3" x14ac:dyDescent="0.25">
      <c r="A1892">
        <v>6024</v>
      </c>
      <c r="B1892" t="s">
        <v>3838</v>
      </c>
      <c r="C1892" t="s">
        <v>66</v>
      </c>
    </row>
    <row r="1893" spans="1:3" x14ac:dyDescent="0.25">
      <c r="A1893">
        <v>6025</v>
      </c>
      <c r="B1893" t="s">
        <v>3839</v>
      </c>
      <c r="C1893" t="s">
        <v>66</v>
      </c>
    </row>
    <row r="1894" spans="1:3" x14ac:dyDescent="0.25">
      <c r="A1894">
        <v>6032</v>
      </c>
      <c r="B1894" t="s">
        <v>3840</v>
      </c>
      <c r="C1894" t="s">
        <v>66</v>
      </c>
    </row>
    <row r="1895" spans="1:3" x14ac:dyDescent="0.25">
      <c r="A1895">
        <v>6033</v>
      </c>
      <c r="B1895" t="s">
        <v>3841</v>
      </c>
      <c r="C1895" t="s">
        <v>66</v>
      </c>
    </row>
    <row r="1896" spans="1:3" x14ac:dyDescent="0.25">
      <c r="A1896">
        <v>6034</v>
      </c>
      <c r="B1896" t="s">
        <v>3842</v>
      </c>
      <c r="C1896" t="s">
        <v>66</v>
      </c>
    </row>
    <row r="1897" spans="1:3" x14ac:dyDescent="0.25">
      <c r="A1897">
        <v>6035</v>
      </c>
      <c r="B1897" t="s">
        <v>3843</v>
      </c>
      <c r="C1897" t="s">
        <v>66</v>
      </c>
    </row>
    <row r="1898" spans="1:3" x14ac:dyDescent="0.25">
      <c r="A1898">
        <v>6037</v>
      </c>
      <c r="B1898" t="s">
        <v>3844</v>
      </c>
      <c r="C1898" t="s">
        <v>66</v>
      </c>
    </row>
    <row r="1899" spans="1:3" x14ac:dyDescent="0.25">
      <c r="A1899">
        <v>6052</v>
      </c>
      <c r="B1899" t="s">
        <v>3845</v>
      </c>
      <c r="C1899" t="s">
        <v>66</v>
      </c>
    </row>
    <row r="1900" spans="1:3" x14ac:dyDescent="0.25">
      <c r="A1900">
        <v>6054</v>
      </c>
      <c r="B1900" t="s">
        <v>3846</v>
      </c>
      <c r="C1900" t="s">
        <v>66</v>
      </c>
    </row>
    <row r="1901" spans="1:3" x14ac:dyDescent="0.25">
      <c r="A1901">
        <v>6056</v>
      </c>
      <c r="B1901" t="s">
        <v>3847</v>
      </c>
      <c r="C1901" t="s">
        <v>66</v>
      </c>
    </row>
    <row r="1902" spans="1:3" x14ac:dyDescent="0.25">
      <c r="A1902">
        <v>6057</v>
      </c>
      <c r="B1902" t="s">
        <v>3848</v>
      </c>
      <c r="C1902" t="s">
        <v>66</v>
      </c>
    </row>
    <row r="1903" spans="1:3" x14ac:dyDescent="0.25">
      <c r="A1903">
        <v>6058</v>
      </c>
      <c r="B1903" t="s">
        <v>3849</v>
      </c>
      <c r="C1903" t="s">
        <v>66</v>
      </c>
    </row>
    <row r="1904" spans="1:3" x14ac:dyDescent="0.25">
      <c r="A1904">
        <v>6061</v>
      </c>
      <c r="B1904" t="s">
        <v>3850</v>
      </c>
      <c r="C1904" t="s">
        <v>66</v>
      </c>
    </row>
    <row r="1905" spans="1:3" x14ac:dyDescent="0.25">
      <c r="A1905">
        <v>6076</v>
      </c>
      <c r="B1905" t="s">
        <v>3851</v>
      </c>
      <c r="C1905" t="s">
        <v>66</v>
      </c>
    </row>
    <row r="1906" spans="1:3" x14ac:dyDescent="0.25">
      <c r="A1906">
        <v>6077</v>
      </c>
      <c r="B1906" t="s">
        <v>3852</v>
      </c>
      <c r="C1906" t="s">
        <v>66</v>
      </c>
    </row>
    <row r="1907" spans="1:3" x14ac:dyDescent="0.25">
      <c r="A1907">
        <v>6082</v>
      </c>
      <c r="B1907" t="s">
        <v>3853</v>
      </c>
      <c r="C1907" t="s">
        <v>66</v>
      </c>
    </row>
    <row r="1908" spans="1:3" x14ac:dyDescent="0.25">
      <c r="A1908">
        <v>6083</v>
      </c>
      <c r="B1908" t="s">
        <v>3854</v>
      </c>
      <c r="C1908" t="s">
        <v>66</v>
      </c>
    </row>
    <row r="1909" spans="1:3" x14ac:dyDescent="0.25">
      <c r="A1909">
        <v>6084</v>
      </c>
      <c r="B1909" t="s">
        <v>3855</v>
      </c>
      <c r="C1909" t="s">
        <v>66</v>
      </c>
    </row>
    <row r="1910" spans="1:3" x14ac:dyDescent="0.25">
      <c r="A1910">
        <v>6087</v>
      </c>
      <c r="B1910" t="s">
        <v>3856</v>
      </c>
      <c r="C1910" t="s">
        <v>66</v>
      </c>
    </row>
    <row r="1911" spans="1:3" x14ac:dyDescent="0.25">
      <c r="A1911">
        <v>6089</v>
      </c>
      <c r="B1911" t="s">
        <v>3857</v>
      </c>
      <c r="C1911" t="s">
        <v>66</v>
      </c>
    </row>
    <row r="1912" spans="1:3" x14ac:dyDescent="0.25">
      <c r="A1912">
        <v>6090</v>
      </c>
      <c r="B1912" t="s">
        <v>3858</v>
      </c>
      <c r="C1912" t="s">
        <v>66</v>
      </c>
    </row>
    <row r="1913" spans="1:3" x14ac:dyDescent="0.25">
      <c r="A1913">
        <v>6101</v>
      </c>
      <c r="B1913" t="s">
        <v>3859</v>
      </c>
      <c r="C1913" t="s">
        <v>66</v>
      </c>
    </row>
    <row r="1914" spans="1:3" x14ac:dyDescent="0.25">
      <c r="A1914">
        <v>6102</v>
      </c>
      <c r="B1914" t="s">
        <v>3860</v>
      </c>
      <c r="C1914" t="s">
        <v>66</v>
      </c>
    </row>
    <row r="1915" spans="1:3" x14ac:dyDescent="0.25">
      <c r="A1915">
        <v>6104</v>
      </c>
      <c r="B1915" t="s">
        <v>3861</v>
      </c>
      <c r="C1915" t="s">
        <v>66</v>
      </c>
    </row>
    <row r="1916" spans="1:3" x14ac:dyDescent="0.25">
      <c r="A1916">
        <v>6109</v>
      </c>
      <c r="B1916" t="s">
        <v>3862</v>
      </c>
      <c r="C1916" t="s">
        <v>66</v>
      </c>
    </row>
    <row r="1917" spans="1:3" x14ac:dyDescent="0.25">
      <c r="A1917">
        <v>6110</v>
      </c>
      <c r="B1917" t="s">
        <v>3863</v>
      </c>
      <c r="C1917" t="s">
        <v>66</v>
      </c>
    </row>
    <row r="1918" spans="1:3" x14ac:dyDescent="0.25">
      <c r="A1918">
        <v>6111</v>
      </c>
      <c r="B1918" t="s">
        <v>3864</v>
      </c>
      <c r="C1918" t="s">
        <v>66</v>
      </c>
    </row>
    <row r="1919" spans="1:3" x14ac:dyDescent="0.25">
      <c r="A1919">
        <v>6112</v>
      </c>
      <c r="B1919" t="s">
        <v>3865</v>
      </c>
      <c r="C1919" t="s">
        <v>66</v>
      </c>
    </row>
    <row r="1920" spans="1:3" x14ac:dyDescent="0.25">
      <c r="A1920">
        <v>6113</v>
      </c>
      <c r="B1920" t="s">
        <v>3866</v>
      </c>
      <c r="C1920" t="s">
        <v>66</v>
      </c>
    </row>
    <row r="1921" spans="1:3" x14ac:dyDescent="0.25">
      <c r="A1921">
        <v>6116</v>
      </c>
      <c r="B1921" t="s">
        <v>3867</v>
      </c>
      <c r="C1921" t="s">
        <v>66</v>
      </c>
    </row>
    <row r="1922" spans="1:3" x14ac:dyDescent="0.25">
      <c r="A1922">
        <v>6117</v>
      </c>
      <c r="B1922" t="s">
        <v>3868</v>
      </c>
      <c r="C1922" t="s">
        <v>66</v>
      </c>
    </row>
    <row r="1923" spans="1:3" x14ac:dyDescent="0.25">
      <c r="A1923">
        <v>6118</v>
      </c>
      <c r="B1923" t="s">
        <v>3869</v>
      </c>
      <c r="C1923" t="s">
        <v>66</v>
      </c>
    </row>
    <row r="1924" spans="1:3" x14ac:dyDescent="0.25">
      <c r="A1924">
        <v>6119</v>
      </c>
      <c r="B1924" t="s">
        <v>3870</v>
      </c>
      <c r="C1924" t="s">
        <v>66</v>
      </c>
    </row>
    <row r="1925" spans="1:3" x14ac:dyDescent="0.25">
      <c r="A1925">
        <v>6131</v>
      </c>
      <c r="B1925" t="s">
        <v>3871</v>
      </c>
      <c r="C1925" t="s">
        <v>66</v>
      </c>
    </row>
    <row r="1926" spans="1:3" x14ac:dyDescent="0.25">
      <c r="A1926">
        <v>6133</v>
      </c>
      <c r="B1926" t="s">
        <v>3872</v>
      </c>
      <c r="C1926" t="s">
        <v>66</v>
      </c>
    </row>
    <row r="1927" spans="1:3" x14ac:dyDescent="0.25">
      <c r="A1927">
        <v>6134</v>
      </c>
      <c r="B1927" t="s">
        <v>3873</v>
      </c>
      <c r="C1927" t="s">
        <v>66</v>
      </c>
    </row>
    <row r="1928" spans="1:3" x14ac:dyDescent="0.25">
      <c r="A1928">
        <v>6135</v>
      </c>
      <c r="B1928" t="s">
        <v>3874</v>
      </c>
      <c r="C1928" t="s">
        <v>66</v>
      </c>
    </row>
    <row r="1929" spans="1:3" x14ac:dyDescent="0.25">
      <c r="A1929">
        <v>6136</v>
      </c>
      <c r="B1929" t="s">
        <v>3875</v>
      </c>
      <c r="C1929" t="s">
        <v>66</v>
      </c>
    </row>
    <row r="1930" spans="1:3" x14ac:dyDescent="0.25">
      <c r="A1930">
        <v>6137</v>
      </c>
      <c r="B1930" t="s">
        <v>3876</v>
      </c>
      <c r="C1930" t="s">
        <v>66</v>
      </c>
    </row>
    <row r="1931" spans="1:3" x14ac:dyDescent="0.25">
      <c r="A1931">
        <v>6139</v>
      </c>
      <c r="B1931" t="s">
        <v>3877</v>
      </c>
      <c r="C1931" t="s">
        <v>66</v>
      </c>
    </row>
    <row r="1932" spans="1:3" x14ac:dyDescent="0.25">
      <c r="A1932">
        <v>6140</v>
      </c>
      <c r="B1932" t="s">
        <v>3878</v>
      </c>
      <c r="C1932" t="s">
        <v>66</v>
      </c>
    </row>
    <row r="1933" spans="1:3" x14ac:dyDescent="0.25">
      <c r="A1933">
        <v>6141</v>
      </c>
      <c r="B1933" t="s">
        <v>3879</v>
      </c>
      <c r="C1933" t="s">
        <v>66</v>
      </c>
    </row>
    <row r="1934" spans="1:3" x14ac:dyDescent="0.25">
      <c r="A1934">
        <v>6142</v>
      </c>
      <c r="B1934" t="s">
        <v>3880</v>
      </c>
      <c r="C1934" t="s">
        <v>66</v>
      </c>
    </row>
    <row r="1935" spans="1:3" x14ac:dyDescent="0.25">
      <c r="A1935">
        <v>6151</v>
      </c>
      <c r="B1935" t="s">
        <v>3881</v>
      </c>
      <c r="C1935" t="s">
        <v>66</v>
      </c>
    </row>
    <row r="1936" spans="1:3" x14ac:dyDescent="0.25">
      <c r="A1936">
        <v>6152</v>
      </c>
      <c r="B1936" t="s">
        <v>3882</v>
      </c>
      <c r="C1936" t="s">
        <v>66</v>
      </c>
    </row>
    <row r="1937" spans="1:3" x14ac:dyDescent="0.25">
      <c r="A1937">
        <v>6153</v>
      </c>
      <c r="B1937" t="s">
        <v>3883</v>
      </c>
      <c r="C1937" t="s">
        <v>66</v>
      </c>
    </row>
    <row r="1938" spans="1:3" x14ac:dyDescent="0.25">
      <c r="A1938">
        <v>6154</v>
      </c>
      <c r="B1938" t="s">
        <v>3884</v>
      </c>
      <c r="C1938" t="s">
        <v>66</v>
      </c>
    </row>
    <row r="1939" spans="1:3" x14ac:dyDescent="0.25">
      <c r="A1939">
        <v>6155</v>
      </c>
      <c r="B1939" t="s">
        <v>3885</v>
      </c>
      <c r="C1939" t="s">
        <v>66</v>
      </c>
    </row>
    <row r="1940" spans="1:3" x14ac:dyDescent="0.25">
      <c r="A1940">
        <v>6156</v>
      </c>
      <c r="B1940" t="s">
        <v>3886</v>
      </c>
      <c r="C1940" t="s">
        <v>66</v>
      </c>
    </row>
    <row r="1941" spans="1:3" x14ac:dyDescent="0.25">
      <c r="A1941">
        <v>6157</v>
      </c>
      <c r="B1941" t="s">
        <v>3887</v>
      </c>
      <c r="C1941" t="s">
        <v>66</v>
      </c>
    </row>
    <row r="1942" spans="1:3" x14ac:dyDescent="0.25">
      <c r="A1942">
        <v>6158</v>
      </c>
      <c r="B1942" t="s">
        <v>3888</v>
      </c>
      <c r="C1942" t="s">
        <v>66</v>
      </c>
    </row>
    <row r="1943" spans="1:3" x14ac:dyDescent="0.25">
      <c r="A1943">
        <v>6159</v>
      </c>
      <c r="B1943" t="s">
        <v>3889</v>
      </c>
      <c r="C1943" t="s">
        <v>66</v>
      </c>
    </row>
    <row r="1944" spans="1:3" x14ac:dyDescent="0.25">
      <c r="A1944">
        <v>6172</v>
      </c>
      <c r="B1944" t="s">
        <v>3890</v>
      </c>
      <c r="C1944" t="s">
        <v>66</v>
      </c>
    </row>
    <row r="1945" spans="1:3" x14ac:dyDescent="0.25">
      <c r="A1945">
        <v>6173</v>
      </c>
      <c r="B1945" t="s">
        <v>3891</v>
      </c>
      <c r="C1945" t="s">
        <v>66</v>
      </c>
    </row>
    <row r="1946" spans="1:3" x14ac:dyDescent="0.25">
      <c r="A1946">
        <v>6177</v>
      </c>
      <c r="B1946" t="s">
        <v>3892</v>
      </c>
      <c r="C1946" t="s">
        <v>66</v>
      </c>
    </row>
    <row r="1947" spans="1:3" x14ac:dyDescent="0.25">
      <c r="A1947">
        <v>6181</v>
      </c>
      <c r="B1947" t="s">
        <v>3893</v>
      </c>
      <c r="C1947" t="s">
        <v>66</v>
      </c>
    </row>
    <row r="1948" spans="1:3" x14ac:dyDescent="0.25">
      <c r="A1948">
        <v>6191</v>
      </c>
      <c r="B1948" t="s">
        <v>3894</v>
      </c>
      <c r="C1948" t="s">
        <v>66</v>
      </c>
    </row>
    <row r="1949" spans="1:3" x14ac:dyDescent="0.25">
      <c r="A1949">
        <v>6192</v>
      </c>
      <c r="B1949" t="s">
        <v>3895</v>
      </c>
      <c r="C1949" t="s">
        <v>66</v>
      </c>
    </row>
    <row r="1950" spans="1:3" x14ac:dyDescent="0.25">
      <c r="A1950">
        <v>6193</v>
      </c>
      <c r="B1950" t="s">
        <v>3896</v>
      </c>
      <c r="C1950" t="s">
        <v>66</v>
      </c>
    </row>
    <row r="1951" spans="1:3" x14ac:dyDescent="0.25">
      <c r="A1951">
        <v>6194</v>
      </c>
      <c r="B1951" t="s">
        <v>3897</v>
      </c>
      <c r="C1951" t="s">
        <v>66</v>
      </c>
    </row>
    <row r="1952" spans="1:3" x14ac:dyDescent="0.25">
      <c r="A1952">
        <v>6195</v>
      </c>
      <c r="B1952" t="s">
        <v>3898</v>
      </c>
      <c r="C1952" t="s">
        <v>66</v>
      </c>
    </row>
    <row r="1953" spans="1:3" x14ac:dyDescent="0.25">
      <c r="A1953">
        <v>6197</v>
      </c>
      <c r="B1953" t="s">
        <v>3899</v>
      </c>
      <c r="C1953" t="s">
        <v>66</v>
      </c>
    </row>
    <row r="1954" spans="1:3" x14ac:dyDescent="0.25">
      <c r="A1954">
        <v>6198</v>
      </c>
      <c r="B1954" t="s">
        <v>3900</v>
      </c>
      <c r="C1954" t="s">
        <v>66</v>
      </c>
    </row>
    <row r="1955" spans="1:3" x14ac:dyDescent="0.25">
      <c r="A1955">
        <v>6199</v>
      </c>
      <c r="B1955" t="s">
        <v>3901</v>
      </c>
      <c r="C1955" t="s">
        <v>66</v>
      </c>
    </row>
    <row r="1956" spans="1:3" x14ac:dyDescent="0.25">
      <c r="A1956">
        <v>6201</v>
      </c>
      <c r="B1956" t="s">
        <v>3902</v>
      </c>
      <c r="C1956" t="s">
        <v>66</v>
      </c>
    </row>
    <row r="1957" spans="1:3" x14ac:dyDescent="0.25">
      <c r="A1957">
        <v>6202</v>
      </c>
      <c r="B1957" t="s">
        <v>3903</v>
      </c>
      <c r="C1957" t="s">
        <v>66</v>
      </c>
    </row>
    <row r="1958" spans="1:3" x14ac:dyDescent="0.25">
      <c r="A1958">
        <v>6203</v>
      </c>
      <c r="B1958" t="s">
        <v>3904</v>
      </c>
      <c r="C1958" t="s">
        <v>66</v>
      </c>
    </row>
    <row r="1959" spans="1:3" x14ac:dyDescent="0.25">
      <c r="A1959">
        <v>6204</v>
      </c>
      <c r="B1959" t="s">
        <v>3905</v>
      </c>
      <c r="C1959" t="s">
        <v>66</v>
      </c>
    </row>
    <row r="1960" spans="1:3" x14ac:dyDescent="0.25">
      <c r="A1960">
        <v>6205</v>
      </c>
      <c r="B1960" t="s">
        <v>3906</v>
      </c>
      <c r="C1960" t="s">
        <v>66</v>
      </c>
    </row>
    <row r="1961" spans="1:3" x14ac:dyDescent="0.25">
      <c r="A1961">
        <v>6211</v>
      </c>
      <c r="B1961" t="s">
        <v>3907</v>
      </c>
      <c r="C1961" t="s">
        <v>66</v>
      </c>
    </row>
    <row r="1962" spans="1:3" x14ac:dyDescent="0.25">
      <c r="A1962">
        <v>6212</v>
      </c>
      <c r="B1962" t="s">
        <v>3908</v>
      </c>
      <c r="C1962" t="s">
        <v>66</v>
      </c>
    </row>
    <row r="1963" spans="1:3" x14ac:dyDescent="0.25">
      <c r="A1963">
        <v>6213</v>
      </c>
      <c r="B1963" t="s">
        <v>3909</v>
      </c>
      <c r="C1963" t="s">
        <v>66</v>
      </c>
    </row>
    <row r="1964" spans="1:3" x14ac:dyDescent="0.25">
      <c r="A1964">
        <v>6214</v>
      </c>
      <c r="B1964" t="s">
        <v>3910</v>
      </c>
      <c r="C1964" t="s">
        <v>66</v>
      </c>
    </row>
    <row r="1965" spans="1:3" x14ac:dyDescent="0.25">
      <c r="A1965">
        <v>6215</v>
      </c>
      <c r="B1965" t="s">
        <v>3911</v>
      </c>
      <c r="C1965" t="s">
        <v>66</v>
      </c>
    </row>
    <row r="1966" spans="1:3" x14ac:dyDescent="0.25">
      <c r="A1966">
        <v>6217</v>
      </c>
      <c r="B1966" t="s">
        <v>3912</v>
      </c>
      <c r="C1966" t="s">
        <v>66</v>
      </c>
    </row>
    <row r="1967" spans="1:3" x14ac:dyDescent="0.25">
      <c r="A1967">
        <v>6218</v>
      </c>
      <c r="B1967" t="s">
        <v>3913</v>
      </c>
      <c r="C1967" t="s">
        <v>66</v>
      </c>
    </row>
    <row r="1968" spans="1:3" x14ac:dyDescent="0.25">
      <c r="A1968">
        <v>6219</v>
      </c>
      <c r="B1968" t="s">
        <v>3914</v>
      </c>
      <c r="C1968" t="s">
        <v>66</v>
      </c>
    </row>
    <row r="1969" spans="1:3" x14ac:dyDescent="0.25">
      <c r="A1969">
        <v>6220</v>
      </c>
      <c r="B1969" t="s">
        <v>3915</v>
      </c>
      <c r="C1969" t="s">
        <v>66</v>
      </c>
    </row>
    <row r="1970" spans="1:3" x14ac:dyDescent="0.25">
      <c r="A1970">
        <v>6232</v>
      </c>
      <c r="B1970" t="s">
        <v>3916</v>
      </c>
      <c r="C1970" t="s">
        <v>66</v>
      </c>
    </row>
    <row r="1971" spans="1:3" x14ac:dyDescent="0.25">
      <c r="A1971">
        <v>6235</v>
      </c>
      <c r="B1971" t="s">
        <v>3917</v>
      </c>
      <c r="C1971" t="s">
        <v>66</v>
      </c>
    </row>
    <row r="1972" spans="1:3" x14ac:dyDescent="0.25">
      <c r="A1972">
        <v>6238</v>
      </c>
      <c r="B1972" t="s">
        <v>3918</v>
      </c>
      <c r="C1972" t="s">
        <v>66</v>
      </c>
    </row>
    <row r="1973" spans="1:3" x14ac:dyDescent="0.25">
      <c r="A1973">
        <v>6239</v>
      </c>
      <c r="B1973" t="s">
        <v>3919</v>
      </c>
      <c r="C1973" t="s">
        <v>66</v>
      </c>
    </row>
    <row r="1974" spans="1:3" x14ac:dyDescent="0.25">
      <c r="A1974">
        <v>6240</v>
      </c>
      <c r="B1974" t="s">
        <v>3920</v>
      </c>
      <c r="C1974" t="s">
        <v>66</v>
      </c>
    </row>
    <row r="1975" spans="1:3" x14ac:dyDescent="0.25">
      <c r="A1975">
        <v>6246</v>
      </c>
      <c r="B1975" t="s">
        <v>3921</v>
      </c>
      <c r="C1975" t="s">
        <v>66</v>
      </c>
    </row>
    <row r="1976" spans="1:3" x14ac:dyDescent="0.25">
      <c r="A1976">
        <v>6248</v>
      </c>
      <c r="B1976" t="s">
        <v>3922</v>
      </c>
      <c r="C1976" t="s">
        <v>66</v>
      </c>
    </row>
    <row r="1977" spans="1:3" x14ac:dyDescent="0.25">
      <c r="A1977">
        <v>6252</v>
      </c>
      <c r="B1977" t="s">
        <v>3923</v>
      </c>
      <c r="C1977" t="s">
        <v>66</v>
      </c>
    </row>
    <row r="1978" spans="1:3" x14ac:dyDescent="0.25">
      <c r="A1978">
        <v>6253</v>
      </c>
      <c r="B1978" t="s">
        <v>3924</v>
      </c>
      <c r="C1978" t="s">
        <v>66</v>
      </c>
    </row>
    <row r="1979" spans="1:3" x14ac:dyDescent="0.25">
      <c r="A1979">
        <v>6254</v>
      </c>
      <c r="B1979" t="s">
        <v>3925</v>
      </c>
      <c r="C1979" t="s">
        <v>66</v>
      </c>
    </row>
    <row r="1980" spans="1:3" x14ac:dyDescent="0.25">
      <c r="A1980">
        <v>6261</v>
      </c>
      <c r="B1980" t="s">
        <v>3926</v>
      </c>
      <c r="C1980" t="s">
        <v>66</v>
      </c>
    </row>
    <row r="1981" spans="1:3" x14ac:dyDescent="0.25">
      <c r="A1981">
        <v>6263</v>
      </c>
      <c r="B1981" t="s">
        <v>3927</v>
      </c>
      <c r="C1981" t="s">
        <v>66</v>
      </c>
    </row>
    <row r="1982" spans="1:3" x14ac:dyDescent="0.25">
      <c r="A1982">
        <v>6265</v>
      </c>
      <c r="B1982" t="s">
        <v>3928</v>
      </c>
      <c r="C1982" t="s">
        <v>66</v>
      </c>
    </row>
    <row r="1983" spans="1:3" x14ac:dyDescent="0.25">
      <c r="A1983">
        <v>6266</v>
      </c>
      <c r="B1983" t="s">
        <v>3929</v>
      </c>
      <c r="C1983" t="s">
        <v>66</v>
      </c>
    </row>
    <row r="1984" spans="1:3" x14ac:dyDescent="0.25">
      <c r="A1984">
        <v>6267</v>
      </c>
      <c r="B1984" t="s">
        <v>3930</v>
      </c>
      <c r="C1984" t="s">
        <v>66</v>
      </c>
    </row>
    <row r="1985" spans="1:3" x14ac:dyDescent="0.25">
      <c r="A1985">
        <v>6281</v>
      </c>
      <c r="B1985" t="s">
        <v>3931</v>
      </c>
      <c r="C1985" t="s">
        <v>66</v>
      </c>
    </row>
    <row r="1986" spans="1:3" x14ac:dyDescent="0.25">
      <c r="A1986">
        <v>6282</v>
      </c>
      <c r="B1986" t="s">
        <v>3932</v>
      </c>
      <c r="C1986" t="s">
        <v>66</v>
      </c>
    </row>
    <row r="1987" spans="1:3" x14ac:dyDescent="0.25">
      <c r="A1987">
        <v>6283</v>
      </c>
      <c r="B1987" t="s">
        <v>3933</v>
      </c>
      <c r="C1987" t="s">
        <v>66</v>
      </c>
    </row>
    <row r="1988" spans="1:3" x14ac:dyDescent="0.25">
      <c r="A1988">
        <v>6285</v>
      </c>
      <c r="B1988" t="s">
        <v>3934</v>
      </c>
      <c r="C1988" t="s">
        <v>66</v>
      </c>
    </row>
    <row r="1989" spans="1:3" x14ac:dyDescent="0.25">
      <c r="A1989">
        <v>6286</v>
      </c>
      <c r="B1989" t="s">
        <v>3935</v>
      </c>
      <c r="C1989" t="s">
        <v>66</v>
      </c>
    </row>
    <row r="1990" spans="1:3" x14ac:dyDescent="0.25">
      <c r="A1990">
        <v>6287</v>
      </c>
      <c r="B1990" t="s">
        <v>3936</v>
      </c>
      <c r="C1990" t="s">
        <v>66</v>
      </c>
    </row>
    <row r="1991" spans="1:3" x14ac:dyDescent="0.25">
      <c r="A1991">
        <v>6288</v>
      </c>
      <c r="B1991" t="s">
        <v>3937</v>
      </c>
      <c r="C1991" t="s">
        <v>66</v>
      </c>
    </row>
    <row r="1992" spans="1:3" x14ac:dyDescent="0.25">
      <c r="A1992">
        <v>6289</v>
      </c>
      <c r="B1992" t="s">
        <v>3938</v>
      </c>
      <c r="C1992" t="s">
        <v>66</v>
      </c>
    </row>
    <row r="1993" spans="1:3" x14ac:dyDescent="0.25">
      <c r="A1993">
        <v>6290</v>
      </c>
      <c r="B1993" t="s">
        <v>3939</v>
      </c>
      <c r="C1993" t="s">
        <v>66</v>
      </c>
    </row>
    <row r="1994" spans="1:3" x14ac:dyDescent="0.25">
      <c r="A1994">
        <v>6291</v>
      </c>
      <c r="B1994" t="s">
        <v>3940</v>
      </c>
      <c r="C1994" t="s">
        <v>66</v>
      </c>
    </row>
    <row r="1995" spans="1:3" x14ac:dyDescent="0.25">
      <c r="A1995">
        <v>6292</v>
      </c>
      <c r="B1995" t="s">
        <v>3941</v>
      </c>
      <c r="C1995" t="s">
        <v>66</v>
      </c>
    </row>
    <row r="1996" spans="1:3" x14ac:dyDescent="0.25">
      <c r="A1996">
        <v>6293</v>
      </c>
      <c r="B1996" t="s">
        <v>3942</v>
      </c>
      <c r="C1996" t="s">
        <v>66</v>
      </c>
    </row>
    <row r="1997" spans="1:3" x14ac:dyDescent="0.25">
      <c r="A1997">
        <v>6294</v>
      </c>
      <c r="B1997" t="s">
        <v>3943</v>
      </c>
      <c r="C1997" t="s">
        <v>66</v>
      </c>
    </row>
    <row r="1998" spans="1:3" x14ac:dyDescent="0.25">
      <c r="A1998">
        <v>6295</v>
      </c>
      <c r="B1998" t="s">
        <v>3944</v>
      </c>
      <c r="C1998" t="s">
        <v>66</v>
      </c>
    </row>
    <row r="1999" spans="1:3" x14ac:dyDescent="0.25">
      <c r="A1999">
        <v>6296</v>
      </c>
      <c r="B1999" t="s">
        <v>3945</v>
      </c>
      <c r="C1999" t="s">
        <v>66</v>
      </c>
    </row>
    <row r="2000" spans="1:3" x14ac:dyDescent="0.25">
      <c r="A2000">
        <v>6297</v>
      </c>
      <c r="B2000" t="s">
        <v>3946</v>
      </c>
      <c r="C2000" t="s">
        <v>66</v>
      </c>
    </row>
    <row r="2001" spans="1:3" x14ac:dyDescent="0.25">
      <c r="A2001">
        <v>6298</v>
      </c>
      <c r="B2001" t="s">
        <v>3947</v>
      </c>
      <c r="C2001" t="s">
        <v>66</v>
      </c>
    </row>
    <row r="2002" spans="1:3" x14ac:dyDescent="0.25">
      <c r="A2002">
        <v>6299</v>
      </c>
      <c r="B2002" t="s">
        <v>3948</v>
      </c>
      <c r="C2002" t="s">
        <v>66</v>
      </c>
    </row>
    <row r="2003" spans="1:3" x14ac:dyDescent="0.25">
      <c r="A2003">
        <v>6300</v>
      </c>
      <c r="B2003" t="s">
        <v>3949</v>
      </c>
      <c r="C2003" t="s">
        <v>66</v>
      </c>
    </row>
    <row r="2004" spans="1:3" x14ac:dyDescent="0.25">
      <c r="A2004">
        <v>6404</v>
      </c>
      <c r="B2004" t="s">
        <v>3950</v>
      </c>
      <c r="C2004" t="s">
        <v>69</v>
      </c>
    </row>
    <row r="2005" spans="1:3" x14ac:dyDescent="0.25">
      <c r="A2005">
        <v>6408</v>
      </c>
      <c r="B2005" t="s">
        <v>3951</v>
      </c>
      <c r="C2005" t="s">
        <v>69</v>
      </c>
    </row>
    <row r="2006" spans="1:3" x14ac:dyDescent="0.25">
      <c r="A2006">
        <v>6413</v>
      </c>
      <c r="B2006" t="s">
        <v>3952</v>
      </c>
      <c r="C2006" t="s">
        <v>69</v>
      </c>
    </row>
    <row r="2007" spans="1:3" x14ac:dyDescent="0.25">
      <c r="A2007">
        <v>6416</v>
      </c>
      <c r="B2007" t="s">
        <v>3953</v>
      </c>
      <c r="C2007" t="s">
        <v>69</v>
      </c>
    </row>
    <row r="2008" spans="1:3" x14ac:dyDescent="0.25">
      <c r="A2008">
        <v>6417</v>
      </c>
      <c r="B2008" t="s">
        <v>3954</v>
      </c>
      <c r="C2008" t="s">
        <v>69</v>
      </c>
    </row>
    <row r="2009" spans="1:3" x14ac:dyDescent="0.25">
      <c r="A2009">
        <v>6421</v>
      </c>
      <c r="B2009" t="s">
        <v>3955</v>
      </c>
      <c r="C2009" t="s">
        <v>69</v>
      </c>
    </row>
    <row r="2010" spans="1:3" x14ac:dyDescent="0.25">
      <c r="A2010">
        <v>6422</v>
      </c>
      <c r="B2010" t="s">
        <v>3956</v>
      </c>
      <c r="C2010" t="s">
        <v>69</v>
      </c>
    </row>
    <row r="2011" spans="1:3" x14ac:dyDescent="0.25">
      <c r="A2011">
        <v>6423</v>
      </c>
      <c r="B2011" t="s">
        <v>3957</v>
      </c>
      <c r="C2011" t="s">
        <v>69</v>
      </c>
    </row>
    <row r="2012" spans="1:3" x14ac:dyDescent="0.25">
      <c r="A2012">
        <v>6432</v>
      </c>
      <c r="B2012" t="s">
        <v>3958</v>
      </c>
      <c r="C2012" t="s">
        <v>69</v>
      </c>
    </row>
    <row r="2013" spans="1:3" x14ac:dyDescent="0.25">
      <c r="A2013">
        <v>6433</v>
      </c>
      <c r="B2013" t="s">
        <v>3959</v>
      </c>
      <c r="C2013" t="s">
        <v>69</v>
      </c>
    </row>
    <row r="2014" spans="1:3" x14ac:dyDescent="0.25">
      <c r="A2014">
        <v>6434</v>
      </c>
      <c r="B2014" t="s">
        <v>3960</v>
      </c>
      <c r="C2014" t="s">
        <v>69</v>
      </c>
    </row>
    <row r="2015" spans="1:3" x14ac:dyDescent="0.25">
      <c r="A2015">
        <v>6435</v>
      </c>
      <c r="B2015" t="s">
        <v>3961</v>
      </c>
      <c r="C2015" t="s">
        <v>69</v>
      </c>
    </row>
    <row r="2016" spans="1:3" x14ac:dyDescent="0.25">
      <c r="A2016">
        <v>6436</v>
      </c>
      <c r="B2016" t="s">
        <v>3962</v>
      </c>
      <c r="C2016" t="s">
        <v>69</v>
      </c>
    </row>
    <row r="2017" spans="1:3" x14ac:dyDescent="0.25">
      <c r="A2017">
        <v>6437</v>
      </c>
      <c r="B2017" t="s">
        <v>3963</v>
      </c>
      <c r="C2017" t="s">
        <v>69</v>
      </c>
    </row>
    <row r="2018" spans="1:3" x14ac:dyDescent="0.25">
      <c r="A2018">
        <v>6451</v>
      </c>
      <c r="B2018" t="s">
        <v>3964</v>
      </c>
      <c r="C2018" t="s">
        <v>69</v>
      </c>
    </row>
    <row r="2019" spans="1:3" x14ac:dyDescent="0.25">
      <c r="A2019">
        <v>6452</v>
      </c>
      <c r="B2019" t="s">
        <v>3965</v>
      </c>
      <c r="C2019" t="s">
        <v>69</v>
      </c>
    </row>
    <row r="2020" spans="1:3" x14ac:dyDescent="0.25">
      <c r="A2020">
        <v>6455</v>
      </c>
      <c r="B2020" t="s">
        <v>3966</v>
      </c>
      <c r="C2020" t="s">
        <v>69</v>
      </c>
    </row>
    <row r="2021" spans="1:3" x14ac:dyDescent="0.25">
      <c r="A2021">
        <v>6456</v>
      </c>
      <c r="B2021" t="s">
        <v>3967</v>
      </c>
      <c r="C2021" t="s">
        <v>69</v>
      </c>
    </row>
    <row r="2022" spans="1:3" x14ac:dyDescent="0.25">
      <c r="A2022">
        <v>6458</v>
      </c>
      <c r="B2022" t="s">
        <v>71</v>
      </c>
      <c r="C2022" t="s">
        <v>69</v>
      </c>
    </row>
    <row r="2023" spans="1:3" x14ac:dyDescent="0.25">
      <c r="A2023">
        <v>6487</v>
      </c>
      <c r="B2023" t="s">
        <v>3968</v>
      </c>
      <c r="C2023" t="s">
        <v>69</v>
      </c>
    </row>
    <row r="2024" spans="1:3" x14ac:dyDescent="0.25">
      <c r="A2024">
        <v>6504</v>
      </c>
      <c r="B2024" t="s">
        <v>3969</v>
      </c>
      <c r="C2024" t="s">
        <v>69</v>
      </c>
    </row>
    <row r="2025" spans="1:3" x14ac:dyDescent="0.25">
      <c r="A2025">
        <v>6511</v>
      </c>
      <c r="B2025" t="s">
        <v>3970</v>
      </c>
      <c r="C2025" t="s">
        <v>69</v>
      </c>
    </row>
    <row r="2026" spans="1:3" x14ac:dyDescent="0.25">
      <c r="A2026">
        <v>6512</v>
      </c>
      <c r="B2026" t="s">
        <v>3971</v>
      </c>
      <c r="C2026" t="s">
        <v>69</v>
      </c>
    </row>
    <row r="2027" spans="1:3" x14ac:dyDescent="0.25">
      <c r="A2027">
        <v>6513</v>
      </c>
      <c r="B2027" t="s">
        <v>3972</v>
      </c>
      <c r="C2027" t="s">
        <v>69</v>
      </c>
    </row>
    <row r="2028" spans="1:3" x14ac:dyDescent="0.25">
      <c r="A2028">
        <v>6601</v>
      </c>
      <c r="B2028" t="s">
        <v>3973</v>
      </c>
      <c r="C2028" t="s">
        <v>72</v>
      </c>
    </row>
    <row r="2029" spans="1:3" x14ac:dyDescent="0.25">
      <c r="A2029">
        <v>6602</v>
      </c>
      <c r="B2029" t="s">
        <v>3974</v>
      </c>
      <c r="C2029" t="s">
        <v>72</v>
      </c>
    </row>
    <row r="2030" spans="1:3" x14ac:dyDescent="0.25">
      <c r="A2030">
        <v>6603</v>
      </c>
      <c r="B2030" t="s">
        <v>3975</v>
      </c>
      <c r="C2030" t="s">
        <v>72</v>
      </c>
    </row>
    <row r="2031" spans="1:3" x14ac:dyDescent="0.25">
      <c r="A2031">
        <v>6604</v>
      </c>
      <c r="B2031" t="s">
        <v>3976</v>
      </c>
      <c r="C2031" t="s">
        <v>72</v>
      </c>
    </row>
    <row r="2032" spans="1:3" x14ac:dyDescent="0.25">
      <c r="A2032">
        <v>6605</v>
      </c>
      <c r="B2032" t="s">
        <v>3977</v>
      </c>
      <c r="C2032" t="s">
        <v>72</v>
      </c>
    </row>
    <row r="2033" spans="1:3" x14ac:dyDescent="0.25">
      <c r="A2033">
        <v>6606</v>
      </c>
      <c r="B2033" t="s">
        <v>3978</v>
      </c>
      <c r="C2033" t="s">
        <v>72</v>
      </c>
    </row>
    <row r="2034" spans="1:3" x14ac:dyDescent="0.25">
      <c r="A2034">
        <v>6607</v>
      </c>
      <c r="B2034" t="s">
        <v>3979</v>
      </c>
      <c r="C2034" t="s">
        <v>72</v>
      </c>
    </row>
    <row r="2035" spans="1:3" x14ac:dyDescent="0.25">
      <c r="A2035">
        <v>6608</v>
      </c>
      <c r="B2035" t="s">
        <v>3980</v>
      </c>
      <c r="C2035" t="s">
        <v>72</v>
      </c>
    </row>
    <row r="2036" spans="1:3" x14ac:dyDescent="0.25">
      <c r="A2036">
        <v>6609</v>
      </c>
      <c r="B2036" t="s">
        <v>3981</v>
      </c>
      <c r="C2036" t="s">
        <v>72</v>
      </c>
    </row>
    <row r="2037" spans="1:3" x14ac:dyDescent="0.25">
      <c r="A2037">
        <v>6610</v>
      </c>
      <c r="B2037" t="s">
        <v>3982</v>
      </c>
      <c r="C2037" t="s">
        <v>72</v>
      </c>
    </row>
    <row r="2038" spans="1:3" x14ac:dyDescent="0.25">
      <c r="A2038">
        <v>6611</v>
      </c>
      <c r="B2038" t="s">
        <v>3983</v>
      </c>
      <c r="C2038" t="s">
        <v>72</v>
      </c>
    </row>
    <row r="2039" spans="1:3" x14ac:dyDescent="0.25">
      <c r="A2039">
        <v>6612</v>
      </c>
      <c r="B2039" t="s">
        <v>3984</v>
      </c>
      <c r="C2039" t="s">
        <v>72</v>
      </c>
    </row>
    <row r="2040" spans="1:3" x14ac:dyDescent="0.25">
      <c r="A2040">
        <v>6613</v>
      </c>
      <c r="B2040" t="s">
        <v>3985</v>
      </c>
      <c r="C2040" t="s">
        <v>72</v>
      </c>
    </row>
    <row r="2041" spans="1:3" x14ac:dyDescent="0.25">
      <c r="A2041">
        <v>6614</v>
      </c>
      <c r="B2041" t="s">
        <v>3986</v>
      </c>
      <c r="C2041" t="s">
        <v>72</v>
      </c>
    </row>
    <row r="2042" spans="1:3" x14ac:dyDescent="0.25">
      <c r="A2042">
        <v>6615</v>
      </c>
      <c r="B2042" t="s">
        <v>3987</v>
      </c>
      <c r="C2042" t="s">
        <v>72</v>
      </c>
    </row>
    <row r="2043" spans="1:3" x14ac:dyDescent="0.25">
      <c r="A2043">
        <v>6616</v>
      </c>
      <c r="B2043" t="s">
        <v>3988</v>
      </c>
      <c r="C2043" t="s">
        <v>72</v>
      </c>
    </row>
    <row r="2044" spans="1:3" x14ac:dyDescent="0.25">
      <c r="A2044">
        <v>6617</v>
      </c>
      <c r="B2044" t="s">
        <v>3989</v>
      </c>
      <c r="C2044" t="s">
        <v>72</v>
      </c>
    </row>
    <row r="2045" spans="1:3" x14ac:dyDescent="0.25">
      <c r="A2045">
        <v>6618</v>
      </c>
      <c r="B2045" t="s">
        <v>3990</v>
      </c>
      <c r="C2045" t="s">
        <v>72</v>
      </c>
    </row>
    <row r="2046" spans="1:3" x14ac:dyDescent="0.25">
      <c r="A2046">
        <v>6619</v>
      </c>
      <c r="B2046" t="s">
        <v>3991</v>
      </c>
      <c r="C2046" t="s">
        <v>72</v>
      </c>
    </row>
    <row r="2047" spans="1:3" x14ac:dyDescent="0.25">
      <c r="A2047">
        <v>6620</v>
      </c>
      <c r="B2047" t="s">
        <v>3992</v>
      </c>
      <c r="C2047" t="s">
        <v>72</v>
      </c>
    </row>
    <row r="2048" spans="1:3" x14ac:dyDescent="0.25">
      <c r="A2048">
        <v>6621</v>
      </c>
      <c r="B2048" t="s">
        <v>74</v>
      </c>
      <c r="C2048" t="s">
        <v>72</v>
      </c>
    </row>
    <row r="2049" spans="1:3" x14ac:dyDescent="0.25">
      <c r="A2049">
        <v>6622</v>
      </c>
      <c r="B2049" t="s">
        <v>3993</v>
      </c>
      <c r="C2049" t="s">
        <v>72</v>
      </c>
    </row>
    <row r="2050" spans="1:3" x14ac:dyDescent="0.25">
      <c r="A2050">
        <v>6623</v>
      </c>
      <c r="B2050" t="s">
        <v>3994</v>
      </c>
      <c r="C2050" t="s">
        <v>72</v>
      </c>
    </row>
    <row r="2051" spans="1:3" x14ac:dyDescent="0.25">
      <c r="A2051">
        <v>6624</v>
      </c>
      <c r="B2051" t="s">
        <v>3995</v>
      </c>
      <c r="C2051" t="s">
        <v>72</v>
      </c>
    </row>
    <row r="2052" spans="1:3" x14ac:dyDescent="0.25">
      <c r="A2052">
        <v>6625</v>
      </c>
      <c r="B2052" t="s">
        <v>3996</v>
      </c>
      <c r="C2052" t="s">
        <v>72</v>
      </c>
    </row>
    <row r="2053" spans="1:3" x14ac:dyDescent="0.25">
      <c r="A2053">
        <v>6626</v>
      </c>
      <c r="B2053" t="s">
        <v>3997</v>
      </c>
      <c r="C2053" t="s">
        <v>72</v>
      </c>
    </row>
    <row r="2054" spans="1:3" x14ac:dyDescent="0.25">
      <c r="A2054">
        <v>6627</v>
      </c>
      <c r="B2054" t="s">
        <v>3998</v>
      </c>
      <c r="C2054" t="s">
        <v>72</v>
      </c>
    </row>
    <row r="2055" spans="1:3" x14ac:dyDescent="0.25">
      <c r="A2055">
        <v>6628</v>
      </c>
      <c r="B2055" t="s">
        <v>3999</v>
      </c>
      <c r="C2055" t="s">
        <v>72</v>
      </c>
    </row>
    <row r="2056" spans="1:3" x14ac:dyDescent="0.25">
      <c r="A2056">
        <v>6629</v>
      </c>
      <c r="B2056" t="s">
        <v>4000</v>
      </c>
      <c r="C2056" t="s">
        <v>72</v>
      </c>
    </row>
    <row r="2057" spans="1:3" x14ac:dyDescent="0.25">
      <c r="A2057">
        <v>6630</v>
      </c>
      <c r="B2057" t="s">
        <v>4001</v>
      </c>
      <c r="C2057" t="s">
        <v>72</v>
      </c>
    </row>
    <row r="2058" spans="1:3" x14ac:dyDescent="0.25">
      <c r="A2058">
        <v>6631</v>
      </c>
      <c r="B2058" t="s">
        <v>4002</v>
      </c>
      <c r="C2058" t="s">
        <v>72</v>
      </c>
    </row>
    <row r="2059" spans="1:3" x14ac:dyDescent="0.25">
      <c r="A2059">
        <v>6632</v>
      </c>
      <c r="B2059" t="s">
        <v>4003</v>
      </c>
      <c r="C2059" t="s">
        <v>72</v>
      </c>
    </row>
    <row r="2060" spans="1:3" x14ac:dyDescent="0.25">
      <c r="A2060">
        <v>6633</v>
      </c>
      <c r="B2060" t="s">
        <v>4004</v>
      </c>
      <c r="C2060" t="s">
        <v>72</v>
      </c>
    </row>
    <row r="2061" spans="1:3" x14ac:dyDescent="0.25">
      <c r="A2061">
        <v>6634</v>
      </c>
      <c r="B2061" t="s">
        <v>4005</v>
      </c>
      <c r="C2061" t="s">
        <v>72</v>
      </c>
    </row>
    <row r="2062" spans="1:3" x14ac:dyDescent="0.25">
      <c r="A2062">
        <v>6635</v>
      </c>
      <c r="B2062" t="s">
        <v>4006</v>
      </c>
      <c r="C2062" t="s">
        <v>72</v>
      </c>
    </row>
    <row r="2063" spans="1:3" x14ac:dyDescent="0.25">
      <c r="A2063">
        <v>6636</v>
      </c>
      <c r="B2063" t="s">
        <v>4007</v>
      </c>
      <c r="C2063" t="s">
        <v>72</v>
      </c>
    </row>
    <row r="2064" spans="1:3" x14ac:dyDescent="0.25">
      <c r="A2064">
        <v>6637</v>
      </c>
      <c r="B2064" t="s">
        <v>4008</v>
      </c>
      <c r="C2064" t="s">
        <v>72</v>
      </c>
    </row>
    <row r="2065" spans="1:3" x14ac:dyDescent="0.25">
      <c r="A2065">
        <v>6638</v>
      </c>
      <c r="B2065" t="s">
        <v>4009</v>
      </c>
      <c r="C2065" t="s">
        <v>72</v>
      </c>
    </row>
    <row r="2066" spans="1:3" x14ac:dyDescent="0.25">
      <c r="A2066">
        <v>6639</v>
      </c>
      <c r="B2066" t="s">
        <v>4010</v>
      </c>
      <c r="C2066" t="s">
        <v>72</v>
      </c>
    </row>
    <row r="2067" spans="1:3" x14ac:dyDescent="0.25">
      <c r="A2067">
        <v>6640</v>
      </c>
      <c r="B2067" t="s">
        <v>4011</v>
      </c>
      <c r="C2067" t="s">
        <v>72</v>
      </c>
    </row>
    <row r="2068" spans="1:3" x14ac:dyDescent="0.25">
      <c r="A2068">
        <v>6641</v>
      </c>
      <c r="B2068" t="s">
        <v>4012</v>
      </c>
      <c r="C2068" t="s">
        <v>72</v>
      </c>
    </row>
    <row r="2069" spans="1:3" x14ac:dyDescent="0.25">
      <c r="A2069">
        <v>6642</v>
      </c>
      <c r="B2069" t="s">
        <v>4013</v>
      </c>
      <c r="C2069" t="s">
        <v>72</v>
      </c>
    </row>
    <row r="2070" spans="1:3" x14ac:dyDescent="0.25">
      <c r="A2070">
        <v>6643</v>
      </c>
      <c r="B2070" t="s">
        <v>4014</v>
      </c>
      <c r="C2070" t="s">
        <v>72</v>
      </c>
    </row>
    <row r="2071" spans="1:3" x14ac:dyDescent="0.25">
      <c r="A2071">
        <v>6644</v>
      </c>
      <c r="B2071" t="s">
        <v>4015</v>
      </c>
      <c r="C2071" t="s">
        <v>72</v>
      </c>
    </row>
    <row r="2072" spans="1:3" x14ac:dyDescent="0.25">
      <c r="A2072">
        <v>6645</v>
      </c>
      <c r="B2072" t="s">
        <v>4016</v>
      </c>
      <c r="C2072" t="s">
        <v>72</v>
      </c>
    </row>
    <row r="2073" spans="1:3" x14ac:dyDescent="0.25">
      <c r="A2073">
        <v>6702</v>
      </c>
      <c r="B2073" t="s">
        <v>4017</v>
      </c>
      <c r="C2073" t="s">
        <v>75</v>
      </c>
    </row>
    <row r="2074" spans="1:3" x14ac:dyDescent="0.25">
      <c r="A2074">
        <v>6703</v>
      </c>
      <c r="B2074" t="s">
        <v>4018</v>
      </c>
      <c r="C2074" t="s">
        <v>75</v>
      </c>
    </row>
    <row r="2075" spans="1:3" x14ac:dyDescent="0.25">
      <c r="A2075">
        <v>6704</v>
      </c>
      <c r="B2075" t="s">
        <v>4019</v>
      </c>
      <c r="C2075" t="s">
        <v>75</v>
      </c>
    </row>
    <row r="2076" spans="1:3" x14ac:dyDescent="0.25">
      <c r="A2076">
        <v>6706</v>
      </c>
      <c r="B2076" t="s">
        <v>4020</v>
      </c>
      <c r="C2076" t="s">
        <v>75</v>
      </c>
    </row>
    <row r="2077" spans="1:3" x14ac:dyDescent="0.25">
      <c r="A2077">
        <v>6708</v>
      </c>
      <c r="B2077" t="s">
        <v>4021</v>
      </c>
      <c r="C2077" t="s">
        <v>75</v>
      </c>
    </row>
    <row r="2078" spans="1:3" x14ac:dyDescent="0.25">
      <c r="A2078">
        <v>6709</v>
      </c>
      <c r="B2078" t="s">
        <v>4022</v>
      </c>
      <c r="C2078" t="s">
        <v>75</v>
      </c>
    </row>
    <row r="2079" spans="1:3" x14ac:dyDescent="0.25">
      <c r="A2079">
        <v>6710</v>
      </c>
      <c r="B2079" t="s">
        <v>4023</v>
      </c>
      <c r="C2079" t="s">
        <v>75</v>
      </c>
    </row>
    <row r="2080" spans="1:3" x14ac:dyDescent="0.25">
      <c r="A2080">
        <v>6711</v>
      </c>
      <c r="B2080" t="s">
        <v>4024</v>
      </c>
      <c r="C2080" t="s">
        <v>75</v>
      </c>
    </row>
    <row r="2081" spans="1:3" x14ac:dyDescent="0.25">
      <c r="A2081">
        <v>6712</v>
      </c>
      <c r="B2081" t="s">
        <v>4025</v>
      </c>
      <c r="C2081" t="s">
        <v>75</v>
      </c>
    </row>
    <row r="2082" spans="1:3" x14ac:dyDescent="0.25">
      <c r="A2082">
        <v>6713</v>
      </c>
      <c r="B2082" t="s">
        <v>4026</v>
      </c>
      <c r="C2082" t="s">
        <v>75</v>
      </c>
    </row>
    <row r="2083" spans="1:3" x14ac:dyDescent="0.25">
      <c r="A2083">
        <v>6715</v>
      </c>
      <c r="B2083" t="s">
        <v>4027</v>
      </c>
      <c r="C2083" t="s">
        <v>75</v>
      </c>
    </row>
    <row r="2084" spans="1:3" x14ac:dyDescent="0.25">
      <c r="A2084">
        <v>6716</v>
      </c>
      <c r="B2084" t="s">
        <v>4028</v>
      </c>
      <c r="C2084" t="s">
        <v>75</v>
      </c>
    </row>
    <row r="2085" spans="1:3" x14ac:dyDescent="0.25">
      <c r="A2085">
        <v>6718</v>
      </c>
      <c r="B2085" t="s">
        <v>4029</v>
      </c>
      <c r="C2085" t="s">
        <v>75</v>
      </c>
    </row>
    <row r="2086" spans="1:3" x14ac:dyDescent="0.25">
      <c r="A2086">
        <v>6719</v>
      </c>
      <c r="B2086" t="s">
        <v>4030</v>
      </c>
      <c r="C2086" t="s">
        <v>75</v>
      </c>
    </row>
    <row r="2087" spans="1:3" x14ac:dyDescent="0.25">
      <c r="A2087">
        <v>6721</v>
      </c>
      <c r="B2087" t="s">
        <v>4031</v>
      </c>
      <c r="C2087" t="s">
        <v>75</v>
      </c>
    </row>
    <row r="2088" spans="1:3" x14ac:dyDescent="0.25">
      <c r="A2088">
        <v>6722</v>
      </c>
      <c r="B2088" t="s">
        <v>4032</v>
      </c>
      <c r="C2088" t="s">
        <v>75</v>
      </c>
    </row>
    <row r="2089" spans="1:3" x14ac:dyDescent="0.25">
      <c r="A2089">
        <v>6724</v>
      </c>
      <c r="B2089" t="s">
        <v>4033</v>
      </c>
      <c r="C2089" t="s">
        <v>75</v>
      </c>
    </row>
    <row r="2090" spans="1:3" x14ac:dyDescent="0.25">
      <c r="A2090">
        <v>6729</v>
      </c>
      <c r="B2090" t="s">
        <v>4034</v>
      </c>
      <c r="C2090" t="s">
        <v>75</v>
      </c>
    </row>
    <row r="2091" spans="1:3" x14ac:dyDescent="0.25">
      <c r="A2091">
        <v>6730</v>
      </c>
      <c r="B2091" t="s">
        <v>4035</v>
      </c>
      <c r="C2091" t="s">
        <v>75</v>
      </c>
    </row>
    <row r="2092" spans="1:3" x14ac:dyDescent="0.25">
      <c r="A2092">
        <v>6741</v>
      </c>
      <c r="B2092" t="s">
        <v>4036</v>
      </c>
      <c r="C2092" t="s">
        <v>75</v>
      </c>
    </row>
    <row r="2093" spans="1:3" x14ac:dyDescent="0.25">
      <c r="A2093">
        <v>6742</v>
      </c>
      <c r="B2093" t="s">
        <v>4037</v>
      </c>
      <c r="C2093" t="s">
        <v>75</v>
      </c>
    </row>
    <row r="2094" spans="1:3" x14ac:dyDescent="0.25">
      <c r="A2094">
        <v>6743</v>
      </c>
      <c r="B2094" t="s">
        <v>4038</v>
      </c>
      <c r="C2094" t="s">
        <v>75</v>
      </c>
    </row>
    <row r="2095" spans="1:3" x14ac:dyDescent="0.25">
      <c r="A2095">
        <v>6745</v>
      </c>
      <c r="B2095" t="s">
        <v>4039</v>
      </c>
      <c r="C2095" t="s">
        <v>75</v>
      </c>
    </row>
    <row r="2096" spans="1:3" x14ac:dyDescent="0.25">
      <c r="A2096">
        <v>6748</v>
      </c>
      <c r="B2096" t="s">
        <v>4040</v>
      </c>
      <c r="C2096" t="s">
        <v>75</v>
      </c>
    </row>
    <row r="2097" spans="1:3" x14ac:dyDescent="0.25">
      <c r="A2097">
        <v>6750</v>
      </c>
      <c r="B2097" t="s">
        <v>4041</v>
      </c>
      <c r="C2097" t="s">
        <v>75</v>
      </c>
    </row>
    <row r="2098" spans="1:3" x14ac:dyDescent="0.25">
      <c r="A2098">
        <v>6751</v>
      </c>
      <c r="B2098" t="s">
        <v>4042</v>
      </c>
      <c r="C2098" t="s">
        <v>75</v>
      </c>
    </row>
    <row r="2099" spans="1:3" x14ac:dyDescent="0.25">
      <c r="A2099">
        <v>6753</v>
      </c>
      <c r="B2099" t="s">
        <v>4043</v>
      </c>
      <c r="C2099" t="s">
        <v>75</v>
      </c>
    </row>
    <row r="2100" spans="1:3" x14ac:dyDescent="0.25">
      <c r="A2100">
        <v>6754</v>
      </c>
      <c r="B2100" t="s">
        <v>4044</v>
      </c>
      <c r="C2100" t="s">
        <v>75</v>
      </c>
    </row>
    <row r="2101" spans="1:3" x14ac:dyDescent="0.25">
      <c r="A2101">
        <v>6757</v>
      </c>
      <c r="B2101" t="s">
        <v>4045</v>
      </c>
      <c r="C2101" t="s">
        <v>75</v>
      </c>
    </row>
    <row r="2102" spans="1:3" x14ac:dyDescent="0.25">
      <c r="A2102">
        <v>6758</v>
      </c>
      <c r="B2102" t="s">
        <v>4046</v>
      </c>
      <c r="C2102" t="s">
        <v>75</v>
      </c>
    </row>
    <row r="2103" spans="1:3" x14ac:dyDescent="0.25">
      <c r="A2103">
        <v>6759</v>
      </c>
      <c r="B2103" t="s">
        <v>4047</v>
      </c>
      <c r="C2103" t="s">
        <v>75</v>
      </c>
    </row>
    <row r="2104" spans="1:3" x14ac:dyDescent="0.25">
      <c r="A2104">
        <v>6771</v>
      </c>
      <c r="B2104" t="s">
        <v>4048</v>
      </c>
      <c r="C2104" t="s">
        <v>75</v>
      </c>
    </row>
    <row r="2105" spans="1:3" x14ac:dyDescent="0.25">
      <c r="A2105">
        <v>6774</v>
      </c>
      <c r="B2105" t="s">
        <v>4049</v>
      </c>
      <c r="C2105" t="s">
        <v>75</v>
      </c>
    </row>
    <row r="2106" spans="1:3" x14ac:dyDescent="0.25">
      <c r="A2106">
        <v>6778</v>
      </c>
      <c r="B2106" t="s">
        <v>4050</v>
      </c>
      <c r="C2106" t="s">
        <v>75</v>
      </c>
    </row>
    <row r="2107" spans="1:3" x14ac:dyDescent="0.25">
      <c r="A2107">
        <v>6781</v>
      </c>
      <c r="B2107" t="s">
        <v>4051</v>
      </c>
      <c r="C2107" t="s">
        <v>75</v>
      </c>
    </row>
    <row r="2108" spans="1:3" x14ac:dyDescent="0.25">
      <c r="A2108">
        <v>6782</v>
      </c>
      <c r="B2108" t="s">
        <v>4052</v>
      </c>
      <c r="C2108" t="s">
        <v>75</v>
      </c>
    </row>
    <row r="2109" spans="1:3" x14ac:dyDescent="0.25">
      <c r="A2109">
        <v>6783</v>
      </c>
      <c r="B2109" t="s">
        <v>4053</v>
      </c>
      <c r="C2109" t="s">
        <v>75</v>
      </c>
    </row>
    <row r="2110" spans="1:3" x14ac:dyDescent="0.25">
      <c r="A2110">
        <v>6784</v>
      </c>
      <c r="B2110" t="s">
        <v>4054</v>
      </c>
      <c r="C2110" t="s">
        <v>75</v>
      </c>
    </row>
    <row r="2111" spans="1:3" x14ac:dyDescent="0.25">
      <c r="A2111">
        <v>6785</v>
      </c>
      <c r="B2111" t="s">
        <v>4055</v>
      </c>
      <c r="C2111" t="s">
        <v>75</v>
      </c>
    </row>
    <row r="2112" spans="1:3" x14ac:dyDescent="0.25">
      <c r="A2112">
        <v>6789</v>
      </c>
      <c r="B2112" t="s">
        <v>4056</v>
      </c>
      <c r="C2112" t="s">
        <v>75</v>
      </c>
    </row>
    <row r="2113" spans="1:3" x14ac:dyDescent="0.25">
      <c r="A2113">
        <v>6790</v>
      </c>
      <c r="B2113" t="s">
        <v>4057</v>
      </c>
      <c r="C2113" t="s">
        <v>75</v>
      </c>
    </row>
    <row r="2114" spans="1:3" x14ac:dyDescent="0.25">
      <c r="A2114">
        <v>6792</v>
      </c>
      <c r="B2114" t="s">
        <v>4058</v>
      </c>
      <c r="C2114" t="s">
        <v>75</v>
      </c>
    </row>
    <row r="2115" spans="1:3" x14ac:dyDescent="0.25">
      <c r="A2115">
        <v>6800</v>
      </c>
      <c r="B2115" t="s">
        <v>4059</v>
      </c>
      <c r="C2115" t="s">
        <v>75</v>
      </c>
    </row>
    <row r="2116" spans="1:3" x14ac:dyDescent="0.25">
      <c r="A2116">
        <v>6806</v>
      </c>
      <c r="B2116" t="s">
        <v>4060</v>
      </c>
      <c r="C2116" t="s">
        <v>75</v>
      </c>
    </row>
    <row r="2117" spans="1:3" x14ac:dyDescent="0.25">
      <c r="A2117">
        <v>6807</v>
      </c>
      <c r="B2117" t="s">
        <v>4061</v>
      </c>
      <c r="C2117" t="s">
        <v>75</v>
      </c>
    </row>
    <row r="2118" spans="1:3" x14ac:dyDescent="0.25">
      <c r="A2118">
        <v>6808</v>
      </c>
      <c r="B2118" t="s">
        <v>4062</v>
      </c>
      <c r="C2118" t="s">
        <v>75</v>
      </c>
    </row>
    <row r="2119" spans="1:3" x14ac:dyDescent="0.25">
      <c r="A2119">
        <v>6809</v>
      </c>
      <c r="B2119" t="s">
        <v>4063</v>
      </c>
      <c r="C2119" t="s">
        <v>75</v>
      </c>
    </row>
    <row r="2120" spans="1:3" x14ac:dyDescent="0.25">
      <c r="A2120">
        <v>6810</v>
      </c>
      <c r="B2120" t="s">
        <v>4064</v>
      </c>
      <c r="C2120" t="s">
        <v>75</v>
      </c>
    </row>
    <row r="2121" spans="1:3" x14ac:dyDescent="0.25">
      <c r="A2121">
        <v>6811</v>
      </c>
      <c r="B2121" t="s">
        <v>4065</v>
      </c>
      <c r="C2121" t="s">
        <v>75</v>
      </c>
    </row>
    <row r="2122" spans="1:3" x14ac:dyDescent="0.25">
      <c r="A2122">
        <v>6812</v>
      </c>
      <c r="B2122" t="s">
        <v>4066</v>
      </c>
      <c r="C2122" t="s">
        <v>75</v>
      </c>
    </row>
  </sheetData>
  <autoFilter ref="A1:C1" xr:uid="{8A8CB0A3-844A-4259-9854-4E7DB73103C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6BE8F-65F6-4110-9258-1B96B06382AB}">
  <dimension ref="A1:X93"/>
  <sheetViews>
    <sheetView topLeftCell="B17" workbookViewId="0">
      <selection activeCell="I41" sqref="I41"/>
    </sheetView>
  </sheetViews>
  <sheetFormatPr defaultRowHeight="15" x14ac:dyDescent="0.25"/>
  <cols>
    <col min="1" max="1" width="16.140625" customWidth="1"/>
    <col min="2" max="2" width="18" customWidth="1"/>
    <col min="3" max="3" width="11.42578125" customWidth="1"/>
    <col min="5" max="5" width="14.7109375" customWidth="1"/>
    <col min="6" max="6" width="5.140625" customWidth="1"/>
    <col min="7" max="7" width="11.5703125" customWidth="1"/>
    <col min="12" max="12" width="17.5703125" customWidth="1"/>
    <col min="13" max="13" width="13" customWidth="1"/>
    <col min="14" max="14" width="16.42578125" customWidth="1"/>
  </cols>
  <sheetData>
    <row r="1" spans="1:12" x14ac:dyDescent="0.25">
      <c r="A1" s="2" t="s">
        <v>4501</v>
      </c>
      <c r="B1" s="2" t="s">
        <v>4502</v>
      </c>
      <c r="C1" s="2" t="s">
        <v>4503</v>
      </c>
      <c r="D1" s="2" t="s">
        <v>4504</v>
      </c>
      <c r="E1" s="2" t="s">
        <v>4505</v>
      </c>
      <c r="F1" s="2" t="s">
        <v>4555</v>
      </c>
      <c r="G1" s="2" t="s">
        <v>4506</v>
      </c>
      <c r="H1" s="2" t="s">
        <v>4507</v>
      </c>
    </row>
    <row r="2" spans="1:12" x14ac:dyDescent="0.25">
      <c r="A2" s="4" t="s">
        <v>4458</v>
      </c>
      <c r="B2" s="4" t="s">
        <v>4508</v>
      </c>
      <c r="C2" s="4">
        <v>1</v>
      </c>
      <c r="D2" s="4">
        <v>1</v>
      </c>
    </row>
    <row r="3" spans="1:12" x14ac:dyDescent="0.25">
      <c r="A3" s="4" t="s">
        <v>4458</v>
      </c>
      <c r="B3" s="4" t="s">
        <v>4509</v>
      </c>
      <c r="C3" s="4">
        <v>6</v>
      </c>
      <c r="D3" s="4">
        <v>8</v>
      </c>
    </row>
    <row r="4" spans="1:12" x14ac:dyDescent="0.25">
      <c r="A4" s="5" t="s">
        <v>1262</v>
      </c>
      <c r="B4" s="6" t="s">
        <v>4508</v>
      </c>
      <c r="C4" s="6">
        <v>1</v>
      </c>
      <c r="D4" s="7">
        <v>1</v>
      </c>
      <c r="E4" t="s">
        <v>4510</v>
      </c>
      <c r="F4" s="18">
        <v>97</v>
      </c>
      <c r="G4" s="18" t="s">
        <v>4511</v>
      </c>
      <c r="H4" s="5" t="s">
        <v>4512</v>
      </c>
      <c r="I4" s="6"/>
      <c r="J4" s="6" t="s">
        <v>4513</v>
      </c>
      <c r="K4" s="6"/>
      <c r="L4" s="7"/>
    </row>
    <row r="5" spans="1:12" x14ac:dyDescent="0.25">
      <c r="A5" s="8" t="s">
        <v>1262</v>
      </c>
      <c r="B5" t="s">
        <v>4509</v>
      </c>
      <c r="C5">
        <v>58</v>
      </c>
      <c r="D5" s="9">
        <v>67</v>
      </c>
      <c r="H5" s="10" t="s">
        <v>4514</v>
      </c>
      <c r="I5" s="11"/>
      <c r="J5" s="11" t="s">
        <v>4515</v>
      </c>
      <c r="K5" s="11"/>
      <c r="L5" s="12"/>
    </row>
    <row r="6" spans="1:12" x14ac:dyDescent="0.25">
      <c r="A6" s="8" t="s">
        <v>1125</v>
      </c>
      <c r="B6" t="s">
        <v>4508</v>
      </c>
      <c r="C6">
        <v>4</v>
      </c>
      <c r="D6" s="9">
        <v>4</v>
      </c>
    </row>
    <row r="7" spans="1:12" x14ac:dyDescent="0.25">
      <c r="A7" s="10" t="s">
        <v>1125</v>
      </c>
      <c r="B7" s="11" t="s">
        <v>4509</v>
      </c>
      <c r="C7" s="11">
        <v>20</v>
      </c>
      <c r="D7" s="12">
        <v>35</v>
      </c>
    </row>
    <row r="8" spans="1:12" x14ac:dyDescent="0.25">
      <c r="A8" s="4" t="s">
        <v>4460</v>
      </c>
      <c r="B8" s="4" t="s">
        <v>4508</v>
      </c>
      <c r="C8" s="4">
        <v>4</v>
      </c>
      <c r="D8" s="4">
        <v>5</v>
      </c>
    </row>
    <row r="9" spans="1:12" x14ac:dyDescent="0.25">
      <c r="A9" s="4" t="s">
        <v>4460</v>
      </c>
      <c r="B9" s="4" t="s">
        <v>4509</v>
      </c>
      <c r="C9" s="4">
        <v>4</v>
      </c>
      <c r="D9" s="4">
        <v>4</v>
      </c>
    </row>
    <row r="10" spans="1:12" x14ac:dyDescent="0.25">
      <c r="A10" s="4" t="s">
        <v>4461</v>
      </c>
      <c r="B10" s="4" t="s">
        <v>4509</v>
      </c>
      <c r="C10" s="4">
        <v>3</v>
      </c>
      <c r="D10" s="4">
        <v>3</v>
      </c>
    </row>
    <row r="11" spans="1:12" x14ac:dyDescent="0.25">
      <c r="A11" s="4" t="s">
        <v>4449</v>
      </c>
      <c r="B11" s="4" t="s">
        <v>4509</v>
      </c>
      <c r="C11" s="4">
        <v>7</v>
      </c>
      <c r="D11" s="4">
        <v>10</v>
      </c>
    </row>
    <row r="12" spans="1:12" x14ac:dyDescent="0.25">
      <c r="A12" s="4" t="s">
        <v>4464</v>
      </c>
      <c r="B12" s="4" t="s">
        <v>4509</v>
      </c>
      <c r="C12" s="4">
        <v>11</v>
      </c>
      <c r="D12" s="4">
        <v>11</v>
      </c>
    </row>
    <row r="13" spans="1:12" x14ac:dyDescent="0.25">
      <c r="A13" s="5" t="s">
        <v>4447</v>
      </c>
      <c r="B13" s="6" t="s">
        <v>4508</v>
      </c>
      <c r="C13" s="6">
        <v>26</v>
      </c>
      <c r="D13" s="7">
        <v>174</v>
      </c>
      <c r="E13" t="s">
        <v>4516</v>
      </c>
      <c r="F13" s="18">
        <v>7</v>
      </c>
      <c r="G13" s="18" t="s">
        <v>4517</v>
      </c>
      <c r="H13" s="5" t="s">
        <v>4512</v>
      </c>
      <c r="I13" s="6"/>
      <c r="J13" s="6" t="s">
        <v>4556</v>
      </c>
      <c r="K13" s="6"/>
      <c r="L13" s="7"/>
    </row>
    <row r="14" spans="1:12" x14ac:dyDescent="0.25">
      <c r="A14" s="8" t="s">
        <v>4447</v>
      </c>
      <c r="B14" t="s">
        <v>4509</v>
      </c>
      <c r="C14">
        <v>293</v>
      </c>
      <c r="D14" s="9">
        <v>605</v>
      </c>
      <c r="H14" s="8"/>
      <c r="J14" t="s">
        <v>4557</v>
      </c>
      <c r="L14" s="9"/>
    </row>
    <row r="15" spans="1:12" x14ac:dyDescent="0.25">
      <c r="A15" s="8" t="s">
        <v>4442</v>
      </c>
      <c r="B15" t="s">
        <v>4508</v>
      </c>
      <c r="C15">
        <v>26</v>
      </c>
      <c r="D15" s="9">
        <v>79</v>
      </c>
      <c r="H15" s="10"/>
      <c r="I15" s="11"/>
      <c r="J15" s="11" t="s">
        <v>4558</v>
      </c>
      <c r="K15" s="11"/>
      <c r="L15" s="12"/>
    </row>
    <row r="16" spans="1:12" x14ac:dyDescent="0.25">
      <c r="A16" s="8" t="s">
        <v>4442</v>
      </c>
      <c r="B16" t="s">
        <v>4509</v>
      </c>
      <c r="C16">
        <v>188</v>
      </c>
      <c r="D16" s="9">
        <v>286</v>
      </c>
      <c r="H16" t="s">
        <v>4518</v>
      </c>
    </row>
    <row r="17" spans="1:24" x14ac:dyDescent="0.25">
      <c r="A17" t="s">
        <v>4443</v>
      </c>
      <c r="B17" t="s">
        <v>4509</v>
      </c>
      <c r="C17">
        <v>60</v>
      </c>
      <c r="D17">
        <v>71</v>
      </c>
    </row>
    <row r="18" spans="1:24" x14ac:dyDescent="0.25">
      <c r="A18" s="8" t="s">
        <v>4446</v>
      </c>
      <c r="B18" t="s">
        <v>4508</v>
      </c>
      <c r="C18">
        <v>4</v>
      </c>
      <c r="D18" s="9">
        <v>8</v>
      </c>
    </row>
    <row r="19" spans="1:24" x14ac:dyDescent="0.25">
      <c r="A19" s="10" t="s">
        <v>4446</v>
      </c>
      <c r="B19" s="11" t="s">
        <v>4509</v>
      </c>
      <c r="C19" s="11">
        <v>21</v>
      </c>
      <c r="D19" s="12">
        <v>22</v>
      </c>
    </row>
    <row r="20" spans="1:24" x14ac:dyDescent="0.25">
      <c r="A20" s="4" t="s">
        <v>1670</v>
      </c>
      <c r="B20" s="4" t="s">
        <v>4509</v>
      </c>
      <c r="C20" s="4">
        <v>60</v>
      </c>
      <c r="D20" s="4">
        <v>60</v>
      </c>
      <c r="E20" s="4" t="s">
        <v>4519</v>
      </c>
      <c r="F20" s="4"/>
      <c r="G20" s="4"/>
    </row>
    <row r="21" spans="1:24" x14ac:dyDescent="0.25">
      <c r="A21" s="4" t="s">
        <v>4457</v>
      </c>
      <c r="B21" s="4" t="s">
        <v>4508</v>
      </c>
      <c r="C21" s="4">
        <v>1</v>
      </c>
      <c r="D21" s="4">
        <v>1</v>
      </c>
    </row>
    <row r="22" spans="1:24" x14ac:dyDescent="0.25">
      <c r="A22" s="4" t="s">
        <v>4457</v>
      </c>
      <c r="B22" s="4" t="s">
        <v>4509</v>
      </c>
      <c r="C22" s="4">
        <v>7</v>
      </c>
      <c r="D22" s="4">
        <v>7</v>
      </c>
    </row>
    <row r="23" spans="1:24" x14ac:dyDescent="0.25">
      <c r="A23" s="5" t="s">
        <v>4445</v>
      </c>
      <c r="B23" s="6" t="s">
        <v>4508</v>
      </c>
      <c r="C23" s="6">
        <v>14</v>
      </c>
      <c r="D23" s="7">
        <v>24</v>
      </c>
      <c r="E23" t="s">
        <v>4520</v>
      </c>
      <c r="F23" s="18">
        <v>71</v>
      </c>
      <c r="G23" s="18" t="s">
        <v>4521</v>
      </c>
      <c r="H23" s="5" t="s">
        <v>4512</v>
      </c>
      <c r="I23" s="6"/>
      <c r="J23" s="6" t="s">
        <v>4522</v>
      </c>
      <c r="K23" s="6"/>
      <c r="L23" s="7"/>
    </row>
    <row r="24" spans="1:24" x14ac:dyDescent="0.25">
      <c r="A24" s="10" t="s">
        <v>4445</v>
      </c>
      <c r="B24" s="11" t="s">
        <v>4509</v>
      </c>
      <c r="C24" s="11">
        <v>150</v>
      </c>
      <c r="D24" s="12">
        <v>216</v>
      </c>
      <c r="H24" s="10" t="s">
        <v>4559</v>
      </c>
      <c r="I24" s="11"/>
      <c r="J24" s="11"/>
      <c r="K24" s="11"/>
      <c r="L24" s="12"/>
      <c r="N24" s="16"/>
    </row>
    <row r="25" spans="1:24" x14ac:dyDescent="0.25">
      <c r="A25" s="4" t="s">
        <v>4459</v>
      </c>
      <c r="B25" s="4" t="s">
        <v>4508</v>
      </c>
      <c r="C25" s="4">
        <v>5</v>
      </c>
      <c r="D25" s="4">
        <v>6</v>
      </c>
    </row>
    <row r="26" spans="1:24" x14ac:dyDescent="0.25">
      <c r="A26" s="4" t="s">
        <v>4459</v>
      </c>
      <c r="B26" s="4" t="s">
        <v>4509</v>
      </c>
      <c r="C26" s="4">
        <v>2</v>
      </c>
      <c r="D26" s="4">
        <v>2</v>
      </c>
    </row>
    <row r="27" spans="1:24" x14ac:dyDescent="0.25">
      <c r="A27" s="5" t="s">
        <v>2758</v>
      </c>
      <c r="B27" s="6" t="s">
        <v>4508</v>
      </c>
      <c r="C27" s="6">
        <v>17</v>
      </c>
      <c r="D27" s="7">
        <v>19</v>
      </c>
      <c r="E27" t="s">
        <v>4523</v>
      </c>
      <c r="F27" s="18">
        <v>102</v>
      </c>
      <c r="G27" s="18" t="s">
        <v>4524</v>
      </c>
      <c r="H27" s="5" t="s">
        <v>4512</v>
      </c>
      <c r="I27" s="6"/>
      <c r="J27" s="6" t="s">
        <v>4525</v>
      </c>
      <c r="K27" s="6"/>
      <c r="L27" s="7"/>
    </row>
    <row r="28" spans="1:24" x14ac:dyDescent="0.25">
      <c r="A28" s="8" t="s">
        <v>2758</v>
      </c>
      <c r="B28" t="s">
        <v>4509</v>
      </c>
      <c r="C28">
        <v>141</v>
      </c>
      <c r="D28" s="9">
        <v>146</v>
      </c>
      <c r="H28" s="8"/>
      <c r="J28" t="s">
        <v>4526</v>
      </c>
      <c r="L28" s="9"/>
    </row>
    <row r="29" spans="1:24" x14ac:dyDescent="0.25">
      <c r="A29" s="8" t="s">
        <v>4448</v>
      </c>
      <c r="B29" t="s">
        <v>4508</v>
      </c>
      <c r="C29">
        <v>12</v>
      </c>
      <c r="D29" s="9">
        <v>25</v>
      </c>
      <c r="H29" s="10" t="s">
        <v>4560</v>
      </c>
      <c r="I29" s="11"/>
      <c r="J29" s="11"/>
      <c r="K29" s="11"/>
      <c r="L29" s="12"/>
    </row>
    <row r="30" spans="1:24" x14ac:dyDescent="0.25">
      <c r="A30" s="10" t="s">
        <v>4448</v>
      </c>
      <c r="B30" s="11" t="s">
        <v>4509</v>
      </c>
      <c r="C30" s="11">
        <v>157</v>
      </c>
      <c r="D30" s="12">
        <v>192</v>
      </c>
    </row>
    <row r="31" spans="1:24" x14ac:dyDescent="0.25">
      <c r="A31" s="4" t="s">
        <v>1457</v>
      </c>
      <c r="B31" s="4" t="s">
        <v>4509</v>
      </c>
      <c r="C31" s="4">
        <v>22</v>
      </c>
      <c r="D31" s="4">
        <v>26</v>
      </c>
      <c r="N31" s="5" t="s">
        <v>7262</v>
      </c>
      <c r="O31" s="6">
        <v>1</v>
      </c>
      <c r="P31" s="6" t="s">
        <v>4527</v>
      </c>
      <c r="Q31" s="6"/>
      <c r="R31" s="6"/>
      <c r="S31" s="6"/>
      <c r="T31" s="6"/>
      <c r="U31" s="6" t="s">
        <v>4528</v>
      </c>
      <c r="V31" s="6">
        <v>0</v>
      </c>
      <c r="W31" s="6" t="s">
        <v>4529</v>
      </c>
      <c r="X31" s="7"/>
    </row>
    <row r="32" spans="1:24" x14ac:dyDescent="0.25">
      <c r="A32" s="5" t="s">
        <v>1309</v>
      </c>
      <c r="B32" s="6" t="s">
        <v>4508</v>
      </c>
      <c r="C32" s="6">
        <v>11</v>
      </c>
      <c r="D32" s="7">
        <v>24</v>
      </c>
      <c r="E32" t="s">
        <v>4530</v>
      </c>
      <c r="F32" s="18">
        <v>103</v>
      </c>
      <c r="G32" s="18" t="s">
        <v>4531</v>
      </c>
      <c r="H32" s="13" t="s">
        <v>4512</v>
      </c>
      <c r="I32" s="14"/>
      <c r="J32" s="14" t="s">
        <v>7263</v>
      </c>
      <c r="K32" s="15"/>
      <c r="N32" s="8" t="s">
        <v>4561</v>
      </c>
      <c r="O32">
        <v>2</v>
      </c>
      <c r="P32" t="s">
        <v>4532</v>
      </c>
      <c r="V32">
        <v>2</v>
      </c>
      <c r="W32" t="s">
        <v>4533</v>
      </c>
      <c r="X32" s="9"/>
    </row>
    <row r="33" spans="1:24" x14ac:dyDescent="0.25">
      <c r="A33" s="8" t="s">
        <v>1309</v>
      </c>
      <c r="B33" t="s">
        <v>4509</v>
      </c>
      <c r="C33">
        <v>42</v>
      </c>
      <c r="D33" s="9">
        <v>65</v>
      </c>
      <c r="N33" s="8"/>
      <c r="O33">
        <v>3</v>
      </c>
      <c r="P33" t="s">
        <v>4534</v>
      </c>
      <c r="V33">
        <v>3</v>
      </c>
      <c r="W33" t="s">
        <v>4535</v>
      </c>
      <c r="X33" s="9"/>
    </row>
    <row r="34" spans="1:24" x14ac:dyDescent="0.25">
      <c r="A34" s="5" t="s">
        <v>4453</v>
      </c>
      <c r="B34" s="6" t="s">
        <v>4508</v>
      </c>
      <c r="C34" s="6">
        <v>4</v>
      </c>
      <c r="D34" s="7">
        <v>5</v>
      </c>
      <c r="H34" t="s">
        <v>7264</v>
      </c>
      <c r="N34" s="8"/>
      <c r="O34">
        <v>4</v>
      </c>
      <c r="P34" t="s">
        <v>4536</v>
      </c>
      <c r="V34">
        <v>4</v>
      </c>
      <c r="W34" t="s">
        <v>4537</v>
      </c>
      <c r="X34" s="9"/>
    </row>
    <row r="35" spans="1:24" x14ac:dyDescent="0.25">
      <c r="A35" s="10" t="s">
        <v>4453</v>
      </c>
      <c r="B35" s="11" t="s">
        <v>4509</v>
      </c>
      <c r="C35" s="11">
        <v>17</v>
      </c>
      <c r="D35" s="12">
        <v>17</v>
      </c>
      <c r="E35" s="21" t="s">
        <v>7265</v>
      </c>
      <c r="F35" s="18">
        <v>107</v>
      </c>
      <c r="G35" s="18" t="s">
        <v>7266</v>
      </c>
      <c r="H35" s="13" t="s">
        <v>4512</v>
      </c>
      <c r="I35" s="14"/>
      <c r="J35" s="14" t="s">
        <v>7267</v>
      </c>
      <c r="K35" s="15"/>
      <c r="N35" s="10"/>
      <c r="O35" s="11"/>
      <c r="P35" s="11"/>
      <c r="Q35" s="11"/>
      <c r="R35" s="11"/>
      <c r="S35" s="11"/>
      <c r="T35" s="11"/>
      <c r="U35" s="11"/>
      <c r="V35" s="11">
        <v>5</v>
      </c>
      <c r="W35" s="11" t="s">
        <v>4538</v>
      </c>
      <c r="X35" s="12"/>
    </row>
    <row r="36" spans="1:24" x14ac:dyDescent="0.25">
      <c r="A36" s="4" t="s">
        <v>1084</v>
      </c>
      <c r="B36" s="4" t="s">
        <v>4508</v>
      </c>
      <c r="C36" s="4">
        <v>5</v>
      </c>
      <c r="D36" s="4">
        <v>7</v>
      </c>
      <c r="N36" t="s">
        <v>7268</v>
      </c>
    </row>
    <row r="37" spans="1:24" x14ac:dyDescent="0.25">
      <c r="A37" s="4" t="s">
        <v>1084</v>
      </c>
      <c r="B37" s="4" t="s">
        <v>4509</v>
      </c>
      <c r="C37" s="4">
        <v>3</v>
      </c>
      <c r="D37" s="4">
        <v>3</v>
      </c>
    </row>
    <row r="38" spans="1:24" x14ac:dyDescent="0.25">
      <c r="A38" s="5" t="s">
        <v>919</v>
      </c>
      <c r="B38" s="6" t="s">
        <v>4508</v>
      </c>
      <c r="C38" s="6">
        <v>11</v>
      </c>
      <c r="D38" s="7">
        <v>13</v>
      </c>
      <c r="E38" t="s">
        <v>4539</v>
      </c>
      <c r="F38" s="18">
        <v>96</v>
      </c>
      <c r="G38" s="18" t="s">
        <v>4540</v>
      </c>
      <c r="H38" s="5" t="s">
        <v>4512</v>
      </c>
      <c r="I38" s="6"/>
      <c r="J38" s="6" t="s">
        <v>4562</v>
      </c>
      <c r="K38" s="6"/>
      <c r="L38" s="7"/>
    </row>
    <row r="39" spans="1:24" x14ac:dyDescent="0.25">
      <c r="A39" s="8" t="s">
        <v>919</v>
      </c>
      <c r="B39" t="s">
        <v>4509</v>
      </c>
      <c r="C39">
        <v>221</v>
      </c>
      <c r="D39" s="9">
        <v>239</v>
      </c>
      <c r="H39" s="8"/>
      <c r="J39" t="s">
        <v>4563</v>
      </c>
      <c r="L39" s="9"/>
    </row>
    <row r="40" spans="1:24" x14ac:dyDescent="0.25">
      <c r="A40" s="8" t="s">
        <v>4455</v>
      </c>
      <c r="B40" t="s">
        <v>4508</v>
      </c>
      <c r="C40">
        <v>3</v>
      </c>
      <c r="D40" s="9">
        <v>4</v>
      </c>
      <c r="H40" s="8"/>
      <c r="J40" t="s">
        <v>4564</v>
      </c>
      <c r="L40" s="9"/>
      <c r="N40" t="s">
        <v>4542</v>
      </c>
    </row>
    <row r="41" spans="1:24" x14ac:dyDescent="0.25">
      <c r="A41" s="8" t="s">
        <v>4455</v>
      </c>
      <c r="B41" t="s">
        <v>4509</v>
      </c>
      <c r="C41">
        <v>11</v>
      </c>
      <c r="D41" s="9">
        <v>12</v>
      </c>
      <c r="H41" s="19" t="s">
        <v>4541</v>
      </c>
      <c r="I41" s="11"/>
      <c r="J41" s="11"/>
      <c r="K41" s="11"/>
      <c r="L41" s="12"/>
    </row>
    <row r="42" spans="1:24" x14ac:dyDescent="0.25">
      <c r="A42" s="8" t="s">
        <v>4454</v>
      </c>
      <c r="B42" t="s">
        <v>4509</v>
      </c>
      <c r="C42">
        <v>26</v>
      </c>
      <c r="D42" s="9">
        <v>28</v>
      </c>
      <c r="E42" s="17" t="s">
        <v>4543</v>
      </c>
      <c r="F42" s="17"/>
      <c r="G42" s="17"/>
    </row>
    <row r="43" spans="1:24" x14ac:dyDescent="0.25">
      <c r="A43" s="8" t="s">
        <v>4444</v>
      </c>
      <c r="B43" t="s">
        <v>4508</v>
      </c>
      <c r="C43">
        <v>24</v>
      </c>
      <c r="D43" s="9">
        <v>28</v>
      </c>
    </row>
    <row r="44" spans="1:24" x14ac:dyDescent="0.25">
      <c r="A44" s="10" t="s">
        <v>4444</v>
      </c>
      <c r="B44" s="11" t="s">
        <v>4509</v>
      </c>
      <c r="C44" s="11">
        <v>236</v>
      </c>
      <c r="D44" s="12">
        <v>244</v>
      </c>
    </row>
    <row r="45" spans="1:24" x14ac:dyDescent="0.25">
      <c r="A45" s="4" t="s">
        <v>4463</v>
      </c>
      <c r="B45" s="4" t="s">
        <v>4508</v>
      </c>
      <c r="C45" s="4">
        <v>1</v>
      </c>
      <c r="D45" s="4">
        <v>2</v>
      </c>
    </row>
    <row r="46" spans="1:24" x14ac:dyDescent="0.25">
      <c r="A46" s="4" t="s">
        <v>2756</v>
      </c>
      <c r="B46" s="4" t="s">
        <v>4509</v>
      </c>
      <c r="C46" s="4">
        <v>7</v>
      </c>
      <c r="D46" s="4">
        <v>7</v>
      </c>
    </row>
    <row r="47" spans="1:24" x14ac:dyDescent="0.25">
      <c r="A47" s="13" t="s">
        <v>4440</v>
      </c>
      <c r="B47" s="14" t="s">
        <v>4509</v>
      </c>
      <c r="C47" s="14">
        <v>83</v>
      </c>
      <c r="D47" s="15">
        <v>94</v>
      </c>
      <c r="E47" t="s">
        <v>4544</v>
      </c>
      <c r="F47" s="18">
        <v>101</v>
      </c>
      <c r="G47" s="18" t="s">
        <v>4545</v>
      </c>
      <c r="H47" s="5" t="s">
        <v>4546</v>
      </c>
      <c r="I47" s="6"/>
      <c r="J47" s="6" t="s">
        <v>4547</v>
      </c>
      <c r="K47" s="6"/>
      <c r="L47" s="7"/>
      <c r="N47" t="s">
        <v>4549</v>
      </c>
    </row>
    <row r="48" spans="1:24" x14ac:dyDescent="0.25">
      <c r="A48" s="4" t="s">
        <v>4450</v>
      </c>
      <c r="B48" s="4" t="s">
        <v>4509</v>
      </c>
      <c r="C48" s="4">
        <v>15</v>
      </c>
      <c r="D48" s="4">
        <v>16</v>
      </c>
      <c r="H48" s="10" t="s">
        <v>4548</v>
      </c>
      <c r="I48" s="11"/>
      <c r="J48" s="11"/>
      <c r="K48" s="11"/>
      <c r="L48" s="12"/>
    </row>
    <row r="49" spans="1:12" x14ac:dyDescent="0.25">
      <c r="A49" s="4" t="s">
        <v>2755</v>
      </c>
      <c r="B49" s="4" t="s">
        <v>4509</v>
      </c>
      <c r="C49" s="4">
        <v>7</v>
      </c>
      <c r="D49" s="4">
        <v>10</v>
      </c>
      <c r="E49" s="17" t="s">
        <v>4550</v>
      </c>
      <c r="F49" s="17"/>
      <c r="G49" s="17"/>
    </row>
    <row r="50" spans="1:12" x14ac:dyDescent="0.25">
      <c r="A50" s="5" t="s">
        <v>4462</v>
      </c>
      <c r="B50" s="6" t="s">
        <v>4509</v>
      </c>
      <c r="C50" s="6">
        <v>4</v>
      </c>
      <c r="D50" s="7">
        <v>5</v>
      </c>
      <c r="E50" t="s">
        <v>4551</v>
      </c>
      <c r="F50" s="18">
        <v>100</v>
      </c>
      <c r="G50" s="18" t="s">
        <v>4552</v>
      </c>
      <c r="H50" s="5" t="s">
        <v>4553</v>
      </c>
      <c r="I50" s="6"/>
      <c r="J50" s="6" t="s">
        <v>4565</v>
      </c>
      <c r="K50" s="6"/>
      <c r="L50" s="7"/>
    </row>
    <row r="51" spans="1:12" x14ac:dyDescent="0.25">
      <c r="A51" s="8" t="s">
        <v>4441</v>
      </c>
      <c r="B51" t="s">
        <v>4508</v>
      </c>
      <c r="C51">
        <v>1</v>
      </c>
      <c r="D51" s="9">
        <v>1</v>
      </c>
      <c r="H51" s="8"/>
      <c r="J51" s="20" t="s">
        <v>4566</v>
      </c>
      <c r="L51" s="9"/>
    </row>
    <row r="52" spans="1:12" x14ac:dyDescent="0.25">
      <c r="A52" s="8" t="s">
        <v>4441</v>
      </c>
      <c r="B52" t="s">
        <v>4509</v>
      </c>
      <c r="C52">
        <v>101</v>
      </c>
      <c r="D52" s="9">
        <v>124</v>
      </c>
      <c r="H52" s="10" t="s">
        <v>4554</v>
      </c>
      <c r="I52" s="11"/>
      <c r="J52" s="11"/>
      <c r="K52" s="11"/>
      <c r="L52" s="12"/>
    </row>
    <row r="53" spans="1:12" x14ac:dyDescent="0.25">
      <c r="A53" s="8" t="s">
        <v>4456</v>
      </c>
      <c r="B53" t="s">
        <v>4508</v>
      </c>
      <c r="C53">
        <v>1</v>
      </c>
      <c r="D53" s="9">
        <v>1</v>
      </c>
    </row>
    <row r="54" spans="1:12" x14ac:dyDescent="0.25">
      <c r="A54" s="8" t="s">
        <v>4456</v>
      </c>
      <c r="B54" t="s">
        <v>4509</v>
      </c>
      <c r="C54">
        <v>16</v>
      </c>
      <c r="D54" s="9">
        <v>21</v>
      </c>
    </row>
    <row r="55" spans="1:12" x14ac:dyDescent="0.25">
      <c r="A55" s="8" t="s">
        <v>4452</v>
      </c>
      <c r="B55" t="s">
        <v>4508</v>
      </c>
      <c r="C55">
        <v>1</v>
      </c>
      <c r="D55" s="9">
        <v>1</v>
      </c>
    </row>
    <row r="56" spans="1:12" x14ac:dyDescent="0.25">
      <c r="A56" s="8" t="s">
        <v>4452</v>
      </c>
      <c r="B56" t="s">
        <v>4509</v>
      </c>
      <c r="C56">
        <v>8</v>
      </c>
      <c r="D56" s="9">
        <v>8</v>
      </c>
    </row>
    <row r="57" spans="1:12" x14ac:dyDescent="0.25">
      <c r="A57" s="10" t="s">
        <v>4451</v>
      </c>
      <c r="B57" s="11" t="s">
        <v>4509</v>
      </c>
      <c r="C57" s="11">
        <v>16</v>
      </c>
      <c r="D57" s="12">
        <v>17</v>
      </c>
    </row>
    <row r="60" spans="1:12" x14ac:dyDescent="0.25">
      <c r="A60" s="2" t="s">
        <v>4567</v>
      </c>
    </row>
    <row r="61" spans="1:12" x14ac:dyDescent="0.25">
      <c r="A61" t="s">
        <v>4511</v>
      </c>
      <c r="B61" t="s">
        <v>1262</v>
      </c>
      <c r="C61" t="s">
        <v>4568</v>
      </c>
    </row>
    <row r="62" spans="1:12" x14ac:dyDescent="0.25">
      <c r="A62" t="s">
        <v>4511</v>
      </c>
      <c r="B62" t="s">
        <v>1125</v>
      </c>
      <c r="C62" t="s">
        <v>4569</v>
      </c>
    </row>
    <row r="63" spans="1:12" x14ac:dyDescent="0.25">
      <c r="A63" t="s">
        <v>4517</v>
      </c>
      <c r="B63" t="s">
        <v>4442</v>
      </c>
      <c r="C63" t="s">
        <v>4570</v>
      </c>
    </row>
    <row r="64" spans="1:12" x14ac:dyDescent="0.25">
      <c r="A64" t="s">
        <v>4517</v>
      </c>
      <c r="B64" t="s">
        <v>4447</v>
      </c>
      <c r="C64" t="s">
        <v>4571</v>
      </c>
    </row>
    <row r="65" spans="1:3" x14ac:dyDescent="0.25">
      <c r="A65" t="s">
        <v>4517</v>
      </c>
      <c r="B65" t="s">
        <v>4443</v>
      </c>
      <c r="C65" t="s">
        <v>4572</v>
      </c>
    </row>
    <row r="66" spans="1:3" x14ac:dyDescent="0.25">
      <c r="A66" t="s">
        <v>4517</v>
      </c>
      <c r="B66" t="s">
        <v>4446</v>
      </c>
      <c r="C66" t="s">
        <v>4573</v>
      </c>
    </row>
    <row r="67" spans="1:3" x14ac:dyDescent="0.25">
      <c r="A67" t="s">
        <v>4521</v>
      </c>
      <c r="B67" t="s">
        <v>4445</v>
      </c>
      <c r="C67" t="s">
        <v>4574</v>
      </c>
    </row>
    <row r="68" spans="1:3" x14ac:dyDescent="0.25">
      <c r="A68" t="s">
        <v>4521</v>
      </c>
      <c r="B68" t="s">
        <v>4575</v>
      </c>
      <c r="C68" t="s">
        <v>4576</v>
      </c>
    </row>
    <row r="69" spans="1:3" x14ac:dyDescent="0.25">
      <c r="A69" t="s">
        <v>4521</v>
      </c>
      <c r="B69" t="s">
        <v>4577</v>
      </c>
      <c r="C69" t="s">
        <v>4578</v>
      </c>
    </row>
    <row r="70" spans="1:3" x14ac:dyDescent="0.25">
      <c r="A70" t="s">
        <v>4521</v>
      </c>
      <c r="B70" t="s">
        <v>4579</v>
      </c>
      <c r="C70" t="s">
        <v>4572</v>
      </c>
    </row>
    <row r="71" spans="1:3" x14ac:dyDescent="0.25">
      <c r="A71" t="s">
        <v>4524</v>
      </c>
      <c r="B71" t="s">
        <v>4448</v>
      </c>
      <c r="C71" t="s">
        <v>4580</v>
      </c>
    </row>
    <row r="72" spans="1:3" x14ac:dyDescent="0.25">
      <c r="A72" t="s">
        <v>4524</v>
      </c>
      <c r="B72" t="s">
        <v>2758</v>
      </c>
      <c r="C72" t="s">
        <v>4571</v>
      </c>
    </row>
    <row r="73" spans="1:3" x14ac:dyDescent="0.25">
      <c r="A73" t="s">
        <v>4524</v>
      </c>
      <c r="B73" t="s">
        <v>4575</v>
      </c>
      <c r="C73" t="s">
        <v>4576</v>
      </c>
    </row>
    <row r="74" spans="1:3" x14ac:dyDescent="0.25">
      <c r="A74" t="s">
        <v>4524</v>
      </c>
      <c r="B74" t="s">
        <v>4529</v>
      </c>
      <c r="C74" t="s">
        <v>4578</v>
      </c>
    </row>
    <row r="75" spans="1:3" x14ac:dyDescent="0.25">
      <c r="A75" t="s">
        <v>4545</v>
      </c>
      <c r="B75" t="s">
        <v>4440</v>
      </c>
      <c r="C75" t="s">
        <v>4568</v>
      </c>
    </row>
    <row r="76" spans="1:3" x14ac:dyDescent="0.25">
      <c r="A76" t="s">
        <v>4552</v>
      </c>
      <c r="B76" t="s">
        <v>4441</v>
      </c>
      <c r="C76" t="s">
        <v>4581</v>
      </c>
    </row>
    <row r="77" spans="1:3" x14ac:dyDescent="0.25">
      <c r="A77" t="s">
        <v>4552</v>
      </c>
      <c r="B77" t="s">
        <v>4456</v>
      </c>
      <c r="C77" t="s">
        <v>4571</v>
      </c>
    </row>
    <row r="78" spans="1:3" x14ac:dyDescent="0.25">
      <c r="A78" t="s">
        <v>4552</v>
      </c>
      <c r="B78" t="s">
        <v>4452</v>
      </c>
      <c r="C78" t="s">
        <v>4568</v>
      </c>
    </row>
    <row r="79" spans="1:3" x14ac:dyDescent="0.25">
      <c r="A79" t="s">
        <v>4552</v>
      </c>
      <c r="B79" t="s">
        <v>4451</v>
      </c>
      <c r="C79" t="s">
        <v>4580</v>
      </c>
    </row>
    <row r="80" spans="1:3" x14ac:dyDescent="0.25">
      <c r="A80" t="s">
        <v>4531</v>
      </c>
      <c r="B80" t="s">
        <v>4529</v>
      </c>
      <c r="C80" t="s">
        <v>4578</v>
      </c>
    </row>
    <row r="81" spans="1:3" x14ac:dyDescent="0.25">
      <c r="A81" t="s">
        <v>4531</v>
      </c>
      <c r="B81" t="s">
        <v>4533</v>
      </c>
      <c r="C81" t="s">
        <v>4571</v>
      </c>
    </row>
    <row r="82" spans="1:3" x14ac:dyDescent="0.25">
      <c r="A82" t="s">
        <v>4531</v>
      </c>
      <c r="B82" t="s">
        <v>4535</v>
      </c>
      <c r="C82" t="s">
        <v>4582</v>
      </c>
    </row>
    <row r="83" spans="1:3" x14ac:dyDescent="0.25">
      <c r="A83" t="s">
        <v>4531</v>
      </c>
      <c r="B83" t="s">
        <v>4537</v>
      </c>
      <c r="C83" t="s">
        <v>4568</v>
      </c>
    </row>
    <row r="84" spans="1:3" x14ac:dyDescent="0.25">
      <c r="A84" t="s">
        <v>4531</v>
      </c>
      <c r="B84" t="s">
        <v>4538</v>
      </c>
      <c r="C84" t="s">
        <v>4574</v>
      </c>
    </row>
    <row r="85" spans="1:3" x14ac:dyDescent="0.25">
      <c r="A85" t="s">
        <v>4531</v>
      </c>
      <c r="B85" t="s">
        <v>4583</v>
      </c>
      <c r="C85" t="s">
        <v>4584</v>
      </c>
    </row>
    <row r="86" spans="1:3" x14ac:dyDescent="0.25">
      <c r="A86" t="s">
        <v>4531</v>
      </c>
      <c r="B86" t="s">
        <v>4585</v>
      </c>
      <c r="C86" t="s">
        <v>4569</v>
      </c>
    </row>
    <row r="87" spans="1:3" x14ac:dyDescent="0.25">
      <c r="A87" t="s">
        <v>4540</v>
      </c>
      <c r="B87" t="s">
        <v>919</v>
      </c>
      <c r="C87" t="s">
        <v>4582</v>
      </c>
    </row>
    <row r="88" spans="1:3" x14ac:dyDescent="0.25">
      <c r="A88" t="s">
        <v>4540</v>
      </c>
      <c r="B88" t="s">
        <v>4444</v>
      </c>
      <c r="C88" t="s">
        <v>4569</v>
      </c>
    </row>
    <row r="89" spans="1:3" x14ac:dyDescent="0.25">
      <c r="A89" t="s">
        <v>4540</v>
      </c>
      <c r="B89" t="s">
        <v>4454</v>
      </c>
      <c r="C89" t="s">
        <v>4568</v>
      </c>
    </row>
    <row r="90" spans="1:3" x14ac:dyDescent="0.25">
      <c r="A90" t="s">
        <v>4540</v>
      </c>
      <c r="B90" t="s">
        <v>4455</v>
      </c>
      <c r="C90" t="s">
        <v>4571</v>
      </c>
    </row>
    <row r="91" spans="1:3" x14ac:dyDescent="0.25">
      <c r="A91" t="s">
        <v>4540</v>
      </c>
      <c r="B91" t="s">
        <v>4586</v>
      </c>
      <c r="C91" t="s">
        <v>4580</v>
      </c>
    </row>
    <row r="92" spans="1:3" x14ac:dyDescent="0.25">
      <c r="A92" t="s">
        <v>4540</v>
      </c>
      <c r="B92" t="s">
        <v>4575</v>
      </c>
      <c r="C92" t="s">
        <v>4576</v>
      </c>
    </row>
    <row r="93" spans="1:3" x14ac:dyDescent="0.25">
      <c r="A93" t="s">
        <v>4540</v>
      </c>
      <c r="B93" t="s">
        <v>4529</v>
      </c>
      <c r="C93" t="s">
        <v>4578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21628-29E9-4633-8D39-A6DC5727CB73}">
  <dimension ref="A1:AH44"/>
  <sheetViews>
    <sheetView workbookViewId="0">
      <selection activeCell="E26" sqref="E26"/>
    </sheetView>
  </sheetViews>
  <sheetFormatPr defaultRowHeight="15" x14ac:dyDescent="0.25"/>
  <cols>
    <col min="3" max="3" width="39.7109375" customWidth="1"/>
    <col min="33" max="33" width="10.5703125" customWidth="1"/>
  </cols>
  <sheetData>
    <row r="1" spans="1:32" x14ac:dyDescent="0.25">
      <c r="A1" s="2" t="s">
        <v>7269</v>
      </c>
      <c r="I1" t="s">
        <v>7270</v>
      </c>
    </row>
    <row r="3" spans="1:32" x14ac:dyDescent="0.25">
      <c r="A3" s="22">
        <v>0.5</v>
      </c>
      <c r="C3" s="23" t="s">
        <v>7271</v>
      </c>
      <c r="J3" t="s">
        <v>12</v>
      </c>
      <c r="K3" t="s">
        <v>16</v>
      </c>
      <c r="L3" t="s">
        <v>22</v>
      </c>
      <c r="M3" t="s">
        <v>34</v>
      </c>
      <c r="N3" t="s">
        <v>40</v>
      </c>
      <c r="O3" t="s">
        <v>43</v>
      </c>
      <c r="P3" t="s">
        <v>52</v>
      </c>
      <c r="Q3" t="s">
        <v>58</v>
      </c>
      <c r="R3" t="s">
        <v>61</v>
      </c>
      <c r="S3" t="s">
        <v>63</v>
      </c>
      <c r="T3" t="s">
        <v>69</v>
      </c>
      <c r="U3" t="s">
        <v>72</v>
      </c>
    </row>
    <row r="4" spans="1:32" x14ac:dyDescent="0.25">
      <c r="B4" s="24">
        <v>0</v>
      </c>
      <c r="C4" s="24" t="s">
        <v>4529</v>
      </c>
      <c r="I4" s="2" t="s">
        <v>7272</v>
      </c>
      <c r="J4">
        <v>250</v>
      </c>
      <c r="K4">
        <v>250</v>
      </c>
      <c r="O4">
        <f>0.5*360</f>
        <v>180</v>
      </c>
      <c r="P4">
        <v>300</v>
      </c>
      <c r="R4">
        <f>0.5*360</f>
        <v>180</v>
      </c>
      <c r="T4">
        <f>ROUND(11000/90,0)</f>
        <v>122</v>
      </c>
      <c r="U4">
        <f>0.2*360</f>
        <v>72</v>
      </c>
    </row>
    <row r="5" spans="1:32" x14ac:dyDescent="0.25">
      <c r="B5" s="24">
        <v>1</v>
      </c>
      <c r="C5" s="24" t="s">
        <v>7273</v>
      </c>
      <c r="I5" s="2" t="s">
        <v>7274</v>
      </c>
      <c r="K5">
        <v>32</v>
      </c>
      <c r="U5" t="s">
        <v>7275</v>
      </c>
    </row>
    <row r="6" spans="1:32" x14ac:dyDescent="0.25">
      <c r="B6" s="24">
        <v>2</v>
      </c>
      <c r="C6" s="24" t="s">
        <v>7276</v>
      </c>
      <c r="I6" s="2" t="s">
        <v>7277</v>
      </c>
      <c r="M6" t="s">
        <v>7278</v>
      </c>
      <c r="N6" t="s">
        <v>7279</v>
      </c>
      <c r="Q6" t="s">
        <v>7279</v>
      </c>
      <c r="S6" t="s">
        <v>7280</v>
      </c>
      <c r="T6" t="s">
        <v>7281</v>
      </c>
    </row>
    <row r="7" spans="1:32" x14ac:dyDescent="0.25">
      <c r="B7" s="24">
        <v>3</v>
      </c>
      <c r="C7" s="24" t="s">
        <v>7282</v>
      </c>
      <c r="L7" t="s">
        <v>7283</v>
      </c>
      <c r="O7" t="s">
        <v>7284</v>
      </c>
      <c r="R7" t="s">
        <v>7284</v>
      </c>
      <c r="U7" t="s">
        <v>7285</v>
      </c>
    </row>
    <row r="8" spans="1:32" x14ac:dyDescent="0.25">
      <c r="B8" s="24">
        <v>4</v>
      </c>
      <c r="C8" s="24" t="s">
        <v>7286</v>
      </c>
      <c r="I8" s="2"/>
      <c r="L8" t="s">
        <v>7287</v>
      </c>
    </row>
    <row r="9" spans="1:32" x14ac:dyDescent="0.25">
      <c r="B9" s="24">
        <v>5</v>
      </c>
      <c r="C9" s="24" t="s">
        <v>7288</v>
      </c>
    </row>
    <row r="11" spans="1:32" x14ac:dyDescent="0.25">
      <c r="A11" t="s">
        <v>7289</v>
      </c>
    </row>
    <row r="12" spans="1:32" x14ac:dyDescent="0.25">
      <c r="A12" t="s">
        <v>7290</v>
      </c>
    </row>
    <row r="14" spans="1:32" x14ac:dyDescent="0.25">
      <c r="A14" s="22">
        <v>0.5</v>
      </c>
      <c r="C14" s="23" t="s">
        <v>7291</v>
      </c>
      <c r="D14" t="s">
        <v>55</v>
      </c>
      <c r="E14" t="s">
        <v>46</v>
      </c>
      <c r="F14" t="s">
        <v>43</v>
      </c>
      <c r="G14" t="s">
        <v>6</v>
      </c>
      <c r="H14" t="s">
        <v>37</v>
      </c>
      <c r="I14" t="s">
        <v>34</v>
      </c>
      <c r="J14" t="s">
        <v>28</v>
      </c>
      <c r="K14" t="s">
        <v>72</v>
      </c>
      <c r="L14" t="s">
        <v>22</v>
      </c>
      <c r="M14" t="s">
        <v>52</v>
      </c>
      <c r="N14" t="s">
        <v>75</v>
      </c>
      <c r="O14" t="s">
        <v>9</v>
      </c>
      <c r="P14" t="s">
        <v>69</v>
      </c>
      <c r="Q14" t="s">
        <v>19</v>
      </c>
      <c r="R14" t="s">
        <v>16</v>
      </c>
      <c r="S14" t="s">
        <v>49</v>
      </c>
      <c r="T14" t="s">
        <v>40</v>
      </c>
      <c r="U14" t="s">
        <v>31</v>
      </c>
      <c r="V14" t="s">
        <v>14</v>
      </c>
      <c r="W14" t="s">
        <v>58</v>
      </c>
      <c r="X14" t="s">
        <v>61</v>
      </c>
      <c r="Y14" t="s">
        <v>12</v>
      </c>
      <c r="Z14" t="s">
        <v>63</v>
      </c>
      <c r="AA14" t="s">
        <v>66</v>
      </c>
      <c r="AB14" t="s">
        <v>25</v>
      </c>
      <c r="AC14" t="s">
        <v>3</v>
      </c>
      <c r="AE14" t="s">
        <v>7292</v>
      </c>
      <c r="AF14" t="s">
        <v>7293</v>
      </c>
    </row>
    <row r="15" spans="1:32" x14ac:dyDescent="0.25">
      <c r="C15" s="25" t="s">
        <v>7294</v>
      </c>
      <c r="D15">
        <v>1200</v>
      </c>
      <c r="E15">
        <v>1200</v>
      </c>
      <c r="F15">
        <v>3000</v>
      </c>
      <c r="G15">
        <v>2400</v>
      </c>
      <c r="H15">
        <v>2400</v>
      </c>
      <c r="I15">
        <v>2400</v>
      </c>
      <c r="J15">
        <v>1200</v>
      </c>
      <c r="K15">
        <v>4800</v>
      </c>
      <c r="L15">
        <v>4500</v>
      </c>
      <c r="M15">
        <v>2000</v>
      </c>
      <c r="N15">
        <v>2000</v>
      </c>
      <c r="O15">
        <v>4000</v>
      </c>
      <c r="P15">
        <v>1200</v>
      </c>
      <c r="Q15">
        <v>3000</v>
      </c>
      <c r="R15">
        <v>1500</v>
      </c>
      <c r="U15">
        <v>1800</v>
      </c>
      <c r="V15">
        <v>2400</v>
      </c>
      <c r="X15">
        <v>2400</v>
      </c>
      <c r="Y15">
        <v>8000</v>
      </c>
      <c r="Z15">
        <v>2500</v>
      </c>
      <c r="AA15">
        <v>1200</v>
      </c>
      <c r="AB15">
        <v>1200</v>
      </c>
      <c r="AC15">
        <v>2400</v>
      </c>
    </row>
    <row r="16" spans="1:32" x14ac:dyDescent="0.25">
      <c r="C16" s="25" t="s">
        <v>7295</v>
      </c>
      <c r="D16">
        <v>500</v>
      </c>
      <c r="E16">
        <v>500</v>
      </c>
      <c r="F16">
        <v>500</v>
      </c>
      <c r="G16">
        <v>1000</v>
      </c>
      <c r="H16">
        <v>100</v>
      </c>
      <c r="I16">
        <v>1000</v>
      </c>
      <c r="J16">
        <v>500</v>
      </c>
      <c r="K16">
        <v>2000</v>
      </c>
      <c r="L16">
        <v>500</v>
      </c>
      <c r="M16">
        <v>500</v>
      </c>
      <c r="N16">
        <v>500</v>
      </c>
      <c r="O16">
        <v>1000</v>
      </c>
      <c r="P16">
        <v>500</v>
      </c>
      <c r="Q16">
        <v>1000</v>
      </c>
      <c r="R16">
        <v>500</v>
      </c>
      <c r="U16">
        <v>750</v>
      </c>
      <c r="V16">
        <v>1000</v>
      </c>
      <c r="X16">
        <v>1000</v>
      </c>
      <c r="Y16">
        <v>600</v>
      </c>
      <c r="Z16">
        <v>500</v>
      </c>
      <c r="AA16">
        <v>650</v>
      </c>
      <c r="AB16">
        <v>500</v>
      </c>
      <c r="AC16">
        <v>1000</v>
      </c>
    </row>
    <row r="17" spans="1:34" x14ac:dyDescent="0.25">
      <c r="B17">
        <v>10</v>
      </c>
      <c r="C17" s="25" t="s">
        <v>7296</v>
      </c>
      <c r="D17">
        <f>D15+D16*B17</f>
        <v>6200</v>
      </c>
      <c r="E17">
        <f>E15+E16*B17</f>
        <v>6200</v>
      </c>
      <c r="F17">
        <f>F15+F16*B17</f>
        <v>8000</v>
      </c>
      <c r="G17">
        <f>G15+G16*B17</f>
        <v>12400</v>
      </c>
      <c r="H17">
        <f>(H15+H16*B17)*1.2</f>
        <v>4080</v>
      </c>
      <c r="I17">
        <f>I15+I16*B17</f>
        <v>12400</v>
      </c>
      <c r="J17">
        <f>J15+J16*B17</f>
        <v>6200</v>
      </c>
      <c r="K17">
        <f>K15+K16*B17</f>
        <v>24800</v>
      </c>
      <c r="L17">
        <f>L15+L16*B17</f>
        <v>9500</v>
      </c>
      <c r="M17">
        <f>(M15+M16*B17)*2</f>
        <v>14000</v>
      </c>
      <c r="N17">
        <f>N15+N16*B17</f>
        <v>7000</v>
      </c>
      <c r="O17">
        <f>O15+O16*B17</f>
        <v>14000</v>
      </c>
      <c r="P17">
        <f>P15+P16*B17</f>
        <v>6200</v>
      </c>
      <c r="Q17">
        <f>Q15+Q16*B17</f>
        <v>13000</v>
      </c>
      <c r="R17">
        <f>R15+R16*B17</f>
        <v>6500</v>
      </c>
      <c r="S17">
        <v>0</v>
      </c>
      <c r="T17">
        <v>0</v>
      </c>
      <c r="U17">
        <f>U15+U16*B17</f>
        <v>9300</v>
      </c>
      <c r="V17">
        <f>V15+V16*B17</f>
        <v>12400</v>
      </c>
      <c r="W17">
        <v>0</v>
      </c>
      <c r="X17">
        <f>X15+X16*B17</f>
        <v>12400</v>
      </c>
      <c r="Y17">
        <f>Y15+Y16*(B17-4)</f>
        <v>11600</v>
      </c>
      <c r="Z17">
        <f>Z15+Z16*B17</f>
        <v>7500</v>
      </c>
      <c r="AA17">
        <f>AA15+AA16*B17</f>
        <v>7700</v>
      </c>
      <c r="AB17">
        <f>AB15+AB16*B17</f>
        <v>6200</v>
      </c>
      <c r="AC17">
        <f>AC15+AC16*B17</f>
        <v>12400</v>
      </c>
      <c r="AE17" s="26">
        <f>SUM(D17:AC17)/26</f>
        <v>8845.3846153846152</v>
      </c>
      <c r="AF17">
        <f>AH17/2</f>
        <v>12400</v>
      </c>
      <c r="AG17" t="s">
        <v>7297</v>
      </c>
      <c r="AH17">
        <f>MAX(D17:AC17)</f>
        <v>24800</v>
      </c>
    </row>
    <row r="18" spans="1:34" x14ac:dyDescent="0.25">
      <c r="C18" s="25" t="s">
        <v>7298</v>
      </c>
      <c r="H18" s="20" t="s">
        <v>7299</v>
      </c>
      <c r="M18" s="20" t="s">
        <v>7300</v>
      </c>
      <c r="S18" t="s">
        <v>7301</v>
      </c>
      <c r="T18" t="s">
        <v>7302</v>
      </c>
      <c r="W18" t="s">
        <v>7302</v>
      </c>
      <c r="Y18" s="27" t="s">
        <v>7303</v>
      </c>
      <c r="AE18" s="26"/>
    </row>
    <row r="19" spans="1:34" x14ac:dyDescent="0.25">
      <c r="C19" s="25"/>
      <c r="L19" s="20"/>
      <c r="Q19" s="20"/>
      <c r="AC19" s="25"/>
      <c r="AE19" s="26"/>
    </row>
    <row r="20" spans="1:34" x14ac:dyDescent="0.25">
      <c r="B20">
        <v>10</v>
      </c>
      <c r="C20" s="25" t="s">
        <v>7304</v>
      </c>
      <c r="D20">
        <v>0</v>
      </c>
      <c r="E20">
        <v>0</v>
      </c>
      <c r="F20">
        <f>B20*O4</f>
        <v>1800</v>
      </c>
      <c r="G20">
        <v>0</v>
      </c>
      <c r="H20">
        <v>0</v>
      </c>
      <c r="I20">
        <v>0</v>
      </c>
      <c r="J20">
        <v>0</v>
      </c>
      <c r="K20">
        <f>U4*B20</f>
        <v>720</v>
      </c>
      <c r="L20" s="20">
        <v>2000</v>
      </c>
      <c r="M20">
        <f>P4*B20</f>
        <v>3000</v>
      </c>
      <c r="N20">
        <v>0</v>
      </c>
      <c r="O20">
        <v>0</v>
      </c>
      <c r="P20">
        <v>0</v>
      </c>
      <c r="Q20" s="20">
        <v>0</v>
      </c>
      <c r="R20">
        <f>K4*B20</f>
        <v>2500</v>
      </c>
      <c r="S20">
        <v>0</v>
      </c>
      <c r="T20">
        <v>0</v>
      </c>
      <c r="U20">
        <v>0</v>
      </c>
      <c r="V20">
        <v>0</v>
      </c>
      <c r="W20">
        <v>0</v>
      </c>
      <c r="X20">
        <f>R4*B20</f>
        <v>1800</v>
      </c>
      <c r="Y20">
        <f>J4*B20</f>
        <v>2500</v>
      </c>
      <c r="Z20">
        <v>0</v>
      </c>
      <c r="AA20">
        <v>0</v>
      </c>
      <c r="AB20">
        <v>0</v>
      </c>
      <c r="AC20" s="25">
        <v>0</v>
      </c>
      <c r="AE20" s="26">
        <f>SUM(D20:AC20)/26</f>
        <v>550.76923076923072</v>
      </c>
      <c r="AF20">
        <v>1800</v>
      </c>
      <c r="AG20" t="s">
        <v>7305</v>
      </c>
    </row>
    <row r="21" spans="1:34" x14ac:dyDescent="0.25">
      <c r="C21" s="25" t="s">
        <v>4586</v>
      </c>
      <c r="I21">
        <v>1</v>
      </c>
      <c r="P21">
        <v>1</v>
      </c>
      <c r="S21">
        <v>1</v>
      </c>
      <c r="T21">
        <v>1</v>
      </c>
      <c r="W21">
        <v>1</v>
      </c>
      <c r="Z21">
        <v>1</v>
      </c>
    </row>
    <row r="23" spans="1:34" x14ac:dyDescent="0.25">
      <c r="A23" s="5" t="s">
        <v>7306</v>
      </c>
      <c r="B23" s="6"/>
      <c r="C23" s="7"/>
      <c r="E23" t="s">
        <v>7307</v>
      </c>
    </row>
    <row r="24" spans="1:34" x14ac:dyDescent="0.25">
      <c r="A24" s="8">
        <v>0</v>
      </c>
      <c r="B24" t="s">
        <v>4529</v>
      </c>
      <c r="C24" s="9"/>
    </row>
    <row r="25" spans="1:34" x14ac:dyDescent="0.25">
      <c r="A25" s="8">
        <v>1</v>
      </c>
      <c r="B25" t="s">
        <v>7273</v>
      </c>
      <c r="C25" s="9"/>
    </row>
    <row r="26" spans="1:34" x14ac:dyDescent="0.25">
      <c r="A26" s="28" t="s">
        <v>7308</v>
      </c>
      <c r="B26" t="s">
        <v>7309</v>
      </c>
      <c r="C26" s="9"/>
      <c r="E26" s="29" t="s">
        <v>7310</v>
      </c>
    </row>
    <row r="27" spans="1:34" x14ac:dyDescent="0.25">
      <c r="A27" s="30" t="s">
        <v>7308</v>
      </c>
      <c r="B27" s="11" t="s">
        <v>7311</v>
      </c>
      <c r="C27" s="12"/>
    </row>
    <row r="44" spans="1:1" x14ac:dyDescent="0.25">
      <c r="A44"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subventions</vt:lpstr>
      <vt:lpstr>keywords</vt:lpstr>
      <vt:lpstr>subv_type</vt:lpstr>
      <vt:lpstr>subv_contrib</vt:lpstr>
      <vt:lpstr>cantons</vt:lpstr>
      <vt:lpstr>municipalities</vt:lpstr>
      <vt:lpstr>indicators</vt:lpstr>
      <vt:lpstr>PV KT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Anonyme</dc:creator>
  <cp:lastModifiedBy>Anonyme</cp:lastModifiedBy>
  <dcterms:created xsi:type="dcterms:W3CDTF">2025-12-03T12:50:35Z</dcterms:created>
  <dcterms:modified xsi:type="dcterms:W3CDTF">2026-03-17T20:56:39Z</dcterms:modified>
</cp:coreProperties>
</file>